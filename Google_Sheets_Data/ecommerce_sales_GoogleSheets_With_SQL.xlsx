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dia\Documents\Google_Sheets_Data\"/>
    </mc:Choice>
  </mc:AlternateContent>
  <xr:revisionPtr revIDLastSave="0" documentId="8_{15DA654E-9A1C-4AF4-AE9E-3AAAEF39AD93}" xr6:coauthVersionLast="36" xr6:coauthVersionMax="36" xr10:uidLastSave="{00000000-0000-0000-0000-000000000000}"/>
  <bookViews>
    <workbookView xWindow="0" yWindow="0" windowWidth="15345" windowHeight="4920" xr2:uid="{00000000-000D-0000-FFFF-FFFF00000000}"/>
  </bookViews>
  <sheets>
    <sheet name="Ecommerce_Data" sheetId="1" r:id="rId1"/>
    <sheet name="Pivot_tables and Calculations" sheetId="3" state="hidden" r:id="rId2"/>
    <sheet name="Sheet5" sheetId="4" state="hidden" r:id="rId3"/>
    <sheet name="Monthly" sheetId="5" state="hidden" r:id="rId4"/>
  </sheets>
  <definedNames>
    <definedName name="_xlnm._FilterDatabase" localSheetId="0" hidden="1">Ecommerce_Data!$A$1:$AD$1199</definedName>
    <definedName name="_xlnm._FilterDatabase" localSheetId="2" hidden="1">Sheet5!$A$2:$Z$14</definedName>
    <definedName name="Z_670DB8ED_3E36_476C_9B77_5A46FA7BCAEB_.wvu.FilterData" localSheetId="0" hidden="1">Ecommerce_Data!$A$1:$V$1199</definedName>
  </definedNames>
  <calcPr calcId="191029"/>
  <customWorkbookViews>
    <customWorkbookView name="Filter 1" guid="{670DB8ED-3E36-476C-9B77-5A46FA7BCAEB}" maximized="1" windowWidth="0" windowHeight="0" activeSheetId="0"/>
    <customWorkbookView name="dashed" guid="{B47B62E3-1365-48A5-A680-6E54E65114BA}" maximized="1" windowWidth="0" windowHeight="0" activeSheetId="0"/>
  </customWorkbookViews>
  <pivotCaches>
    <pivotCache cacheId="6" r:id="rId5"/>
  </pivotCaches>
</workbook>
</file>

<file path=xl/calcChain.xml><?xml version="1.0" encoding="utf-8"?>
<calcChain xmlns="http://schemas.openxmlformats.org/spreadsheetml/2006/main">
  <c r="B3" i="3" l="1"/>
  <c r="B2" i="3"/>
  <c r="B5" i="3" s="1"/>
  <c r="B1" i="3"/>
  <c r="O1199" i="1"/>
  <c r="N1199" i="1"/>
  <c r="P1199" i="1" s="1"/>
  <c r="O1198" i="1"/>
  <c r="P1198" i="1" s="1"/>
  <c r="N1198" i="1"/>
  <c r="W1197" i="1"/>
  <c r="O1197" i="1"/>
  <c r="P1197" i="1" s="1"/>
  <c r="N1197" i="1"/>
  <c r="W1196" i="1"/>
  <c r="O1196" i="1"/>
  <c r="P1196" i="1" s="1"/>
  <c r="N1196" i="1"/>
  <c r="W1195" i="1"/>
  <c r="O1195" i="1"/>
  <c r="P1195" i="1" s="1"/>
  <c r="N1195" i="1"/>
  <c r="W1194" i="1"/>
  <c r="O1194" i="1"/>
  <c r="P1194" i="1" s="1"/>
  <c r="N1194" i="1"/>
  <c r="W1193" i="1"/>
  <c r="O1193" i="1"/>
  <c r="P1193" i="1" s="1"/>
  <c r="N1193" i="1"/>
  <c r="W1192" i="1"/>
  <c r="O1192" i="1"/>
  <c r="P1192" i="1" s="1"/>
  <c r="N1192" i="1"/>
  <c r="W1191" i="1"/>
  <c r="O1191" i="1"/>
  <c r="P1191" i="1" s="1"/>
  <c r="N1191" i="1"/>
  <c r="W1190" i="1"/>
  <c r="O1190" i="1"/>
  <c r="P1190" i="1" s="1"/>
  <c r="N1190" i="1"/>
  <c r="W1189" i="1"/>
  <c r="O1189" i="1"/>
  <c r="P1189" i="1" s="1"/>
  <c r="N1189" i="1"/>
  <c r="W1188" i="1"/>
  <c r="O1188" i="1"/>
  <c r="P1188" i="1" s="1"/>
  <c r="N1188" i="1"/>
  <c r="W1187" i="1"/>
  <c r="O1187" i="1"/>
  <c r="P1187" i="1" s="1"/>
  <c r="N1187" i="1"/>
  <c r="W1186" i="1"/>
  <c r="O1186" i="1"/>
  <c r="P1186" i="1" s="1"/>
  <c r="N1186" i="1"/>
  <c r="W1185" i="1"/>
  <c r="O1185" i="1"/>
  <c r="P1185" i="1" s="1"/>
  <c r="N1185" i="1"/>
  <c r="W1184" i="1"/>
  <c r="O1184" i="1"/>
  <c r="P1184" i="1" s="1"/>
  <c r="N1184" i="1"/>
  <c r="W1183" i="1"/>
  <c r="O1183" i="1"/>
  <c r="P1183" i="1" s="1"/>
  <c r="N1183" i="1"/>
  <c r="W1182" i="1"/>
  <c r="O1182" i="1"/>
  <c r="P1182" i="1" s="1"/>
  <c r="N1182" i="1"/>
  <c r="W1181" i="1"/>
  <c r="O1181" i="1"/>
  <c r="P1181" i="1" s="1"/>
  <c r="N1181" i="1"/>
  <c r="W1180" i="1"/>
  <c r="O1180" i="1"/>
  <c r="P1180" i="1" s="1"/>
  <c r="N1180" i="1"/>
  <c r="W1179" i="1"/>
  <c r="O1179" i="1"/>
  <c r="P1179" i="1" s="1"/>
  <c r="N1179" i="1"/>
  <c r="W1178" i="1"/>
  <c r="O1178" i="1"/>
  <c r="P1178" i="1" s="1"/>
  <c r="N1178" i="1"/>
  <c r="W1177" i="1"/>
  <c r="O1177" i="1"/>
  <c r="P1177" i="1" s="1"/>
  <c r="N1177" i="1"/>
  <c r="W1176" i="1"/>
  <c r="O1176" i="1"/>
  <c r="P1176" i="1" s="1"/>
  <c r="N1176" i="1"/>
  <c r="W1175" i="1"/>
  <c r="O1175" i="1"/>
  <c r="P1175" i="1" s="1"/>
  <c r="N1175" i="1"/>
  <c r="W1174" i="1"/>
  <c r="O1174" i="1"/>
  <c r="P1174" i="1" s="1"/>
  <c r="N1174" i="1"/>
  <c r="W1173" i="1"/>
  <c r="O1173" i="1"/>
  <c r="P1173" i="1" s="1"/>
  <c r="N1173" i="1"/>
  <c r="W1172" i="1"/>
  <c r="O1172" i="1"/>
  <c r="P1172" i="1" s="1"/>
  <c r="N1172" i="1"/>
  <c r="W1171" i="1"/>
  <c r="O1171" i="1"/>
  <c r="P1171" i="1" s="1"/>
  <c r="N1171" i="1"/>
  <c r="W1170" i="1"/>
  <c r="O1170" i="1"/>
  <c r="P1170" i="1" s="1"/>
  <c r="N1170" i="1"/>
  <c r="W1169" i="1"/>
  <c r="O1169" i="1"/>
  <c r="P1169" i="1" s="1"/>
  <c r="N1169" i="1"/>
  <c r="W1168" i="1"/>
  <c r="O1168" i="1"/>
  <c r="P1168" i="1" s="1"/>
  <c r="N1168" i="1"/>
  <c r="W1167" i="1"/>
  <c r="O1167" i="1"/>
  <c r="P1167" i="1" s="1"/>
  <c r="N1167" i="1"/>
  <c r="W1166" i="1"/>
  <c r="O1166" i="1"/>
  <c r="P1166" i="1" s="1"/>
  <c r="N1166" i="1"/>
  <c r="W1165" i="1"/>
  <c r="O1165" i="1"/>
  <c r="P1165" i="1" s="1"/>
  <c r="N1165" i="1"/>
  <c r="W1164" i="1"/>
  <c r="O1164" i="1"/>
  <c r="P1164" i="1" s="1"/>
  <c r="N1164" i="1"/>
  <c r="W1163" i="1"/>
  <c r="O1163" i="1"/>
  <c r="P1163" i="1" s="1"/>
  <c r="N1163" i="1"/>
  <c r="W1162" i="1"/>
  <c r="O1162" i="1"/>
  <c r="P1162" i="1" s="1"/>
  <c r="N1162" i="1"/>
  <c r="W1161" i="1"/>
  <c r="O1161" i="1"/>
  <c r="P1161" i="1" s="1"/>
  <c r="N1161" i="1"/>
  <c r="W1160" i="1"/>
  <c r="O1160" i="1"/>
  <c r="P1160" i="1" s="1"/>
  <c r="N1160" i="1"/>
  <c r="W1159" i="1"/>
  <c r="O1159" i="1"/>
  <c r="P1159" i="1" s="1"/>
  <c r="N1159" i="1"/>
  <c r="W1158" i="1"/>
  <c r="O1158" i="1"/>
  <c r="P1158" i="1" s="1"/>
  <c r="N1158" i="1"/>
  <c r="W1157" i="1"/>
  <c r="O1157" i="1"/>
  <c r="P1157" i="1" s="1"/>
  <c r="N1157" i="1"/>
  <c r="W1156" i="1"/>
  <c r="O1156" i="1"/>
  <c r="P1156" i="1" s="1"/>
  <c r="N1156" i="1"/>
  <c r="W1155" i="1"/>
  <c r="O1155" i="1"/>
  <c r="P1155" i="1" s="1"/>
  <c r="N1155" i="1"/>
  <c r="W1154" i="1"/>
  <c r="O1154" i="1"/>
  <c r="P1154" i="1" s="1"/>
  <c r="N1154" i="1"/>
  <c r="W1153" i="1"/>
  <c r="O1153" i="1"/>
  <c r="P1153" i="1" s="1"/>
  <c r="N1153" i="1"/>
  <c r="W1152" i="1"/>
  <c r="O1152" i="1"/>
  <c r="P1152" i="1" s="1"/>
  <c r="N1152" i="1"/>
  <c r="W1151" i="1"/>
  <c r="O1151" i="1"/>
  <c r="P1151" i="1" s="1"/>
  <c r="N1151" i="1"/>
  <c r="W1150" i="1"/>
  <c r="O1150" i="1"/>
  <c r="P1150" i="1" s="1"/>
  <c r="N1150" i="1"/>
  <c r="W1149" i="1"/>
  <c r="O1149" i="1"/>
  <c r="P1149" i="1" s="1"/>
  <c r="N1149" i="1"/>
  <c r="W1148" i="1"/>
  <c r="O1148" i="1"/>
  <c r="P1148" i="1" s="1"/>
  <c r="N1148" i="1"/>
  <c r="W1147" i="1"/>
  <c r="O1147" i="1"/>
  <c r="P1147" i="1" s="1"/>
  <c r="N1147" i="1"/>
  <c r="W1146" i="1"/>
  <c r="O1146" i="1"/>
  <c r="P1146" i="1" s="1"/>
  <c r="N1146" i="1"/>
  <c r="W1145" i="1"/>
  <c r="O1145" i="1"/>
  <c r="P1145" i="1" s="1"/>
  <c r="N1145" i="1"/>
  <c r="W1144" i="1"/>
  <c r="O1144" i="1"/>
  <c r="P1144" i="1" s="1"/>
  <c r="N1144" i="1"/>
  <c r="W1143" i="1"/>
  <c r="O1143" i="1"/>
  <c r="P1143" i="1" s="1"/>
  <c r="N1143" i="1"/>
  <c r="W1142" i="1"/>
  <c r="O1142" i="1"/>
  <c r="P1142" i="1" s="1"/>
  <c r="N1142" i="1"/>
  <c r="W1141" i="1"/>
  <c r="O1141" i="1"/>
  <c r="P1141" i="1" s="1"/>
  <c r="N1141" i="1"/>
  <c r="W1140" i="1"/>
  <c r="O1140" i="1"/>
  <c r="P1140" i="1" s="1"/>
  <c r="N1140" i="1"/>
  <c r="W1139" i="1"/>
  <c r="O1139" i="1"/>
  <c r="P1139" i="1" s="1"/>
  <c r="N1139" i="1"/>
  <c r="W1138" i="1"/>
  <c r="O1138" i="1"/>
  <c r="P1138" i="1" s="1"/>
  <c r="N1138" i="1"/>
  <c r="W1137" i="1"/>
  <c r="O1137" i="1"/>
  <c r="P1137" i="1" s="1"/>
  <c r="N1137" i="1"/>
  <c r="W1136" i="1"/>
  <c r="O1136" i="1"/>
  <c r="P1136" i="1" s="1"/>
  <c r="N1136" i="1"/>
  <c r="W1135" i="1"/>
  <c r="O1135" i="1"/>
  <c r="P1135" i="1" s="1"/>
  <c r="N1135" i="1"/>
  <c r="W1134" i="1"/>
  <c r="O1134" i="1"/>
  <c r="P1134" i="1" s="1"/>
  <c r="N1134" i="1"/>
  <c r="W1133" i="1"/>
  <c r="O1133" i="1"/>
  <c r="P1133" i="1" s="1"/>
  <c r="N1133" i="1"/>
  <c r="W1132" i="1"/>
  <c r="O1132" i="1"/>
  <c r="P1132" i="1" s="1"/>
  <c r="N1132" i="1"/>
  <c r="W1131" i="1"/>
  <c r="O1131" i="1"/>
  <c r="P1131" i="1" s="1"/>
  <c r="N1131" i="1"/>
  <c r="W1130" i="1"/>
  <c r="O1130" i="1"/>
  <c r="P1130" i="1" s="1"/>
  <c r="N1130" i="1"/>
  <c r="W1129" i="1"/>
  <c r="O1129" i="1"/>
  <c r="P1129" i="1" s="1"/>
  <c r="N1129" i="1"/>
  <c r="W1128" i="1"/>
  <c r="O1128" i="1"/>
  <c r="P1128" i="1" s="1"/>
  <c r="N1128" i="1"/>
  <c r="W1127" i="1"/>
  <c r="O1127" i="1"/>
  <c r="P1127" i="1" s="1"/>
  <c r="N1127" i="1"/>
  <c r="W1126" i="1"/>
  <c r="O1126" i="1"/>
  <c r="P1126" i="1" s="1"/>
  <c r="N1126" i="1"/>
  <c r="W1125" i="1"/>
  <c r="O1125" i="1"/>
  <c r="P1125" i="1" s="1"/>
  <c r="N1125" i="1"/>
  <c r="W1124" i="1"/>
  <c r="O1124" i="1"/>
  <c r="P1124" i="1" s="1"/>
  <c r="N1124" i="1"/>
  <c r="W1123" i="1"/>
  <c r="O1123" i="1"/>
  <c r="P1123" i="1" s="1"/>
  <c r="N1123" i="1"/>
  <c r="W1122" i="1"/>
  <c r="O1122" i="1"/>
  <c r="P1122" i="1" s="1"/>
  <c r="N1122" i="1"/>
  <c r="W1121" i="1"/>
  <c r="O1121" i="1"/>
  <c r="P1121" i="1" s="1"/>
  <c r="N1121" i="1"/>
  <c r="W1120" i="1"/>
  <c r="O1120" i="1"/>
  <c r="P1120" i="1" s="1"/>
  <c r="N1120" i="1"/>
  <c r="W1119" i="1"/>
  <c r="O1119" i="1"/>
  <c r="P1119" i="1" s="1"/>
  <c r="N1119" i="1"/>
  <c r="W1118" i="1"/>
  <c r="O1118" i="1"/>
  <c r="P1118" i="1" s="1"/>
  <c r="N1118" i="1"/>
  <c r="W1117" i="1"/>
  <c r="O1117" i="1"/>
  <c r="P1117" i="1" s="1"/>
  <c r="N1117" i="1"/>
  <c r="W1116" i="1"/>
  <c r="O1116" i="1"/>
  <c r="P1116" i="1" s="1"/>
  <c r="N1116" i="1"/>
  <c r="W1115" i="1"/>
  <c r="O1115" i="1"/>
  <c r="P1115" i="1" s="1"/>
  <c r="N1115" i="1"/>
  <c r="W1114" i="1"/>
  <c r="P1114" i="1"/>
  <c r="O1114" i="1"/>
  <c r="N1114" i="1"/>
  <c r="W1113" i="1"/>
  <c r="P1113" i="1"/>
  <c r="O1113" i="1"/>
  <c r="N1113" i="1"/>
  <c r="W1112" i="1"/>
  <c r="P1112" i="1"/>
  <c r="O1112" i="1"/>
  <c r="N1112" i="1"/>
  <c r="W1111" i="1"/>
  <c r="P1111" i="1"/>
  <c r="O1111" i="1"/>
  <c r="N1111" i="1"/>
  <c r="W1110" i="1"/>
  <c r="P1110" i="1"/>
  <c r="O1110" i="1"/>
  <c r="N1110" i="1"/>
  <c r="W1109" i="1"/>
  <c r="P1109" i="1"/>
  <c r="O1109" i="1"/>
  <c r="N1109" i="1"/>
  <c r="W1108" i="1"/>
  <c r="P1108" i="1"/>
  <c r="O1108" i="1"/>
  <c r="N1108" i="1"/>
  <c r="W1107" i="1"/>
  <c r="P1107" i="1"/>
  <c r="O1107" i="1"/>
  <c r="N1107" i="1"/>
  <c r="W1106" i="1"/>
  <c r="P1106" i="1"/>
  <c r="O1106" i="1"/>
  <c r="N1106" i="1"/>
  <c r="W1105" i="1"/>
  <c r="P1105" i="1"/>
  <c r="O1105" i="1"/>
  <c r="N1105" i="1"/>
  <c r="W1104" i="1"/>
  <c r="P1104" i="1"/>
  <c r="O1104" i="1"/>
  <c r="N1104" i="1"/>
  <c r="W1103" i="1"/>
  <c r="P1103" i="1"/>
  <c r="O1103" i="1"/>
  <c r="N1103" i="1"/>
  <c r="W1102" i="1"/>
  <c r="P1102" i="1"/>
  <c r="O1102" i="1"/>
  <c r="N1102" i="1"/>
  <c r="W1101" i="1"/>
  <c r="P1101" i="1"/>
  <c r="O1101" i="1"/>
  <c r="N1101" i="1"/>
  <c r="W1100" i="1"/>
  <c r="P1100" i="1"/>
  <c r="O1100" i="1"/>
  <c r="N1100" i="1"/>
  <c r="W1099" i="1"/>
  <c r="P1099" i="1"/>
  <c r="O1099" i="1"/>
  <c r="N1099" i="1"/>
  <c r="W1098" i="1"/>
  <c r="P1098" i="1"/>
  <c r="O1098" i="1"/>
  <c r="N1098" i="1"/>
  <c r="W1097" i="1"/>
  <c r="P1097" i="1"/>
  <c r="O1097" i="1"/>
  <c r="N1097" i="1"/>
  <c r="W1096" i="1"/>
  <c r="P1096" i="1"/>
  <c r="O1096" i="1"/>
  <c r="N1096" i="1"/>
  <c r="W1095" i="1"/>
  <c r="P1095" i="1"/>
  <c r="O1095" i="1"/>
  <c r="N1095" i="1"/>
  <c r="W1094" i="1"/>
  <c r="P1094" i="1"/>
  <c r="O1094" i="1"/>
  <c r="N1094" i="1"/>
  <c r="W1093" i="1"/>
  <c r="P1093" i="1"/>
  <c r="O1093" i="1"/>
  <c r="N1093" i="1"/>
  <c r="W1092" i="1"/>
  <c r="P1092" i="1"/>
  <c r="O1092" i="1"/>
  <c r="N1092" i="1"/>
  <c r="W1091" i="1"/>
  <c r="P1091" i="1"/>
  <c r="O1091" i="1"/>
  <c r="N1091" i="1"/>
  <c r="W1090" i="1"/>
  <c r="P1090" i="1"/>
  <c r="O1090" i="1"/>
  <c r="N1090" i="1"/>
  <c r="W1089" i="1"/>
  <c r="P1089" i="1"/>
  <c r="O1089" i="1"/>
  <c r="N1089" i="1"/>
  <c r="W1088" i="1"/>
  <c r="P1088" i="1"/>
  <c r="O1088" i="1"/>
  <c r="N1088" i="1"/>
  <c r="W1087" i="1"/>
  <c r="P1087" i="1"/>
  <c r="O1087" i="1"/>
  <c r="N1087" i="1"/>
  <c r="W1086" i="1"/>
  <c r="P1086" i="1"/>
  <c r="O1086" i="1"/>
  <c r="N1086" i="1"/>
  <c r="W1085" i="1"/>
  <c r="P1085" i="1"/>
  <c r="O1085" i="1"/>
  <c r="N1085" i="1"/>
  <c r="W1084" i="1"/>
  <c r="P1084" i="1"/>
  <c r="O1084" i="1"/>
  <c r="N1084" i="1"/>
  <c r="W1083" i="1"/>
  <c r="P1083" i="1"/>
  <c r="O1083" i="1"/>
  <c r="N1083" i="1"/>
  <c r="W1082" i="1"/>
  <c r="P1082" i="1"/>
  <c r="O1082" i="1"/>
  <c r="N1082" i="1"/>
  <c r="W1081" i="1"/>
  <c r="P1081" i="1"/>
  <c r="O1081" i="1"/>
  <c r="N1081" i="1"/>
  <c r="W1080" i="1"/>
  <c r="P1080" i="1"/>
  <c r="O1080" i="1"/>
  <c r="N1080" i="1"/>
  <c r="W1079" i="1"/>
  <c r="P1079" i="1"/>
  <c r="O1079" i="1"/>
  <c r="N1079" i="1"/>
  <c r="W1078" i="1"/>
  <c r="P1078" i="1"/>
  <c r="O1078" i="1"/>
  <c r="N1078" i="1"/>
  <c r="W1077" i="1"/>
  <c r="P1077" i="1"/>
  <c r="O1077" i="1"/>
  <c r="N1077" i="1"/>
  <c r="W1076" i="1"/>
  <c r="P1076" i="1"/>
  <c r="O1076" i="1"/>
  <c r="N1076" i="1"/>
  <c r="W1075" i="1"/>
  <c r="P1075" i="1"/>
  <c r="O1075" i="1"/>
  <c r="N1075" i="1"/>
  <c r="W1074" i="1"/>
  <c r="P1074" i="1"/>
  <c r="O1074" i="1"/>
  <c r="N1074" i="1"/>
  <c r="W1073" i="1"/>
  <c r="P1073" i="1"/>
  <c r="O1073" i="1"/>
  <c r="N1073" i="1"/>
  <c r="W1072" i="1"/>
  <c r="P1072" i="1"/>
  <c r="O1072" i="1"/>
  <c r="N1072" i="1"/>
  <c r="W1071" i="1"/>
  <c r="P1071" i="1"/>
  <c r="O1071" i="1"/>
  <c r="N1071" i="1"/>
  <c r="W1070" i="1"/>
  <c r="P1070" i="1"/>
  <c r="O1070" i="1"/>
  <c r="N1070" i="1"/>
  <c r="W1069" i="1"/>
  <c r="P1069" i="1"/>
  <c r="O1069" i="1"/>
  <c r="N1069" i="1"/>
  <c r="W1068" i="1"/>
  <c r="P1068" i="1"/>
  <c r="O1068" i="1"/>
  <c r="N1068" i="1"/>
  <c r="W1067" i="1"/>
  <c r="P1067" i="1"/>
  <c r="O1067" i="1"/>
  <c r="N1067" i="1"/>
  <c r="W1066" i="1"/>
  <c r="P1066" i="1"/>
  <c r="O1066" i="1"/>
  <c r="N1066" i="1"/>
  <c r="W1065" i="1"/>
  <c r="P1065" i="1"/>
  <c r="O1065" i="1"/>
  <c r="N1065" i="1"/>
  <c r="W1064" i="1"/>
  <c r="P1064" i="1"/>
  <c r="O1064" i="1"/>
  <c r="N1064" i="1"/>
  <c r="W1063" i="1"/>
  <c r="P1063" i="1"/>
  <c r="O1063" i="1"/>
  <c r="N1063" i="1"/>
  <c r="W1062" i="1"/>
  <c r="P1062" i="1"/>
  <c r="O1062" i="1"/>
  <c r="N1062" i="1"/>
  <c r="W1061" i="1"/>
  <c r="P1061" i="1"/>
  <c r="O1061" i="1"/>
  <c r="N1061" i="1"/>
  <c r="W1060" i="1"/>
  <c r="P1060" i="1"/>
  <c r="O1060" i="1"/>
  <c r="N1060" i="1"/>
  <c r="W1059" i="1"/>
  <c r="P1059" i="1"/>
  <c r="O1059" i="1"/>
  <c r="N1059" i="1"/>
  <c r="W1058" i="1"/>
  <c r="P1058" i="1"/>
  <c r="O1058" i="1"/>
  <c r="N1058" i="1"/>
  <c r="W1057" i="1"/>
  <c r="P1057" i="1"/>
  <c r="O1057" i="1"/>
  <c r="N1057" i="1"/>
  <c r="W1056" i="1"/>
  <c r="P1056" i="1"/>
  <c r="O1056" i="1"/>
  <c r="N1056" i="1"/>
  <c r="W1055" i="1"/>
  <c r="P1055" i="1"/>
  <c r="O1055" i="1"/>
  <c r="N1055" i="1"/>
  <c r="W1054" i="1"/>
  <c r="P1054" i="1"/>
  <c r="O1054" i="1"/>
  <c r="N1054" i="1"/>
  <c r="W1053" i="1"/>
  <c r="P1053" i="1"/>
  <c r="O1053" i="1"/>
  <c r="N1053" i="1"/>
  <c r="W1052" i="1"/>
  <c r="P1052" i="1"/>
  <c r="O1052" i="1"/>
  <c r="N1052" i="1"/>
  <c r="W1051" i="1"/>
  <c r="P1051" i="1"/>
  <c r="O1051" i="1"/>
  <c r="N1051" i="1"/>
  <c r="W1050" i="1"/>
  <c r="P1050" i="1"/>
  <c r="O1050" i="1"/>
  <c r="N1050" i="1"/>
  <c r="W1049" i="1"/>
  <c r="P1049" i="1"/>
  <c r="O1049" i="1"/>
  <c r="N1049" i="1"/>
  <c r="W1048" i="1"/>
  <c r="P1048" i="1"/>
  <c r="O1048" i="1"/>
  <c r="N1048" i="1"/>
  <c r="W1047" i="1"/>
  <c r="P1047" i="1"/>
  <c r="O1047" i="1"/>
  <c r="N1047" i="1"/>
  <c r="W1046" i="1"/>
  <c r="P1046" i="1"/>
  <c r="O1046" i="1"/>
  <c r="N1046" i="1"/>
  <c r="W1045" i="1"/>
  <c r="P1045" i="1"/>
  <c r="O1045" i="1"/>
  <c r="N1045" i="1"/>
  <c r="W1044" i="1"/>
  <c r="P1044" i="1"/>
  <c r="O1044" i="1"/>
  <c r="N1044" i="1"/>
  <c r="W1043" i="1"/>
  <c r="P1043" i="1"/>
  <c r="O1043" i="1"/>
  <c r="N1043" i="1"/>
  <c r="W1042" i="1"/>
  <c r="P1042" i="1"/>
  <c r="O1042" i="1"/>
  <c r="N1042" i="1"/>
  <c r="W1041" i="1"/>
  <c r="O1041" i="1"/>
  <c r="N1041" i="1"/>
  <c r="P1041" i="1" s="1"/>
  <c r="W1040" i="1"/>
  <c r="O1040" i="1"/>
  <c r="N1040" i="1"/>
  <c r="P1040" i="1" s="1"/>
  <c r="W1039" i="1"/>
  <c r="O1039" i="1"/>
  <c r="N1039" i="1"/>
  <c r="P1039" i="1" s="1"/>
  <c r="W1038" i="1"/>
  <c r="O1038" i="1"/>
  <c r="N1038" i="1"/>
  <c r="P1038" i="1" s="1"/>
  <c r="W1037" i="1"/>
  <c r="O1037" i="1"/>
  <c r="N1037" i="1"/>
  <c r="P1037" i="1" s="1"/>
  <c r="W1036" i="1"/>
  <c r="O1036" i="1"/>
  <c r="N1036" i="1"/>
  <c r="P1036" i="1" s="1"/>
  <c r="W1035" i="1"/>
  <c r="O1035" i="1"/>
  <c r="N1035" i="1"/>
  <c r="P1035" i="1" s="1"/>
  <c r="W1034" i="1"/>
  <c r="O1034" i="1"/>
  <c r="N1034" i="1"/>
  <c r="P1034" i="1" s="1"/>
  <c r="W1033" i="1"/>
  <c r="O1033" i="1"/>
  <c r="N1033" i="1"/>
  <c r="P1033" i="1" s="1"/>
  <c r="W1032" i="1"/>
  <c r="O1032" i="1"/>
  <c r="N1032" i="1"/>
  <c r="P1032" i="1" s="1"/>
  <c r="W1031" i="1"/>
  <c r="O1031" i="1"/>
  <c r="N1031" i="1"/>
  <c r="P1031" i="1" s="1"/>
  <c r="W1030" i="1"/>
  <c r="O1030" i="1"/>
  <c r="N1030" i="1"/>
  <c r="P1030" i="1" s="1"/>
  <c r="W1029" i="1"/>
  <c r="O1029" i="1"/>
  <c r="N1029" i="1"/>
  <c r="P1029" i="1" s="1"/>
  <c r="W1028" i="1"/>
  <c r="O1028" i="1"/>
  <c r="N1028" i="1"/>
  <c r="P1028" i="1" s="1"/>
  <c r="W1027" i="1"/>
  <c r="O1027" i="1"/>
  <c r="N1027" i="1"/>
  <c r="P1027" i="1" s="1"/>
  <c r="W1026" i="1"/>
  <c r="O1026" i="1"/>
  <c r="N1026" i="1"/>
  <c r="P1026" i="1" s="1"/>
  <c r="W1025" i="1"/>
  <c r="O1025" i="1"/>
  <c r="N1025" i="1"/>
  <c r="P1025" i="1" s="1"/>
  <c r="W1024" i="1"/>
  <c r="O1024" i="1"/>
  <c r="N1024" i="1"/>
  <c r="P1024" i="1" s="1"/>
  <c r="W1023" i="1"/>
  <c r="O1023" i="1"/>
  <c r="N1023" i="1"/>
  <c r="P1023" i="1" s="1"/>
  <c r="W1022" i="1"/>
  <c r="O1022" i="1"/>
  <c r="N1022" i="1"/>
  <c r="P1022" i="1" s="1"/>
  <c r="W1021" i="1"/>
  <c r="O1021" i="1"/>
  <c r="N1021" i="1"/>
  <c r="P1021" i="1" s="1"/>
  <c r="W1020" i="1"/>
  <c r="O1020" i="1"/>
  <c r="N1020" i="1"/>
  <c r="P1020" i="1" s="1"/>
  <c r="W1019" i="1"/>
  <c r="O1019" i="1"/>
  <c r="N1019" i="1"/>
  <c r="P1019" i="1" s="1"/>
  <c r="W1018" i="1"/>
  <c r="O1018" i="1"/>
  <c r="N1018" i="1"/>
  <c r="P1018" i="1" s="1"/>
  <c r="W1017" i="1"/>
  <c r="O1017" i="1"/>
  <c r="N1017" i="1"/>
  <c r="P1017" i="1" s="1"/>
  <c r="W1016" i="1"/>
  <c r="O1016" i="1"/>
  <c r="N1016" i="1"/>
  <c r="P1016" i="1" s="1"/>
  <c r="W1015" i="1"/>
  <c r="O1015" i="1"/>
  <c r="N1015" i="1"/>
  <c r="P1015" i="1" s="1"/>
  <c r="W1014" i="1"/>
  <c r="O1014" i="1"/>
  <c r="N1014" i="1"/>
  <c r="P1014" i="1" s="1"/>
  <c r="W1013" i="1"/>
  <c r="O1013" i="1"/>
  <c r="N1013" i="1"/>
  <c r="P1013" i="1" s="1"/>
  <c r="W1012" i="1"/>
  <c r="O1012" i="1"/>
  <c r="N1012" i="1"/>
  <c r="P1012" i="1" s="1"/>
  <c r="W1011" i="1"/>
  <c r="O1011" i="1"/>
  <c r="N1011" i="1"/>
  <c r="P1011" i="1" s="1"/>
  <c r="W1010" i="1"/>
  <c r="O1010" i="1"/>
  <c r="N1010" i="1"/>
  <c r="P1010" i="1" s="1"/>
  <c r="W1009" i="1"/>
  <c r="O1009" i="1"/>
  <c r="N1009" i="1"/>
  <c r="P1009" i="1" s="1"/>
  <c r="W1008" i="1"/>
  <c r="O1008" i="1"/>
  <c r="N1008" i="1"/>
  <c r="P1008" i="1" s="1"/>
  <c r="W1007" i="1"/>
  <c r="O1007" i="1"/>
  <c r="N1007" i="1"/>
  <c r="P1007" i="1" s="1"/>
  <c r="W1006" i="1"/>
  <c r="O1006" i="1"/>
  <c r="N1006" i="1"/>
  <c r="P1006" i="1" s="1"/>
  <c r="W1005" i="1"/>
  <c r="O1005" i="1"/>
  <c r="N1005" i="1"/>
  <c r="P1005" i="1" s="1"/>
  <c r="W1004" i="1"/>
  <c r="O1004" i="1"/>
  <c r="N1004" i="1"/>
  <c r="P1004" i="1" s="1"/>
  <c r="W1003" i="1"/>
  <c r="O1003" i="1"/>
  <c r="N1003" i="1"/>
  <c r="P1003" i="1" s="1"/>
  <c r="W1002" i="1"/>
  <c r="O1002" i="1"/>
  <c r="N1002" i="1"/>
  <c r="P1002" i="1" s="1"/>
  <c r="W1001" i="1"/>
  <c r="O1001" i="1"/>
  <c r="N1001" i="1"/>
  <c r="P1001" i="1" s="1"/>
  <c r="W1000" i="1"/>
  <c r="O1000" i="1"/>
  <c r="N1000" i="1"/>
  <c r="P1000" i="1" s="1"/>
  <c r="W999" i="1"/>
  <c r="O999" i="1"/>
  <c r="N999" i="1"/>
  <c r="P999" i="1" s="1"/>
  <c r="W998" i="1"/>
  <c r="O998" i="1"/>
  <c r="N998" i="1"/>
  <c r="P998" i="1" s="1"/>
  <c r="W997" i="1"/>
  <c r="O997" i="1"/>
  <c r="N997" i="1"/>
  <c r="P997" i="1" s="1"/>
  <c r="W996" i="1"/>
  <c r="O996" i="1"/>
  <c r="N996" i="1"/>
  <c r="P996" i="1" s="1"/>
  <c r="W995" i="1"/>
  <c r="O995" i="1"/>
  <c r="N995" i="1"/>
  <c r="P995" i="1" s="1"/>
  <c r="W994" i="1"/>
  <c r="O994" i="1"/>
  <c r="N994" i="1"/>
  <c r="P994" i="1" s="1"/>
  <c r="W993" i="1"/>
  <c r="O993" i="1"/>
  <c r="N993" i="1"/>
  <c r="P993" i="1" s="1"/>
  <c r="W992" i="1"/>
  <c r="O992" i="1"/>
  <c r="N992" i="1"/>
  <c r="P992" i="1" s="1"/>
  <c r="W991" i="1"/>
  <c r="O991" i="1"/>
  <c r="N991" i="1"/>
  <c r="P991" i="1" s="1"/>
  <c r="W990" i="1"/>
  <c r="O990" i="1"/>
  <c r="N990" i="1"/>
  <c r="P990" i="1" s="1"/>
  <c r="W989" i="1"/>
  <c r="O989" i="1"/>
  <c r="N989" i="1"/>
  <c r="P989" i="1" s="1"/>
  <c r="W988" i="1"/>
  <c r="O988" i="1"/>
  <c r="N988" i="1"/>
  <c r="P988" i="1" s="1"/>
  <c r="W987" i="1"/>
  <c r="O987" i="1"/>
  <c r="N987" i="1"/>
  <c r="P987" i="1" s="1"/>
  <c r="W986" i="1"/>
  <c r="O986" i="1"/>
  <c r="N986" i="1"/>
  <c r="P986" i="1" s="1"/>
  <c r="W985" i="1"/>
  <c r="O985" i="1"/>
  <c r="N985" i="1"/>
  <c r="P985" i="1" s="1"/>
  <c r="W984" i="1"/>
  <c r="O984" i="1"/>
  <c r="N984" i="1"/>
  <c r="P984" i="1" s="1"/>
  <c r="W983" i="1"/>
  <c r="O983" i="1"/>
  <c r="N983" i="1"/>
  <c r="P983" i="1" s="1"/>
  <c r="W982" i="1"/>
  <c r="O982" i="1"/>
  <c r="N982" i="1"/>
  <c r="P982" i="1" s="1"/>
  <c r="W981" i="1"/>
  <c r="O981" i="1"/>
  <c r="N981" i="1"/>
  <c r="P981" i="1" s="1"/>
  <c r="W980" i="1"/>
  <c r="O980" i="1"/>
  <c r="N980" i="1"/>
  <c r="P980" i="1" s="1"/>
  <c r="W979" i="1"/>
  <c r="O979" i="1"/>
  <c r="N979" i="1"/>
  <c r="P979" i="1" s="1"/>
  <c r="W978" i="1"/>
  <c r="O978" i="1"/>
  <c r="N978" i="1"/>
  <c r="P978" i="1" s="1"/>
  <c r="W977" i="1"/>
  <c r="O977" i="1"/>
  <c r="N977" i="1"/>
  <c r="P977" i="1" s="1"/>
  <c r="W976" i="1"/>
  <c r="O976" i="1"/>
  <c r="N976" i="1"/>
  <c r="P976" i="1" s="1"/>
  <c r="W975" i="1"/>
  <c r="O975" i="1"/>
  <c r="N975" i="1"/>
  <c r="P975" i="1" s="1"/>
  <c r="W974" i="1"/>
  <c r="O974" i="1"/>
  <c r="N974" i="1"/>
  <c r="P974" i="1" s="1"/>
  <c r="W973" i="1"/>
  <c r="O973" i="1"/>
  <c r="N973" i="1"/>
  <c r="P973" i="1" s="1"/>
  <c r="W972" i="1"/>
  <c r="O972" i="1"/>
  <c r="N972" i="1"/>
  <c r="P972" i="1" s="1"/>
  <c r="W971" i="1"/>
  <c r="O971" i="1"/>
  <c r="N971" i="1"/>
  <c r="P971" i="1" s="1"/>
  <c r="W970" i="1"/>
  <c r="O970" i="1"/>
  <c r="N970" i="1"/>
  <c r="P970" i="1" s="1"/>
  <c r="W969" i="1"/>
  <c r="O969" i="1"/>
  <c r="N969" i="1"/>
  <c r="P969" i="1" s="1"/>
  <c r="W968" i="1"/>
  <c r="O968" i="1"/>
  <c r="N968" i="1"/>
  <c r="P968" i="1" s="1"/>
  <c r="W967" i="1"/>
  <c r="O967" i="1"/>
  <c r="N967" i="1"/>
  <c r="P967" i="1" s="1"/>
  <c r="W966" i="1"/>
  <c r="O966" i="1"/>
  <c r="N966" i="1"/>
  <c r="P966" i="1" s="1"/>
  <c r="W965" i="1"/>
  <c r="O965" i="1"/>
  <c r="N965" i="1"/>
  <c r="P965" i="1" s="1"/>
  <c r="W964" i="1"/>
  <c r="O964" i="1"/>
  <c r="N964" i="1"/>
  <c r="P964" i="1" s="1"/>
  <c r="W963" i="1"/>
  <c r="O963" i="1"/>
  <c r="N963" i="1"/>
  <c r="P963" i="1" s="1"/>
  <c r="W962" i="1"/>
  <c r="O962" i="1"/>
  <c r="N962" i="1"/>
  <c r="P962" i="1" s="1"/>
  <c r="W961" i="1"/>
  <c r="O961" i="1"/>
  <c r="N961" i="1"/>
  <c r="P961" i="1" s="1"/>
  <c r="W960" i="1"/>
  <c r="O960" i="1"/>
  <c r="N960" i="1"/>
  <c r="P960" i="1" s="1"/>
  <c r="W959" i="1"/>
  <c r="O959" i="1"/>
  <c r="N959" i="1"/>
  <c r="P959" i="1" s="1"/>
  <c r="W958" i="1"/>
  <c r="O958" i="1"/>
  <c r="N958" i="1"/>
  <c r="P958" i="1" s="1"/>
  <c r="W957" i="1"/>
  <c r="O957" i="1"/>
  <c r="N957" i="1"/>
  <c r="P957" i="1" s="1"/>
  <c r="W956" i="1"/>
  <c r="O956" i="1"/>
  <c r="N956" i="1"/>
  <c r="P956" i="1" s="1"/>
  <c r="W955" i="1"/>
  <c r="O955" i="1"/>
  <c r="N955" i="1"/>
  <c r="P955" i="1" s="1"/>
  <c r="W954" i="1"/>
  <c r="O954" i="1"/>
  <c r="N954" i="1"/>
  <c r="P954" i="1" s="1"/>
  <c r="W953" i="1"/>
  <c r="O953" i="1"/>
  <c r="N953" i="1"/>
  <c r="P953" i="1" s="1"/>
  <c r="W952" i="1"/>
  <c r="O952" i="1"/>
  <c r="N952" i="1"/>
  <c r="P952" i="1" s="1"/>
  <c r="W951" i="1"/>
  <c r="O951" i="1"/>
  <c r="N951" i="1"/>
  <c r="P951" i="1" s="1"/>
  <c r="W950" i="1"/>
  <c r="O950" i="1"/>
  <c r="N950" i="1"/>
  <c r="P950" i="1" s="1"/>
  <c r="W949" i="1"/>
  <c r="O949" i="1"/>
  <c r="N949" i="1"/>
  <c r="P949" i="1" s="1"/>
  <c r="W948" i="1"/>
  <c r="O948" i="1"/>
  <c r="N948" i="1"/>
  <c r="P948" i="1" s="1"/>
  <c r="W947" i="1"/>
  <c r="O947" i="1"/>
  <c r="N947" i="1"/>
  <c r="P947" i="1" s="1"/>
  <c r="W946" i="1"/>
  <c r="O946" i="1"/>
  <c r="N946" i="1"/>
  <c r="P946" i="1" s="1"/>
  <c r="W945" i="1"/>
  <c r="O945" i="1"/>
  <c r="N945" i="1"/>
  <c r="P945" i="1" s="1"/>
  <c r="W944" i="1"/>
  <c r="O944" i="1"/>
  <c r="N944" i="1"/>
  <c r="P944" i="1" s="1"/>
  <c r="W943" i="1"/>
  <c r="O943" i="1"/>
  <c r="N943" i="1"/>
  <c r="P943" i="1" s="1"/>
  <c r="W942" i="1"/>
  <c r="O942" i="1"/>
  <c r="N942" i="1"/>
  <c r="P942" i="1" s="1"/>
  <c r="W941" i="1"/>
  <c r="O941" i="1"/>
  <c r="N941" i="1"/>
  <c r="P941" i="1" s="1"/>
  <c r="W940" i="1"/>
  <c r="O940" i="1"/>
  <c r="N940" i="1"/>
  <c r="P940" i="1" s="1"/>
  <c r="W939" i="1"/>
  <c r="O939" i="1"/>
  <c r="N939" i="1"/>
  <c r="P939" i="1" s="1"/>
  <c r="W938" i="1"/>
  <c r="O938" i="1"/>
  <c r="N938" i="1"/>
  <c r="P938" i="1" s="1"/>
  <c r="W937" i="1"/>
  <c r="O937" i="1"/>
  <c r="N937" i="1"/>
  <c r="P937" i="1" s="1"/>
  <c r="W936" i="1"/>
  <c r="O936" i="1"/>
  <c r="N936" i="1"/>
  <c r="P936" i="1" s="1"/>
  <c r="W935" i="1"/>
  <c r="O935" i="1"/>
  <c r="N935" i="1"/>
  <c r="P935" i="1" s="1"/>
  <c r="W934" i="1"/>
  <c r="O934" i="1"/>
  <c r="N934" i="1"/>
  <c r="P934" i="1" s="1"/>
  <c r="W933" i="1"/>
  <c r="O933" i="1"/>
  <c r="N933" i="1"/>
  <c r="P933" i="1" s="1"/>
  <c r="W932" i="1"/>
  <c r="O932" i="1"/>
  <c r="N932" i="1"/>
  <c r="P932" i="1" s="1"/>
  <c r="W931" i="1"/>
  <c r="O931" i="1"/>
  <c r="N931" i="1"/>
  <c r="P931" i="1" s="1"/>
  <c r="W930" i="1"/>
  <c r="O930" i="1"/>
  <c r="N930" i="1"/>
  <c r="P930" i="1" s="1"/>
  <c r="W929" i="1"/>
  <c r="O929" i="1"/>
  <c r="N929" i="1"/>
  <c r="P929" i="1" s="1"/>
  <c r="W928" i="1"/>
  <c r="O928" i="1"/>
  <c r="N928" i="1"/>
  <c r="P928" i="1" s="1"/>
  <c r="W927" i="1"/>
  <c r="O927" i="1"/>
  <c r="N927" i="1"/>
  <c r="P927" i="1" s="1"/>
  <c r="W926" i="1"/>
  <c r="O926" i="1"/>
  <c r="N926" i="1"/>
  <c r="P926" i="1" s="1"/>
  <c r="W925" i="1"/>
  <c r="O925" i="1"/>
  <c r="N925" i="1"/>
  <c r="P925" i="1" s="1"/>
  <c r="W924" i="1"/>
  <c r="O924" i="1"/>
  <c r="N924" i="1"/>
  <c r="P924" i="1" s="1"/>
  <c r="W923" i="1"/>
  <c r="O923" i="1"/>
  <c r="N923" i="1"/>
  <c r="P923" i="1" s="1"/>
  <c r="W922" i="1"/>
  <c r="O922" i="1"/>
  <c r="N922" i="1"/>
  <c r="P922" i="1" s="1"/>
  <c r="W921" i="1"/>
  <c r="O921" i="1"/>
  <c r="N921" i="1"/>
  <c r="P921" i="1" s="1"/>
  <c r="W920" i="1"/>
  <c r="O920" i="1"/>
  <c r="N920" i="1"/>
  <c r="P920" i="1" s="1"/>
  <c r="W919" i="1"/>
  <c r="O919" i="1"/>
  <c r="N919" i="1"/>
  <c r="P919" i="1" s="1"/>
  <c r="W918" i="1"/>
  <c r="O918" i="1"/>
  <c r="N918" i="1"/>
  <c r="P918" i="1" s="1"/>
  <c r="W917" i="1"/>
  <c r="O917" i="1"/>
  <c r="N917" i="1"/>
  <c r="P917" i="1" s="1"/>
  <c r="W916" i="1"/>
  <c r="O916" i="1"/>
  <c r="N916" i="1"/>
  <c r="P916" i="1" s="1"/>
  <c r="W915" i="1"/>
  <c r="O915" i="1"/>
  <c r="N915" i="1"/>
  <c r="P915" i="1" s="1"/>
  <c r="W914" i="1"/>
  <c r="O914" i="1"/>
  <c r="N914" i="1"/>
  <c r="P914" i="1" s="1"/>
  <c r="W913" i="1"/>
  <c r="O913" i="1"/>
  <c r="N913" i="1"/>
  <c r="P913" i="1" s="1"/>
  <c r="W912" i="1"/>
  <c r="O912" i="1"/>
  <c r="N912" i="1"/>
  <c r="P912" i="1" s="1"/>
  <c r="W911" i="1"/>
  <c r="O911" i="1"/>
  <c r="N911" i="1"/>
  <c r="P911" i="1" s="1"/>
  <c r="W910" i="1"/>
  <c r="O910" i="1"/>
  <c r="N910" i="1"/>
  <c r="P910" i="1" s="1"/>
  <c r="W909" i="1"/>
  <c r="O909" i="1"/>
  <c r="N909" i="1"/>
  <c r="P909" i="1" s="1"/>
  <c r="W908" i="1"/>
  <c r="O908" i="1"/>
  <c r="N908" i="1"/>
  <c r="P908" i="1" s="1"/>
  <c r="W907" i="1"/>
  <c r="O907" i="1"/>
  <c r="N907" i="1"/>
  <c r="P907" i="1" s="1"/>
  <c r="W906" i="1"/>
  <c r="O906" i="1"/>
  <c r="N906" i="1"/>
  <c r="P906" i="1" s="1"/>
  <c r="W905" i="1"/>
  <c r="O905" i="1"/>
  <c r="N905" i="1"/>
  <c r="P905" i="1" s="1"/>
  <c r="W904" i="1"/>
  <c r="O904" i="1"/>
  <c r="N904" i="1"/>
  <c r="P904" i="1" s="1"/>
  <c r="W903" i="1"/>
  <c r="O903" i="1"/>
  <c r="N903" i="1"/>
  <c r="P903" i="1" s="1"/>
  <c r="W902" i="1"/>
  <c r="O902" i="1"/>
  <c r="N902" i="1"/>
  <c r="P902" i="1" s="1"/>
  <c r="W901" i="1"/>
  <c r="O901" i="1"/>
  <c r="N901" i="1"/>
  <c r="P901" i="1" s="1"/>
  <c r="W900" i="1"/>
  <c r="O900" i="1"/>
  <c r="N900" i="1"/>
  <c r="P900" i="1" s="1"/>
  <c r="W899" i="1"/>
  <c r="O899" i="1"/>
  <c r="N899" i="1"/>
  <c r="P899" i="1" s="1"/>
  <c r="W898" i="1"/>
  <c r="O898" i="1"/>
  <c r="N898" i="1"/>
  <c r="P898" i="1" s="1"/>
  <c r="W897" i="1"/>
  <c r="O897" i="1"/>
  <c r="N897" i="1"/>
  <c r="P897" i="1" s="1"/>
  <c r="W896" i="1"/>
  <c r="O896" i="1"/>
  <c r="N896" i="1"/>
  <c r="P896" i="1" s="1"/>
  <c r="W895" i="1"/>
  <c r="O895" i="1"/>
  <c r="N895" i="1"/>
  <c r="P895" i="1" s="1"/>
  <c r="W894" i="1"/>
  <c r="O894" i="1"/>
  <c r="N894" i="1"/>
  <c r="P894" i="1" s="1"/>
  <c r="W893" i="1"/>
  <c r="O893" i="1"/>
  <c r="N893" i="1"/>
  <c r="P893" i="1" s="1"/>
  <c r="W892" i="1"/>
  <c r="O892" i="1"/>
  <c r="N892" i="1"/>
  <c r="P892" i="1" s="1"/>
  <c r="W891" i="1"/>
  <c r="O891" i="1"/>
  <c r="N891" i="1"/>
  <c r="P891" i="1" s="1"/>
  <c r="W890" i="1"/>
  <c r="O890" i="1"/>
  <c r="N890" i="1"/>
  <c r="P890" i="1" s="1"/>
  <c r="W889" i="1"/>
  <c r="O889" i="1"/>
  <c r="N889" i="1"/>
  <c r="P889" i="1" s="1"/>
  <c r="W888" i="1"/>
  <c r="O888" i="1"/>
  <c r="N888" i="1"/>
  <c r="P888" i="1" s="1"/>
  <c r="W887" i="1"/>
  <c r="O887" i="1"/>
  <c r="N887" i="1"/>
  <c r="P887" i="1" s="1"/>
  <c r="W886" i="1"/>
  <c r="O886" i="1"/>
  <c r="N886" i="1"/>
  <c r="P886" i="1" s="1"/>
  <c r="W885" i="1"/>
  <c r="O885" i="1"/>
  <c r="N885" i="1"/>
  <c r="P885" i="1" s="1"/>
  <c r="W884" i="1"/>
  <c r="O884" i="1"/>
  <c r="N884" i="1"/>
  <c r="P884" i="1" s="1"/>
  <c r="W883" i="1"/>
  <c r="O883" i="1"/>
  <c r="N883" i="1"/>
  <c r="P883" i="1" s="1"/>
  <c r="W882" i="1"/>
  <c r="O882" i="1"/>
  <c r="N882" i="1"/>
  <c r="P882" i="1" s="1"/>
  <c r="W881" i="1"/>
  <c r="O881" i="1"/>
  <c r="N881" i="1"/>
  <c r="P881" i="1" s="1"/>
  <c r="W880" i="1"/>
  <c r="O880" i="1"/>
  <c r="N880" i="1"/>
  <c r="P880" i="1" s="1"/>
  <c r="W879" i="1"/>
  <c r="O879" i="1"/>
  <c r="N879" i="1"/>
  <c r="P879" i="1" s="1"/>
  <c r="W878" i="1"/>
  <c r="O878" i="1"/>
  <c r="N878" i="1"/>
  <c r="P878" i="1" s="1"/>
  <c r="W877" i="1"/>
  <c r="O877" i="1"/>
  <c r="N877" i="1"/>
  <c r="P877" i="1" s="1"/>
  <c r="W876" i="1"/>
  <c r="O876" i="1"/>
  <c r="N876" i="1"/>
  <c r="P876" i="1" s="1"/>
  <c r="W875" i="1"/>
  <c r="O875" i="1"/>
  <c r="N875" i="1"/>
  <c r="P875" i="1" s="1"/>
  <c r="W874" i="1"/>
  <c r="O874" i="1"/>
  <c r="N874" i="1"/>
  <c r="P874" i="1" s="1"/>
  <c r="W873" i="1"/>
  <c r="O873" i="1"/>
  <c r="N873" i="1"/>
  <c r="P873" i="1" s="1"/>
  <c r="W872" i="1"/>
  <c r="O872" i="1"/>
  <c r="N872" i="1"/>
  <c r="P872" i="1" s="1"/>
  <c r="W871" i="1"/>
  <c r="P871" i="1"/>
  <c r="O871" i="1"/>
  <c r="N871" i="1"/>
  <c r="W870" i="1"/>
  <c r="P870" i="1"/>
  <c r="O870" i="1"/>
  <c r="N870" i="1"/>
  <c r="W869" i="1"/>
  <c r="P869" i="1"/>
  <c r="O869" i="1"/>
  <c r="N869" i="1"/>
  <c r="W868" i="1"/>
  <c r="P868" i="1"/>
  <c r="O868" i="1"/>
  <c r="N868" i="1"/>
  <c r="W867" i="1"/>
  <c r="P867" i="1"/>
  <c r="O867" i="1"/>
  <c r="N867" i="1"/>
  <c r="W866" i="1"/>
  <c r="P866" i="1"/>
  <c r="O866" i="1"/>
  <c r="N866" i="1"/>
  <c r="W865" i="1"/>
  <c r="P865" i="1"/>
  <c r="O865" i="1"/>
  <c r="N865" i="1"/>
  <c r="W864" i="1"/>
  <c r="P864" i="1"/>
  <c r="O864" i="1"/>
  <c r="N864" i="1"/>
  <c r="W863" i="1"/>
  <c r="P863" i="1"/>
  <c r="O863" i="1"/>
  <c r="N863" i="1"/>
  <c r="W862" i="1"/>
  <c r="P862" i="1"/>
  <c r="O862" i="1"/>
  <c r="N862" i="1"/>
  <c r="W861" i="1"/>
  <c r="P861" i="1"/>
  <c r="O861" i="1"/>
  <c r="N861" i="1"/>
  <c r="W860" i="1"/>
  <c r="P860" i="1"/>
  <c r="O860" i="1"/>
  <c r="N860" i="1"/>
  <c r="W859" i="1"/>
  <c r="P859" i="1"/>
  <c r="O859" i="1"/>
  <c r="N859" i="1"/>
  <c r="W858" i="1"/>
  <c r="P858" i="1"/>
  <c r="O858" i="1"/>
  <c r="N858" i="1"/>
  <c r="W857" i="1"/>
  <c r="P857" i="1"/>
  <c r="O857" i="1"/>
  <c r="N857" i="1"/>
  <c r="W856" i="1"/>
  <c r="P856" i="1"/>
  <c r="O856" i="1"/>
  <c r="N856" i="1"/>
  <c r="W855" i="1"/>
  <c r="P855" i="1"/>
  <c r="O855" i="1"/>
  <c r="N855" i="1"/>
  <c r="W854" i="1"/>
  <c r="P854" i="1"/>
  <c r="O854" i="1"/>
  <c r="N854" i="1"/>
  <c r="W853" i="1"/>
  <c r="P853" i="1"/>
  <c r="O853" i="1"/>
  <c r="N853" i="1"/>
  <c r="W852" i="1"/>
  <c r="P852" i="1"/>
  <c r="O852" i="1"/>
  <c r="N852" i="1"/>
  <c r="W851" i="1"/>
  <c r="P851" i="1"/>
  <c r="O851" i="1"/>
  <c r="N851" i="1"/>
  <c r="W850" i="1"/>
  <c r="P850" i="1"/>
  <c r="O850" i="1"/>
  <c r="N850" i="1"/>
  <c r="W849" i="1"/>
  <c r="P849" i="1"/>
  <c r="O849" i="1"/>
  <c r="N849" i="1"/>
  <c r="W848" i="1"/>
  <c r="P848" i="1"/>
  <c r="O848" i="1"/>
  <c r="N848" i="1"/>
  <c r="W847" i="1"/>
  <c r="P847" i="1"/>
  <c r="O847" i="1"/>
  <c r="N847" i="1"/>
  <c r="W846" i="1"/>
  <c r="P846" i="1"/>
  <c r="O846" i="1"/>
  <c r="N846" i="1"/>
  <c r="W845" i="1"/>
  <c r="P845" i="1"/>
  <c r="O845" i="1"/>
  <c r="N845" i="1"/>
  <c r="W844" i="1"/>
  <c r="P844" i="1"/>
  <c r="O844" i="1"/>
  <c r="N844" i="1"/>
  <c r="W843" i="1"/>
  <c r="P843" i="1"/>
  <c r="O843" i="1"/>
  <c r="N843" i="1"/>
  <c r="W842" i="1"/>
  <c r="P842" i="1"/>
  <c r="O842" i="1"/>
  <c r="N842" i="1"/>
  <c r="W841" i="1"/>
  <c r="P841" i="1"/>
  <c r="O841" i="1"/>
  <c r="N841" i="1"/>
  <c r="W840" i="1"/>
  <c r="P840" i="1"/>
  <c r="O840" i="1"/>
  <c r="N840" i="1"/>
  <c r="W839" i="1"/>
  <c r="P839" i="1"/>
  <c r="O839" i="1"/>
  <c r="N839" i="1"/>
  <c r="W838" i="1"/>
  <c r="P838" i="1"/>
  <c r="O838" i="1"/>
  <c r="N838" i="1"/>
  <c r="W837" i="1"/>
  <c r="P837" i="1"/>
  <c r="O837" i="1"/>
  <c r="N837" i="1"/>
  <c r="W836" i="1"/>
  <c r="P836" i="1"/>
  <c r="O836" i="1"/>
  <c r="N836" i="1"/>
  <c r="W835" i="1"/>
  <c r="P835" i="1"/>
  <c r="O835" i="1"/>
  <c r="N835" i="1"/>
  <c r="W834" i="1"/>
  <c r="P834" i="1"/>
  <c r="O834" i="1"/>
  <c r="N834" i="1"/>
  <c r="W833" i="1"/>
  <c r="P833" i="1"/>
  <c r="O833" i="1"/>
  <c r="N833" i="1"/>
  <c r="W832" i="1"/>
  <c r="P832" i="1"/>
  <c r="O832" i="1"/>
  <c r="N832" i="1"/>
  <c r="W831" i="1"/>
  <c r="P831" i="1"/>
  <c r="O831" i="1"/>
  <c r="N831" i="1"/>
  <c r="W830" i="1"/>
  <c r="P830" i="1"/>
  <c r="O830" i="1"/>
  <c r="N830" i="1"/>
  <c r="W829" i="1"/>
  <c r="P829" i="1"/>
  <c r="O829" i="1"/>
  <c r="N829" i="1"/>
  <c r="W828" i="1"/>
  <c r="P828" i="1"/>
  <c r="O828" i="1"/>
  <c r="N828" i="1"/>
  <c r="W827" i="1"/>
  <c r="P827" i="1"/>
  <c r="O827" i="1"/>
  <c r="N827" i="1"/>
  <c r="W826" i="1"/>
  <c r="P826" i="1"/>
  <c r="O826" i="1"/>
  <c r="N826" i="1"/>
  <c r="W825" i="1"/>
  <c r="P825" i="1"/>
  <c r="O825" i="1"/>
  <c r="N825" i="1"/>
  <c r="W824" i="1"/>
  <c r="P824" i="1"/>
  <c r="O824" i="1"/>
  <c r="N824" i="1"/>
  <c r="W823" i="1"/>
  <c r="P823" i="1"/>
  <c r="O823" i="1"/>
  <c r="N823" i="1"/>
  <c r="W822" i="1"/>
  <c r="P822" i="1"/>
  <c r="O822" i="1"/>
  <c r="N822" i="1"/>
  <c r="W821" i="1"/>
  <c r="P821" i="1"/>
  <c r="O821" i="1"/>
  <c r="N821" i="1"/>
  <c r="W820" i="1"/>
  <c r="P820" i="1"/>
  <c r="O820" i="1"/>
  <c r="N820" i="1"/>
  <c r="W819" i="1"/>
  <c r="P819" i="1"/>
  <c r="O819" i="1"/>
  <c r="N819" i="1"/>
  <c r="W818" i="1"/>
  <c r="P818" i="1"/>
  <c r="O818" i="1"/>
  <c r="N818" i="1"/>
  <c r="W817" i="1"/>
  <c r="P817" i="1"/>
  <c r="O817" i="1"/>
  <c r="N817" i="1"/>
  <c r="W816" i="1"/>
  <c r="P816" i="1"/>
  <c r="O816" i="1"/>
  <c r="N816" i="1"/>
  <c r="W815" i="1"/>
  <c r="P815" i="1"/>
  <c r="O815" i="1"/>
  <c r="N815" i="1"/>
  <c r="W814" i="1"/>
  <c r="P814" i="1"/>
  <c r="O814" i="1"/>
  <c r="N814" i="1"/>
  <c r="W813" i="1"/>
  <c r="P813" i="1"/>
  <c r="O813" i="1"/>
  <c r="N813" i="1"/>
  <c r="W812" i="1"/>
  <c r="P812" i="1"/>
  <c r="O812" i="1"/>
  <c r="N812" i="1"/>
  <c r="W811" i="1"/>
  <c r="P811" i="1"/>
  <c r="O811" i="1"/>
  <c r="N811" i="1"/>
  <c r="W810" i="1"/>
  <c r="P810" i="1"/>
  <c r="O810" i="1"/>
  <c r="N810" i="1"/>
  <c r="W809" i="1"/>
  <c r="P809" i="1"/>
  <c r="O809" i="1"/>
  <c r="N809" i="1"/>
  <c r="W808" i="1"/>
  <c r="P808" i="1"/>
  <c r="O808" i="1"/>
  <c r="N808" i="1"/>
  <c r="W807" i="1"/>
  <c r="P807" i="1"/>
  <c r="O807" i="1"/>
  <c r="N807" i="1"/>
  <c r="W806" i="1"/>
  <c r="P806" i="1"/>
  <c r="O806" i="1"/>
  <c r="N806" i="1"/>
  <c r="W805" i="1"/>
  <c r="P805" i="1"/>
  <c r="O805" i="1"/>
  <c r="N805" i="1"/>
  <c r="W804" i="1"/>
  <c r="P804" i="1"/>
  <c r="O804" i="1"/>
  <c r="N804" i="1"/>
  <c r="W803" i="1"/>
  <c r="P803" i="1"/>
  <c r="O803" i="1"/>
  <c r="N803" i="1"/>
  <c r="W802" i="1"/>
  <c r="P802" i="1"/>
  <c r="O802" i="1"/>
  <c r="N802" i="1"/>
  <c r="W801" i="1"/>
  <c r="P801" i="1"/>
  <c r="O801" i="1"/>
  <c r="N801" i="1"/>
  <c r="W800" i="1"/>
  <c r="P800" i="1"/>
  <c r="O800" i="1"/>
  <c r="N800" i="1"/>
  <c r="W799" i="1"/>
  <c r="P799" i="1"/>
  <c r="O799" i="1"/>
  <c r="N799" i="1"/>
  <c r="W798" i="1"/>
  <c r="P798" i="1"/>
  <c r="O798" i="1"/>
  <c r="N798" i="1"/>
  <c r="W797" i="1"/>
  <c r="P797" i="1"/>
  <c r="O797" i="1"/>
  <c r="N797" i="1"/>
  <c r="W796" i="1"/>
  <c r="P796" i="1"/>
  <c r="O796" i="1"/>
  <c r="N796" i="1"/>
  <c r="W795" i="1"/>
  <c r="P795" i="1"/>
  <c r="O795" i="1"/>
  <c r="N795" i="1"/>
  <c r="W794" i="1"/>
  <c r="P794" i="1"/>
  <c r="O794" i="1"/>
  <c r="N794" i="1"/>
  <c r="W793" i="1"/>
  <c r="P793" i="1"/>
  <c r="O793" i="1"/>
  <c r="N793" i="1"/>
  <c r="W792" i="1"/>
  <c r="P792" i="1"/>
  <c r="O792" i="1"/>
  <c r="N792" i="1"/>
  <c r="W791" i="1"/>
  <c r="P791" i="1"/>
  <c r="O791" i="1"/>
  <c r="N791" i="1"/>
  <c r="W790" i="1"/>
  <c r="P790" i="1"/>
  <c r="O790" i="1"/>
  <c r="N790" i="1"/>
  <c r="W789" i="1"/>
  <c r="P789" i="1"/>
  <c r="O789" i="1"/>
  <c r="N789" i="1"/>
  <c r="W788" i="1"/>
  <c r="P788" i="1"/>
  <c r="O788" i="1"/>
  <c r="N788" i="1"/>
  <c r="W787" i="1"/>
  <c r="P787" i="1"/>
  <c r="O787" i="1"/>
  <c r="N787" i="1"/>
  <c r="W786" i="1"/>
  <c r="P786" i="1"/>
  <c r="O786" i="1"/>
  <c r="N786" i="1"/>
  <c r="W785" i="1"/>
  <c r="P785" i="1"/>
  <c r="O785" i="1"/>
  <c r="N785" i="1"/>
  <c r="W784" i="1"/>
  <c r="P784" i="1"/>
  <c r="O784" i="1"/>
  <c r="N784" i="1"/>
  <c r="W783" i="1"/>
  <c r="P783" i="1"/>
  <c r="O783" i="1"/>
  <c r="N783" i="1"/>
  <c r="W782" i="1"/>
  <c r="P782" i="1"/>
  <c r="O782" i="1"/>
  <c r="N782" i="1"/>
  <c r="W781" i="1"/>
  <c r="P781" i="1"/>
  <c r="O781" i="1"/>
  <c r="N781" i="1"/>
  <c r="W780" i="1"/>
  <c r="P780" i="1"/>
  <c r="O780" i="1"/>
  <c r="N780" i="1"/>
  <c r="W779" i="1"/>
  <c r="P779" i="1"/>
  <c r="O779" i="1"/>
  <c r="N779" i="1"/>
  <c r="W778" i="1"/>
  <c r="P778" i="1"/>
  <c r="O778" i="1"/>
  <c r="N778" i="1"/>
  <c r="W777" i="1"/>
  <c r="P777" i="1"/>
  <c r="O777" i="1"/>
  <c r="N777" i="1"/>
  <c r="W776" i="1"/>
  <c r="P776" i="1"/>
  <c r="O776" i="1"/>
  <c r="N776" i="1"/>
  <c r="W775" i="1"/>
  <c r="P775" i="1"/>
  <c r="O775" i="1"/>
  <c r="N775" i="1"/>
  <c r="W774" i="1"/>
  <c r="P774" i="1"/>
  <c r="O774" i="1"/>
  <c r="N774" i="1"/>
  <c r="W773" i="1"/>
  <c r="P773" i="1"/>
  <c r="O773" i="1"/>
  <c r="N773" i="1"/>
  <c r="W772" i="1"/>
  <c r="P772" i="1"/>
  <c r="O772" i="1"/>
  <c r="N772" i="1"/>
  <c r="W771" i="1"/>
  <c r="P771" i="1"/>
  <c r="O771" i="1"/>
  <c r="N771" i="1"/>
  <c r="W770" i="1"/>
  <c r="P770" i="1"/>
  <c r="O770" i="1"/>
  <c r="N770" i="1"/>
  <c r="W769" i="1"/>
  <c r="P769" i="1"/>
  <c r="O769" i="1"/>
  <c r="N769" i="1"/>
  <c r="W768" i="1"/>
  <c r="P768" i="1"/>
  <c r="O768" i="1"/>
  <c r="N768" i="1"/>
  <c r="W767" i="1"/>
  <c r="P767" i="1"/>
  <c r="O767" i="1"/>
  <c r="N767" i="1"/>
  <c r="W766" i="1"/>
  <c r="P766" i="1"/>
  <c r="O766" i="1"/>
  <c r="N766" i="1"/>
  <c r="W765" i="1"/>
  <c r="P765" i="1"/>
  <c r="O765" i="1"/>
  <c r="N765" i="1"/>
  <c r="W764" i="1"/>
  <c r="P764" i="1"/>
  <c r="O764" i="1"/>
  <c r="N764" i="1"/>
  <c r="W763" i="1"/>
  <c r="P763" i="1"/>
  <c r="O763" i="1"/>
  <c r="N763" i="1"/>
  <c r="W762" i="1"/>
  <c r="P762" i="1"/>
  <c r="O762" i="1"/>
  <c r="N762" i="1"/>
  <c r="W761" i="1"/>
  <c r="P761" i="1"/>
  <c r="O761" i="1"/>
  <c r="N761" i="1"/>
  <c r="W760" i="1"/>
  <c r="P760" i="1"/>
  <c r="O760" i="1"/>
  <c r="N760" i="1"/>
  <c r="W759" i="1"/>
  <c r="P759" i="1"/>
  <c r="O759" i="1"/>
  <c r="N759" i="1"/>
  <c r="W758" i="1"/>
  <c r="P758" i="1"/>
  <c r="O758" i="1"/>
  <c r="N758" i="1"/>
  <c r="W757" i="1"/>
  <c r="P757" i="1"/>
  <c r="O757" i="1"/>
  <c r="N757" i="1"/>
  <c r="W756" i="1"/>
  <c r="P756" i="1"/>
  <c r="O756" i="1"/>
  <c r="N756" i="1"/>
  <c r="W755" i="1"/>
  <c r="P755" i="1"/>
  <c r="O755" i="1"/>
  <c r="N755" i="1"/>
  <c r="W754" i="1"/>
  <c r="P754" i="1"/>
  <c r="O754" i="1"/>
  <c r="N754" i="1"/>
  <c r="W753" i="1"/>
  <c r="P753" i="1"/>
  <c r="O753" i="1"/>
  <c r="N753" i="1"/>
  <c r="W752" i="1"/>
  <c r="P752" i="1"/>
  <c r="O752" i="1"/>
  <c r="N752" i="1"/>
  <c r="W751" i="1"/>
  <c r="P751" i="1"/>
  <c r="O751" i="1"/>
  <c r="N751" i="1"/>
  <c r="W750" i="1"/>
  <c r="P750" i="1"/>
  <c r="O750" i="1"/>
  <c r="N750" i="1"/>
  <c r="W749" i="1"/>
  <c r="P749" i="1"/>
  <c r="O749" i="1"/>
  <c r="N749" i="1"/>
  <c r="W748" i="1"/>
  <c r="P748" i="1"/>
  <c r="O748" i="1"/>
  <c r="N748" i="1"/>
  <c r="W747" i="1"/>
  <c r="P747" i="1"/>
  <c r="O747" i="1"/>
  <c r="N747" i="1"/>
  <c r="W746" i="1"/>
  <c r="P746" i="1"/>
  <c r="O746" i="1"/>
  <c r="N746" i="1"/>
  <c r="W745" i="1"/>
  <c r="P745" i="1"/>
  <c r="O745" i="1"/>
  <c r="N745" i="1"/>
  <c r="W744" i="1"/>
  <c r="P744" i="1"/>
  <c r="O744" i="1"/>
  <c r="N744" i="1"/>
  <c r="W743" i="1"/>
  <c r="P743" i="1"/>
  <c r="O743" i="1"/>
  <c r="N743" i="1"/>
  <c r="W742" i="1"/>
  <c r="P742" i="1"/>
  <c r="O742" i="1"/>
  <c r="N742" i="1"/>
  <c r="W741" i="1"/>
  <c r="P741" i="1"/>
  <c r="O741" i="1"/>
  <c r="N741" i="1"/>
  <c r="W740" i="1"/>
  <c r="P740" i="1"/>
  <c r="O740" i="1"/>
  <c r="N740" i="1"/>
  <c r="W739" i="1"/>
  <c r="P739" i="1"/>
  <c r="O739" i="1"/>
  <c r="N739" i="1"/>
  <c r="W738" i="1"/>
  <c r="P738" i="1"/>
  <c r="O738" i="1"/>
  <c r="N738" i="1"/>
  <c r="W737" i="1"/>
  <c r="P737" i="1"/>
  <c r="O737" i="1"/>
  <c r="N737" i="1"/>
  <c r="W736" i="1"/>
  <c r="P736" i="1"/>
  <c r="O736" i="1"/>
  <c r="N736" i="1"/>
  <c r="W735" i="1"/>
  <c r="P735" i="1"/>
  <c r="O735" i="1"/>
  <c r="N735" i="1"/>
  <c r="W734" i="1"/>
  <c r="P734" i="1"/>
  <c r="O734" i="1"/>
  <c r="N734" i="1"/>
  <c r="W733" i="1"/>
  <c r="P733" i="1"/>
  <c r="O733" i="1"/>
  <c r="N733" i="1"/>
  <c r="W732" i="1"/>
  <c r="P732" i="1"/>
  <c r="O732" i="1"/>
  <c r="N732" i="1"/>
  <c r="W731" i="1"/>
  <c r="P731" i="1"/>
  <c r="O731" i="1"/>
  <c r="N731" i="1"/>
  <c r="W730" i="1"/>
  <c r="P730" i="1"/>
  <c r="O730" i="1"/>
  <c r="N730" i="1"/>
  <c r="W729" i="1"/>
  <c r="P729" i="1"/>
  <c r="O729" i="1"/>
  <c r="N729" i="1"/>
  <c r="W728" i="1"/>
  <c r="P728" i="1"/>
  <c r="O728" i="1"/>
  <c r="N728" i="1"/>
  <c r="W727" i="1"/>
  <c r="P727" i="1"/>
  <c r="O727" i="1"/>
  <c r="N727" i="1"/>
  <c r="W726" i="1"/>
  <c r="P726" i="1"/>
  <c r="O726" i="1"/>
  <c r="N726" i="1"/>
  <c r="W725" i="1"/>
  <c r="P725" i="1"/>
  <c r="O725" i="1"/>
  <c r="N725" i="1"/>
  <c r="W724" i="1"/>
  <c r="P724" i="1"/>
  <c r="O724" i="1"/>
  <c r="N724" i="1"/>
  <c r="W723" i="1"/>
  <c r="P723" i="1"/>
  <c r="O723" i="1"/>
  <c r="N723" i="1"/>
  <c r="W722" i="1"/>
  <c r="P722" i="1"/>
  <c r="O722" i="1"/>
  <c r="N722" i="1"/>
  <c r="W721" i="1"/>
  <c r="P721" i="1"/>
  <c r="O721" i="1"/>
  <c r="N721" i="1"/>
  <c r="W720" i="1"/>
  <c r="P720" i="1"/>
  <c r="O720" i="1"/>
  <c r="N720" i="1"/>
  <c r="W719" i="1"/>
  <c r="P719" i="1"/>
  <c r="O719" i="1"/>
  <c r="N719" i="1"/>
  <c r="W718" i="1"/>
  <c r="P718" i="1"/>
  <c r="O718" i="1"/>
  <c r="N718" i="1"/>
  <c r="W717" i="1"/>
  <c r="P717" i="1"/>
  <c r="O717" i="1"/>
  <c r="N717" i="1"/>
  <c r="W716" i="1"/>
  <c r="P716" i="1"/>
  <c r="O716" i="1"/>
  <c r="N716" i="1"/>
  <c r="W715" i="1"/>
  <c r="P715" i="1"/>
  <c r="O715" i="1"/>
  <c r="N715" i="1"/>
  <c r="W714" i="1"/>
  <c r="P714" i="1"/>
  <c r="O714" i="1"/>
  <c r="N714" i="1"/>
  <c r="W713" i="1"/>
  <c r="P713" i="1"/>
  <c r="O713" i="1"/>
  <c r="N713" i="1"/>
  <c r="W712" i="1"/>
  <c r="P712" i="1"/>
  <c r="O712" i="1"/>
  <c r="N712" i="1"/>
  <c r="W711" i="1"/>
  <c r="P711" i="1"/>
  <c r="O711" i="1"/>
  <c r="N711" i="1"/>
  <c r="W710" i="1"/>
  <c r="P710" i="1"/>
  <c r="O710" i="1"/>
  <c r="N710" i="1"/>
  <c r="W709" i="1"/>
  <c r="P709" i="1"/>
  <c r="O709" i="1"/>
  <c r="N709" i="1"/>
  <c r="W708" i="1"/>
  <c r="P708" i="1"/>
  <c r="O708" i="1"/>
  <c r="N708" i="1"/>
  <c r="W707" i="1"/>
  <c r="P707" i="1"/>
  <c r="O707" i="1"/>
  <c r="N707" i="1"/>
  <c r="W706" i="1"/>
  <c r="P706" i="1"/>
  <c r="O706" i="1"/>
  <c r="N706" i="1"/>
  <c r="W705" i="1"/>
  <c r="P705" i="1"/>
  <c r="O705" i="1"/>
  <c r="N705" i="1"/>
  <c r="W704" i="1"/>
  <c r="P704" i="1"/>
  <c r="O704" i="1"/>
  <c r="N704" i="1"/>
  <c r="W703" i="1"/>
  <c r="P703" i="1"/>
  <c r="O703" i="1"/>
  <c r="N703" i="1"/>
  <c r="W702" i="1"/>
  <c r="P702" i="1"/>
  <c r="O702" i="1"/>
  <c r="N702" i="1"/>
  <c r="W701" i="1"/>
  <c r="P701" i="1"/>
  <c r="O701" i="1"/>
  <c r="N701" i="1"/>
  <c r="W700" i="1"/>
  <c r="P700" i="1"/>
  <c r="O700" i="1"/>
  <c r="N700" i="1"/>
  <c r="W699" i="1"/>
  <c r="P699" i="1"/>
  <c r="O699" i="1"/>
  <c r="N699" i="1"/>
  <c r="W698" i="1"/>
  <c r="P698" i="1"/>
  <c r="O698" i="1"/>
  <c r="N698" i="1"/>
  <c r="W697" i="1"/>
  <c r="P697" i="1"/>
  <c r="O697" i="1"/>
  <c r="N697" i="1"/>
  <c r="W696" i="1"/>
  <c r="P696" i="1"/>
  <c r="O696" i="1"/>
  <c r="N696" i="1"/>
  <c r="W695" i="1"/>
  <c r="P695" i="1"/>
  <c r="O695" i="1"/>
  <c r="N695" i="1"/>
  <c r="W694" i="1"/>
  <c r="P694" i="1"/>
  <c r="O694" i="1"/>
  <c r="N694" i="1"/>
  <c r="W693" i="1"/>
  <c r="P693" i="1"/>
  <c r="O693" i="1"/>
  <c r="N693" i="1"/>
  <c r="W692" i="1"/>
  <c r="P692" i="1"/>
  <c r="O692" i="1"/>
  <c r="N692" i="1"/>
  <c r="W691" i="1"/>
  <c r="P691" i="1"/>
  <c r="O691" i="1"/>
  <c r="N691" i="1"/>
  <c r="W690" i="1"/>
  <c r="O690" i="1"/>
  <c r="P690" i="1" s="1"/>
  <c r="N690" i="1"/>
  <c r="W689" i="1"/>
  <c r="O689" i="1"/>
  <c r="P689" i="1" s="1"/>
  <c r="N689" i="1"/>
  <c r="W688" i="1"/>
  <c r="O688" i="1"/>
  <c r="P688" i="1" s="1"/>
  <c r="N688" i="1"/>
  <c r="W687" i="1"/>
  <c r="O687" i="1"/>
  <c r="P687" i="1" s="1"/>
  <c r="N687" i="1"/>
  <c r="W686" i="1"/>
  <c r="O686" i="1"/>
  <c r="P686" i="1" s="1"/>
  <c r="N686" i="1"/>
  <c r="W685" i="1"/>
  <c r="O685" i="1"/>
  <c r="P685" i="1" s="1"/>
  <c r="N685" i="1"/>
  <c r="W684" i="1"/>
  <c r="O684" i="1"/>
  <c r="P684" i="1" s="1"/>
  <c r="N684" i="1"/>
  <c r="W683" i="1"/>
  <c r="O683" i="1"/>
  <c r="P683" i="1" s="1"/>
  <c r="N683" i="1"/>
  <c r="W682" i="1"/>
  <c r="O682" i="1"/>
  <c r="P682" i="1" s="1"/>
  <c r="N682" i="1"/>
  <c r="W681" i="1"/>
  <c r="O681" i="1"/>
  <c r="P681" i="1" s="1"/>
  <c r="N681" i="1"/>
  <c r="W680" i="1"/>
  <c r="O680" i="1"/>
  <c r="N680" i="1"/>
  <c r="P680" i="1" s="1"/>
  <c r="W679" i="1"/>
  <c r="O679" i="1"/>
  <c r="N679" i="1"/>
  <c r="W678" i="1"/>
  <c r="O678" i="1"/>
  <c r="N678" i="1"/>
  <c r="P678" i="1" s="1"/>
  <c r="W677" i="1"/>
  <c r="O677" i="1"/>
  <c r="N677" i="1"/>
  <c r="P677" i="1" s="1"/>
  <c r="W676" i="1"/>
  <c r="O676" i="1"/>
  <c r="N676" i="1"/>
  <c r="P676" i="1" s="1"/>
  <c r="W675" i="1"/>
  <c r="O675" i="1"/>
  <c r="N675" i="1"/>
  <c r="W674" i="1"/>
  <c r="O674" i="1"/>
  <c r="N674" i="1"/>
  <c r="P674" i="1" s="1"/>
  <c r="W673" i="1"/>
  <c r="O673" i="1"/>
  <c r="N673" i="1"/>
  <c r="P673" i="1" s="1"/>
  <c r="W672" i="1"/>
  <c r="O672" i="1"/>
  <c r="N672" i="1"/>
  <c r="P672" i="1" s="1"/>
  <c r="W671" i="1"/>
  <c r="O671" i="1"/>
  <c r="N671" i="1"/>
  <c r="W670" i="1"/>
  <c r="O670" i="1"/>
  <c r="N670" i="1"/>
  <c r="P670" i="1" s="1"/>
  <c r="W669" i="1"/>
  <c r="O669" i="1"/>
  <c r="N669" i="1"/>
  <c r="P669" i="1" s="1"/>
  <c r="W668" i="1"/>
  <c r="O668" i="1"/>
  <c r="N668" i="1"/>
  <c r="P668" i="1" s="1"/>
  <c r="W667" i="1"/>
  <c r="O667" i="1"/>
  <c r="N667" i="1"/>
  <c r="W666" i="1"/>
  <c r="O666" i="1"/>
  <c r="N666" i="1"/>
  <c r="P666" i="1" s="1"/>
  <c r="W665" i="1"/>
  <c r="O665" i="1"/>
  <c r="N665" i="1"/>
  <c r="P665" i="1" s="1"/>
  <c r="W664" i="1"/>
  <c r="O664" i="1"/>
  <c r="N664" i="1"/>
  <c r="P664" i="1" s="1"/>
  <c r="W663" i="1"/>
  <c r="O663" i="1"/>
  <c r="N663" i="1"/>
  <c r="W662" i="1"/>
  <c r="O662" i="1"/>
  <c r="N662" i="1"/>
  <c r="P662" i="1" s="1"/>
  <c r="W661" i="1"/>
  <c r="O661" i="1"/>
  <c r="N661" i="1"/>
  <c r="P661" i="1" s="1"/>
  <c r="W660" i="1"/>
  <c r="O660" i="1"/>
  <c r="N660" i="1"/>
  <c r="P660" i="1" s="1"/>
  <c r="W659" i="1"/>
  <c r="O659" i="1"/>
  <c r="N659" i="1"/>
  <c r="W658" i="1"/>
  <c r="O658" i="1"/>
  <c r="N658" i="1"/>
  <c r="P658" i="1" s="1"/>
  <c r="W657" i="1"/>
  <c r="O657" i="1"/>
  <c r="N657" i="1"/>
  <c r="P657" i="1" s="1"/>
  <c r="W656" i="1"/>
  <c r="O656" i="1"/>
  <c r="N656" i="1"/>
  <c r="P656" i="1" s="1"/>
  <c r="W655" i="1"/>
  <c r="O655" i="1"/>
  <c r="N655" i="1"/>
  <c r="W654" i="1"/>
  <c r="O654" i="1"/>
  <c r="N654" i="1"/>
  <c r="P654" i="1" s="1"/>
  <c r="W653" i="1"/>
  <c r="O653" i="1"/>
  <c r="N653" i="1"/>
  <c r="P653" i="1" s="1"/>
  <c r="W652" i="1"/>
  <c r="O652" i="1"/>
  <c r="N652" i="1"/>
  <c r="P652" i="1" s="1"/>
  <c r="W651" i="1"/>
  <c r="O651" i="1"/>
  <c r="N651" i="1"/>
  <c r="W650" i="1"/>
  <c r="O650" i="1"/>
  <c r="N650" i="1"/>
  <c r="P650" i="1" s="1"/>
  <c r="W649" i="1"/>
  <c r="O649" i="1"/>
  <c r="N649" i="1"/>
  <c r="P649" i="1" s="1"/>
  <c r="W648" i="1"/>
  <c r="O648" i="1"/>
  <c r="N648" i="1"/>
  <c r="P648" i="1" s="1"/>
  <c r="W647" i="1"/>
  <c r="O647" i="1"/>
  <c r="N647" i="1"/>
  <c r="W646" i="1"/>
  <c r="O646" i="1"/>
  <c r="N646" i="1"/>
  <c r="P646" i="1" s="1"/>
  <c r="W645" i="1"/>
  <c r="O645" i="1"/>
  <c r="N645" i="1"/>
  <c r="P645" i="1" s="1"/>
  <c r="W644" i="1"/>
  <c r="O644" i="1"/>
  <c r="N644" i="1"/>
  <c r="P644" i="1" s="1"/>
  <c r="W643" i="1"/>
  <c r="O643" i="1"/>
  <c r="N643" i="1"/>
  <c r="W642" i="1"/>
  <c r="O642" i="1"/>
  <c r="N642" i="1"/>
  <c r="P642" i="1" s="1"/>
  <c r="W641" i="1"/>
  <c r="O641" i="1"/>
  <c r="N641" i="1"/>
  <c r="P641" i="1" s="1"/>
  <c r="W640" i="1"/>
  <c r="O640" i="1"/>
  <c r="N640" i="1"/>
  <c r="P640" i="1" s="1"/>
  <c r="W639" i="1"/>
  <c r="O639" i="1"/>
  <c r="N639" i="1"/>
  <c r="W638" i="1"/>
  <c r="O638" i="1"/>
  <c r="N638" i="1"/>
  <c r="P638" i="1" s="1"/>
  <c r="W637" i="1"/>
  <c r="O637" i="1"/>
  <c r="N637" i="1"/>
  <c r="P637" i="1" s="1"/>
  <c r="W636" i="1"/>
  <c r="O636" i="1"/>
  <c r="N636" i="1"/>
  <c r="P636" i="1" s="1"/>
  <c r="W635" i="1"/>
  <c r="O635" i="1"/>
  <c r="N635" i="1"/>
  <c r="W634" i="1"/>
  <c r="O634" i="1"/>
  <c r="N634" i="1"/>
  <c r="P634" i="1" s="1"/>
  <c r="W633" i="1"/>
  <c r="O633" i="1"/>
  <c r="N633" i="1"/>
  <c r="P633" i="1" s="1"/>
  <c r="W632" i="1"/>
  <c r="O632" i="1"/>
  <c r="N632" i="1"/>
  <c r="P632" i="1" s="1"/>
  <c r="W631" i="1"/>
  <c r="O631" i="1"/>
  <c r="N631" i="1"/>
  <c r="W630" i="1"/>
  <c r="O630" i="1"/>
  <c r="N630" i="1"/>
  <c r="P630" i="1" s="1"/>
  <c r="W629" i="1"/>
  <c r="O629" i="1"/>
  <c r="N629" i="1"/>
  <c r="P629" i="1" s="1"/>
  <c r="W628" i="1"/>
  <c r="O628" i="1"/>
  <c r="N628" i="1"/>
  <c r="P628" i="1" s="1"/>
  <c r="W627" i="1"/>
  <c r="O627" i="1"/>
  <c r="N627" i="1"/>
  <c r="W626" i="1"/>
  <c r="O626" i="1"/>
  <c r="N626" i="1"/>
  <c r="P626" i="1" s="1"/>
  <c r="W625" i="1"/>
  <c r="O625" i="1"/>
  <c r="N625" i="1"/>
  <c r="P625" i="1" s="1"/>
  <c r="W624" i="1"/>
  <c r="O624" i="1"/>
  <c r="N624" i="1"/>
  <c r="P624" i="1" s="1"/>
  <c r="W623" i="1"/>
  <c r="O623" i="1"/>
  <c r="N623" i="1"/>
  <c r="W622" i="1"/>
  <c r="O622" i="1"/>
  <c r="N622" i="1"/>
  <c r="P622" i="1" s="1"/>
  <c r="W621" i="1"/>
  <c r="O621" i="1"/>
  <c r="N621" i="1"/>
  <c r="P621" i="1" s="1"/>
  <c r="W620" i="1"/>
  <c r="O620" i="1"/>
  <c r="N620" i="1"/>
  <c r="P620" i="1" s="1"/>
  <c r="W619" i="1"/>
  <c r="O619" i="1"/>
  <c r="N619" i="1"/>
  <c r="W618" i="1"/>
  <c r="O618" i="1"/>
  <c r="N618" i="1"/>
  <c r="P618" i="1" s="1"/>
  <c r="W617" i="1"/>
  <c r="O617" i="1"/>
  <c r="N617" i="1"/>
  <c r="P617" i="1" s="1"/>
  <c r="W616" i="1"/>
  <c r="O616" i="1"/>
  <c r="N616" i="1"/>
  <c r="P616" i="1" s="1"/>
  <c r="W615" i="1"/>
  <c r="O615" i="1"/>
  <c r="N615" i="1"/>
  <c r="W614" i="1"/>
  <c r="O614" i="1"/>
  <c r="N614" i="1"/>
  <c r="P614" i="1" s="1"/>
  <c r="W613" i="1"/>
  <c r="O613" i="1"/>
  <c r="N613" i="1"/>
  <c r="P613" i="1" s="1"/>
  <c r="W612" i="1"/>
  <c r="O612" i="1"/>
  <c r="N612" i="1"/>
  <c r="P612" i="1" s="1"/>
  <c r="W611" i="1"/>
  <c r="O611" i="1"/>
  <c r="N611" i="1"/>
  <c r="W610" i="1"/>
  <c r="O610" i="1"/>
  <c r="N610" i="1"/>
  <c r="P610" i="1" s="1"/>
  <c r="W609" i="1"/>
  <c r="O609" i="1"/>
  <c r="N609" i="1"/>
  <c r="P609" i="1" s="1"/>
  <c r="W608" i="1"/>
  <c r="O608" i="1"/>
  <c r="N608" i="1"/>
  <c r="P608" i="1" s="1"/>
  <c r="W607" i="1"/>
  <c r="O607" i="1"/>
  <c r="N607" i="1"/>
  <c r="W606" i="1"/>
  <c r="O606" i="1"/>
  <c r="N606" i="1"/>
  <c r="P606" i="1" s="1"/>
  <c r="W605" i="1"/>
  <c r="O605" i="1"/>
  <c r="N605" i="1"/>
  <c r="P605" i="1" s="1"/>
  <c r="W604" i="1"/>
  <c r="O604" i="1"/>
  <c r="N604" i="1"/>
  <c r="P604" i="1" s="1"/>
  <c r="W603" i="1"/>
  <c r="O603" i="1"/>
  <c r="N603" i="1"/>
  <c r="W602" i="1"/>
  <c r="O602" i="1"/>
  <c r="N602" i="1"/>
  <c r="P602" i="1" s="1"/>
  <c r="W601" i="1"/>
  <c r="O601" i="1"/>
  <c r="N601" i="1"/>
  <c r="P601" i="1" s="1"/>
  <c r="W600" i="1"/>
  <c r="O600" i="1"/>
  <c r="N600" i="1"/>
  <c r="P600" i="1" s="1"/>
  <c r="W599" i="1"/>
  <c r="O599" i="1"/>
  <c r="N599" i="1"/>
  <c r="W598" i="1"/>
  <c r="O598" i="1"/>
  <c r="N598" i="1"/>
  <c r="P598" i="1" s="1"/>
  <c r="W597" i="1"/>
  <c r="O597" i="1"/>
  <c r="N597" i="1"/>
  <c r="P597" i="1" s="1"/>
  <c r="W596" i="1"/>
  <c r="O596" i="1"/>
  <c r="N596" i="1"/>
  <c r="P596" i="1" s="1"/>
  <c r="W595" i="1"/>
  <c r="O595" i="1"/>
  <c r="N595" i="1"/>
  <c r="W594" i="1"/>
  <c r="O594" i="1"/>
  <c r="N594" i="1"/>
  <c r="P594" i="1" s="1"/>
  <c r="W593" i="1"/>
  <c r="O593" i="1"/>
  <c r="N593" i="1"/>
  <c r="P593" i="1" s="1"/>
  <c r="W592" i="1"/>
  <c r="O592" i="1"/>
  <c r="N592" i="1"/>
  <c r="P592" i="1" s="1"/>
  <c r="W591" i="1"/>
  <c r="O591" i="1"/>
  <c r="N591" i="1"/>
  <c r="W590" i="1"/>
  <c r="O590" i="1"/>
  <c r="N590" i="1"/>
  <c r="P590" i="1" s="1"/>
  <c r="W589" i="1"/>
  <c r="O589" i="1"/>
  <c r="N589" i="1"/>
  <c r="P589" i="1" s="1"/>
  <c r="W588" i="1"/>
  <c r="O588" i="1"/>
  <c r="N588" i="1"/>
  <c r="P588" i="1" s="1"/>
  <c r="W587" i="1"/>
  <c r="O587" i="1"/>
  <c r="N587" i="1"/>
  <c r="W586" i="1"/>
  <c r="O586" i="1"/>
  <c r="N586" i="1"/>
  <c r="P586" i="1" s="1"/>
  <c r="W585" i="1"/>
  <c r="O585" i="1"/>
  <c r="N585" i="1"/>
  <c r="P585" i="1" s="1"/>
  <c r="W584" i="1"/>
  <c r="O584" i="1"/>
  <c r="N584" i="1"/>
  <c r="P584" i="1" s="1"/>
  <c r="W583" i="1"/>
  <c r="O583" i="1"/>
  <c r="N583" i="1"/>
  <c r="W582" i="1"/>
  <c r="O582" i="1"/>
  <c r="N582" i="1"/>
  <c r="P582" i="1" s="1"/>
  <c r="W581" i="1"/>
  <c r="O581" i="1"/>
  <c r="N581" i="1"/>
  <c r="P581" i="1" s="1"/>
  <c r="W580" i="1"/>
  <c r="O580" i="1"/>
  <c r="N580" i="1"/>
  <c r="P580" i="1" s="1"/>
  <c r="W579" i="1"/>
  <c r="O579" i="1"/>
  <c r="N579" i="1"/>
  <c r="W578" i="1"/>
  <c r="O578" i="1"/>
  <c r="N578" i="1"/>
  <c r="P578" i="1" s="1"/>
  <c r="W577" i="1"/>
  <c r="O577" i="1"/>
  <c r="N577" i="1"/>
  <c r="P577" i="1" s="1"/>
  <c r="W576" i="1"/>
  <c r="O576" i="1"/>
  <c r="N576" i="1"/>
  <c r="P576" i="1" s="1"/>
  <c r="W575" i="1"/>
  <c r="O575" i="1"/>
  <c r="N575" i="1"/>
  <c r="W574" i="1"/>
  <c r="O574" i="1"/>
  <c r="N574" i="1"/>
  <c r="P574" i="1" s="1"/>
  <c r="W573" i="1"/>
  <c r="O573" i="1"/>
  <c r="N573" i="1"/>
  <c r="P573" i="1" s="1"/>
  <c r="W572" i="1"/>
  <c r="O572" i="1"/>
  <c r="N572" i="1"/>
  <c r="P572" i="1" s="1"/>
  <c r="W571" i="1"/>
  <c r="O571" i="1"/>
  <c r="N571" i="1"/>
  <c r="W570" i="1"/>
  <c r="O570" i="1"/>
  <c r="N570" i="1"/>
  <c r="P570" i="1" s="1"/>
  <c r="W569" i="1"/>
  <c r="O569" i="1"/>
  <c r="N569" i="1"/>
  <c r="P569" i="1" s="1"/>
  <c r="W568" i="1"/>
  <c r="O568" i="1"/>
  <c r="N568" i="1"/>
  <c r="P568" i="1" s="1"/>
  <c r="W567" i="1"/>
  <c r="O567" i="1"/>
  <c r="N567" i="1"/>
  <c r="W566" i="1"/>
  <c r="O566" i="1"/>
  <c r="N566" i="1"/>
  <c r="P566" i="1" s="1"/>
  <c r="W565" i="1"/>
  <c r="O565" i="1"/>
  <c r="N565" i="1"/>
  <c r="P565" i="1" s="1"/>
  <c r="W564" i="1"/>
  <c r="O564" i="1"/>
  <c r="N564" i="1"/>
  <c r="P564" i="1" s="1"/>
  <c r="W563" i="1"/>
  <c r="O563" i="1"/>
  <c r="N563" i="1"/>
  <c r="W562" i="1"/>
  <c r="O562" i="1"/>
  <c r="N562" i="1"/>
  <c r="P562" i="1" s="1"/>
  <c r="W561" i="1"/>
  <c r="O561" i="1"/>
  <c r="N561" i="1"/>
  <c r="P561" i="1" s="1"/>
  <c r="W560" i="1"/>
  <c r="O560" i="1"/>
  <c r="N560" i="1"/>
  <c r="P560" i="1" s="1"/>
  <c r="W559" i="1"/>
  <c r="O559" i="1"/>
  <c r="N559" i="1"/>
  <c r="W558" i="1"/>
  <c r="O558" i="1"/>
  <c r="N558" i="1"/>
  <c r="P558" i="1" s="1"/>
  <c r="W557" i="1"/>
  <c r="O557" i="1"/>
  <c r="N557" i="1"/>
  <c r="P557" i="1" s="1"/>
  <c r="W556" i="1"/>
  <c r="O556" i="1"/>
  <c r="N556" i="1"/>
  <c r="P556" i="1" s="1"/>
  <c r="W555" i="1"/>
  <c r="O555" i="1"/>
  <c r="N555" i="1"/>
  <c r="W554" i="1"/>
  <c r="O554" i="1"/>
  <c r="N554" i="1"/>
  <c r="P554" i="1" s="1"/>
  <c r="W553" i="1"/>
  <c r="O553" i="1"/>
  <c r="N553" i="1"/>
  <c r="P553" i="1" s="1"/>
  <c r="W552" i="1"/>
  <c r="O552" i="1"/>
  <c r="N552" i="1"/>
  <c r="P552" i="1" s="1"/>
  <c r="W551" i="1"/>
  <c r="O551" i="1"/>
  <c r="N551" i="1"/>
  <c r="W550" i="1"/>
  <c r="O550" i="1"/>
  <c r="N550" i="1"/>
  <c r="P550" i="1" s="1"/>
  <c r="W549" i="1"/>
  <c r="O549" i="1"/>
  <c r="N549" i="1"/>
  <c r="P549" i="1" s="1"/>
  <c r="W548" i="1"/>
  <c r="O548" i="1"/>
  <c r="N548" i="1"/>
  <c r="P548" i="1" s="1"/>
  <c r="W547" i="1"/>
  <c r="O547" i="1"/>
  <c r="N547" i="1"/>
  <c r="W546" i="1"/>
  <c r="O546" i="1"/>
  <c r="N546" i="1"/>
  <c r="P546" i="1" s="1"/>
  <c r="W545" i="1"/>
  <c r="O545" i="1"/>
  <c r="N545" i="1"/>
  <c r="P545" i="1" s="1"/>
  <c r="W544" i="1"/>
  <c r="O544" i="1"/>
  <c r="N544" i="1"/>
  <c r="P544" i="1" s="1"/>
  <c r="W543" i="1"/>
  <c r="O543" i="1"/>
  <c r="N543" i="1"/>
  <c r="W542" i="1"/>
  <c r="O542" i="1"/>
  <c r="N542" i="1"/>
  <c r="P542" i="1" s="1"/>
  <c r="W541" i="1"/>
  <c r="O541" i="1"/>
  <c r="N541" i="1"/>
  <c r="P541" i="1" s="1"/>
  <c r="W540" i="1"/>
  <c r="O540" i="1"/>
  <c r="N540" i="1"/>
  <c r="P540" i="1" s="1"/>
  <c r="W539" i="1"/>
  <c r="O539" i="1"/>
  <c r="N539" i="1"/>
  <c r="W538" i="1"/>
  <c r="O538" i="1"/>
  <c r="N538" i="1"/>
  <c r="P538" i="1" s="1"/>
  <c r="W537" i="1"/>
  <c r="O537" i="1"/>
  <c r="N537" i="1"/>
  <c r="P537" i="1" s="1"/>
  <c r="W536" i="1"/>
  <c r="O536" i="1"/>
  <c r="N536" i="1"/>
  <c r="P536" i="1" s="1"/>
  <c r="W535" i="1"/>
  <c r="O535" i="1"/>
  <c r="N535" i="1"/>
  <c r="W534" i="1"/>
  <c r="O534" i="1"/>
  <c r="N534" i="1"/>
  <c r="P534" i="1" s="1"/>
  <c r="W533" i="1"/>
  <c r="O533" i="1"/>
  <c r="N533" i="1"/>
  <c r="P533" i="1" s="1"/>
  <c r="W532" i="1"/>
  <c r="O532" i="1"/>
  <c r="N532" i="1"/>
  <c r="P532" i="1" s="1"/>
  <c r="W531" i="1"/>
  <c r="O531" i="1"/>
  <c r="N531" i="1"/>
  <c r="W530" i="1"/>
  <c r="O530" i="1"/>
  <c r="N530" i="1"/>
  <c r="P530" i="1" s="1"/>
  <c r="W529" i="1"/>
  <c r="O529" i="1"/>
  <c r="N529" i="1"/>
  <c r="P529" i="1" s="1"/>
  <c r="W528" i="1"/>
  <c r="O528" i="1"/>
  <c r="N528" i="1"/>
  <c r="P528" i="1" s="1"/>
  <c r="W527" i="1"/>
  <c r="O527" i="1"/>
  <c r="N527" i="1"/>
  <c r="W526" i="1"/>
  <c r="O526" i="1"/>
  <c r="N526" i="1"/>
  <c r="P526" i="1" s="1"/>
  <c r="W525" i="1"/>
  <c r="O525" i="1"/>
  <c r="N525" i="1"/>
  <c r="P525" i="1" s="1"/>
  <c r="W524" i="1"/>
  <c r="O524" i="1"/>
  <c r="N524" i="1"/>
  <c r="P524" i="1" s="1"/>
  <c r="W523" i="1"/>
  <c r="O523" i="1"/>
  <c r="N523" i="1"/>
  <c r="W522" i="1"/>
  <c r="O522" i="1"/>
  <c r="N522" i="1"/>
  <c r="P522" i="1" s="1"/>
  <c r="W521" i="1"/>
  <c r="O521" i="1"/>
  <c r="N521" i="1"/>
  <c r="P521" i="1" s="1"/>
  <c r="W520" i="1"/>
  <c r="O520" i="1"/>
  <c r="N520" i="1"/>
  <c r="P520" i="1" s="1"/>
  <c r="W519" i="1"/>
  <c r="O519" i="1"/>
  <c r="N519" i="1"/>
  <c r="W518" i="1"/>
  <c r="O518" i="1"/>
  <c r="N518" i="1"/>
  <c r="P518" i="1" s="1"/>
  <c r="W517" i="1"/>
  <c r="O517" i="1"/>
  <c r="N517" i="1"/>
  <c r="P517" i="1" s="1"/>
  <c r="W516" i="1"/>
  <c r="O516" i="1"/>
  <c r="N516" i="1"/>
  <c r="P516" i="1" s="1"/>
  <c r="W515" i="1"/>
  <c r="O515" i="1"/>
  <c r="N515" i="1"/>
  <c r="W514" i="1"/>
  <c r="O514" i="1"/>
  <c r="N514" i="1"/>
  <c r="P514" i="1" s="1"/>
  <c r="W513" i="1"/>
  <c r="O513" i="1"/>
  <c r="N513" i="1"/>
  <c r="P513" i="1" s="1"/>
  <c r="W512" i="1"/>
  <c r="O512" i="1"/>
  <c r="N512" i="1"/>
  <c r="P512" i="1" s="1"/>
  <c r="W511" i="1"/>
  <c r="O511" i="1"/>
  <c r="N511" i="1"/>
  <c r="W510" i="1"/>
  <c r="O510" i="1"/>
  <c r="N510" i="1"/>
  <c r="P510" i="1" s="1"/>
  <c r="W509" i="1"/>
  <c r="O509" i="1"/>
  <c r="N509" i="1"/>
  <c r="P509" i="1" s="1"/>
  <c r="W508" i="1"/>
  <c r="O508" i="1"/>
  <c r="N508" i="1"/>
  <c r="P508" i="1" s="1"/>
  <c r="W507" i="1"/>
  <c r="O507" i="1"/>
  <c r="N507" i="1"/>
  <c r="W506" i="1"/>
  <c r="O506" i="1"/>
  <c r="N506" i="1"/>
  <c r="P506" i="1" s="1"/>
  <c r="W505" i="1"/>
  <c r="O505" i="1"/>
  <c r="N505" i="1"/>
  <c r="P505" i="1" s="1"/>
  <c r="W504" i="1"/>
  <c r="O504" i="1"/>
  <c r="N504" i="1"/>
  <c r="P504" i="1" s="1"/>
  <c r="W503" i="1"/>
  <c r="O503" i="1"/>
  <c r="N503" i="1"/>
  <c r="W502" i="1"/>
  <c r="O502" i="1"/>
  <c r="N502" i="1"/>
  <c r="P502" i="1" s="1"/>
  <c r="W501" i="1"/>
  <c r="O501" i="1"/>
  <c r="N501" i="1"/>
  <c r="P501" i="1" s="1"/>
  <c r="W500" i="1"/>
  <c r="O500" i="1"/>
  <c r="N500" i="1"/>
  <c r="P500" i="1" s="1"/>
  <c r="W499" i="1"/>
  <c r="O499" i="1"/>
  <c r="N499" i="1"/>
  <c r="W498" i="1"/>
  <c r="O498" i="1"/>
  <c r="N498" i="1"/>
  <c r="P498" i="1" s="1"/>
  <c r="W497" i="1"/>
  <c r="O497" i="1"/>
  <c r="N497" i="1"/>
  <c r="P497" i="1" s="1"/>
  <c r="W496" i="1"/>
  <c r="O496" i="1"/>
  <c r="N496" i="1"/>
  <c r="P496" i="1" s="1"/>
  <c r="W495" i="1"/>
  <c r="O495" i="1"/>
  <c r="N495" i="1"/>
  <c r="W494" i="1"/>
  <c r="O494" i="1"/>
  <c r="N494" i="1"/>
  <c r="P494" i="1" s="1"/>
  <c r="W493" i="1"/>
  <c r="O493" i="1"/>
  <c r="N493" i="1"/>
  <c r="P493" i="1" s="1"/>
  <c r="W492" i="1"/>
  <c r="O492" i="1"/>
  <c r="N492" i="1"/>
  <c r="P492" i="1" s="1"/>
  <c r="W491" i="1"/>
  <c r="O491" i="1"/>
  <c r="N491" i="1"/>
  <c r="W490" i="1"/>
  <c r="O490" i="1"/>
  <c r="N490" i="1"/>
  <c r="P490" i="1" s="1"/>
  <c r="W489" i="1"/>
  <c r="O489" i="1"/>
  <c r="N489" i="1"/>
  <c r="P489" i="1" s="1"/>
  <c r="W488" i="1"/>
  <c r="O488" i="1"/>
  <c r="N488" i="1"/>
  <c r="P488" i="1" s="1"/>
  <c r="W487" i="1"/>
  <c r="O487" i="1"/>
  <c r="N487" i="1"/>
  <c r="W486" i="1"/>
  <c r="O486" i="1"/>
  <c r="N486" i="1"/>
  <c r="P486" i="1" s="1"/>
  <c r="W485" i="1"/>
  <c r="O485" i="1"/>
  <c r="N485" i="1"/>
  <c r="P485" i="1" s="1"/>
  <c r="W484" i="1"/>
  <c r="O484" i="1"/>
  <c r="N484" i="1"/>
  <c r="P484" i="1" s="1"/>
  <c r="W483" i="1"/>
  <c r="O483" i="1"/>
  <c r="N483" i="1"/>
  <c r="W482" i="1"/>
  <c r="O482" i="1"/>
  <c r="N482" i="1"/>
  <c r="P482" i="1" s="1"/>
  <c r="W481" i="1"/>
  <c r="O481" i="1"/>
  <c r="N481" i="1"/>
  <c r="P481" i="1" s="1"/>
  <c r="W480" i="1"/>
  <c r="O480" i="1"/>
  <c r="N480" i="1"/>
  <c r="P480" i="1" s="1"/>
  <c r="W479" i="1"/>
  <c r="O479" i="1"/>
  <c r="N479" i="1"/>
  <c r="W478" i="1"/>
  <c r="O478" i="1"/>
  <c r="N478" i="1"/>
  <c r="P478" i="1" s="1"/>
  <c r="W477" i="1"/>
  <c r="O477" i="1"/>
  <c r="N477" i="1"/>
  <c r="P477" i="1" s="1"/>
  <c r="W476" i="1"/>
  <c r="O476" i="1"/>
  <c r="N476" i="1"/>
  <c r="P476" i="1" s="1"/>
  <c r="W475" i="1"/>
  <c r="O475" i="1"/>
  <c r="N475" i="1"/>
  <c r="W474" i="1"/>
  <c r="O474" i="1"/>
  <c r="N474" i="1"/>
  <c r="P474" i="1" s="1"/>
  <c r="W473" i="1"/>
  <c r="O473" i="1"/>
  <c r="N473" i="1"/>
  <c r="P473" i="1" s="1"/>
  <c r="W472" i="1"/>
  <c r="O472" i="1"/>
  <c r="N472" i="1"/>
  <c r="P472" i="1" s="1"/>
  <c r="W471" i="1"/>
  <c r="O471" i="1"/>
  <c r="N471" i="1"/>
  <c r="W470" i="1"/>
  <c r="O470" i="1"/>
  <c r="N470" i="1"/>
  <c r="P470" i="1" s="1"/>
  <c r="W469" i="1"/>
  <c r="O469" i="1"/>
  <c r="N469" i="1"/>
  <c r="P469" i="1" s="1"/>
  <c r="W468" i="1"/>
  <c r="O468" i="1"/>
  <c r="N468" i="1"/>
  <c r="P468" i="1" s="1"/>
  <c r="W467" i="1"/>
  <c r="O467" i="1"/>
  <c r="N467" i="1"/>
  <c r="W466" i="1"/>
  <c r="O466" i="1"/>
  <c r="N466" i="1"/>
  <c r="P466" i="1" s="1"/>
  <c r="W465" i="1"/>
  <c r="O465" i="1"/>
  <c r="N465" i="1"/>
  <c r="P465" i="1" s="1"/>
  <c r="W464" i="1"/>
  <c r="O464" i="1"/>
  <c r="N464" i="1"/>
  <c r="P464" i="1" s="1"/>
  <c r="W463" i="1"/>
  <c r="O463" i="1"/>
  <c r="N463" i="1"/>
  <c r="W462" i="1"/>
  <c r="O462" i="1"/>
  <c r="N462" i="1"/>
  <c r="P462" i="1" s="1"/>
  <c r="W461" i="1"/>
  <c r="O461" i="1"/>
  <c r="N461" i="1"/>
  <c r="P461" i="1" s="1"/>
  <c r="W460" i="1"/>
  <c r="O460" i="1"/>
  <c r="N460" i="1"/>
  <c r="P460" i="1" s="1"/>
  <c r="W459" i="1"/>
  <c r="O459" i="1"/>
  <c r="N459" i="1"/>
  <c r="W458" i="1"/>
  <c r="O458" i="1"/>
  <c r="N458" i="1"/>
  <c r="P458" i="1" s="1"/>
  <c r="W457" i="1"/>
  <c r="O457" i="1"/>
  <c r="N457" i="1"/>
  <c r="P457" i="1" s="1"/>
  <c r="W456" i="1"/>
  <c r="O456" i="1"/>
  <c r="N456" i="1"/>
  <c r="P456" i="1" s="1"/>
  <c r="W455" i="1"/>
  <c r="O455" i="1"/>
  <c r="N455" i="1"/>
  <c r="W454" i="1"/>
  <c r="O454" i="1"/>
  <c r="N454" i="1"/>
  <c r="P454" i="1" s="1"/>
  <c r="W453" i="1"/>
  <c r="O453" i="1"/>
  <c r="N453" i="1"/>
  <c r="P453" i="1" s="1"/>
  <c r="W452" i="1"/>
  <c r="O452" i="1"/>
  <c r="N452" i="1"/>
  <c r="P452" i="1" s="1"/>
  <c r="W451" i="1"/>
  <c r="O451" i="1"/>
  <c r="N451" i="1"/>
  <c r="W450" i="1"/>
  <c r="O450" i="1"/>
  <c r="N450" i="1"/>
  <c r="P450" i="1" s="1"/>
  <c r="W449" i="1"/>
  <c r="O449" i="1"/>
  <c r="N449" i="1"/>
  <c r="P449" i="1" s="1"/>
  <c r="W448" i="1"/>
  <c r="O448" i="1"/>
  <c r="N448" i="1"/>
  <c r="P448" i="1" s="1"/>
  <c r="W447" i="1"/>
  <c r="O447" i="1"/>
  <c r="N447" i="1"/>
  <c r="W446" i="1"/>
  <c r="O446" i="1"/>
  <c r="N446" i="1"/>
  <c r="P446" i="1" s="1"/>
  <c r="W445" i="1"/>
  <c r="O445" i="1"/>
  <c r="N445" i="1"/>
  <c r="P445" i="1" s="1"/>
  <c r="W444" i="1"/>
  <c r="O444" i="1"/>
  <c r="N444" i="1"/>
  <c r="P444" i="1" s="1"/>
  <c r="W443" i="1"/>
  <c r="O443" i="1"/>
  <c r="N443" i="1"/>
  <c r="W442" i="1"/>
  <c r="O442" i="1"/>
  <c r="N442" i="1"/>
  <c r="P442" i="1" s="1"/>
  <c r="W441" i="1"/>
  <c r="O441" i="1"/>
  <c r="N441" i="1"/>
  <c r="P441" i="1" s="1"/>
  <c r="W440" i="1"/>
  <c r="O440" i="1"/>
  <c r="N440" i="1"/>
  <c r="P440" i="1" s="1"/>
  <c r="W439" i="1"/>
  <c r="O439" i="1"/>
  <c r="N439" i="1"/>
  <c r="W438" i="1"/>
  <c r="O438" i="1"/>
  <c r="N438" i="1"/>
  <c r="P438" i="1" s="1"/>
  <c r="W437" i="1"/>
  <c r="O437" i="1"/>
  <c r="N437" i="1"/>
  <c r="P437" i="1" s="1"/>
  <c r="W436" i="1"/>
  <c r="O436" i="1"/>
  <c r="N436" i="1"/>
  <c r="P436" i="1" s="1"/>
  <c r="W435" i="1"/>
  <c r="O435" i="1"/>
  <c r="N435" i="1"/>
  <c r="W434" i="1"/>
  <c r="O434" i="1"/>
  <c r="N434" i="1"/>
  <c r="P434" i="1" s="1"/>
  <c r="W433" i="1"/>
  <c r="O433" i="1"/>
  <c r="N433" i="1"/>
  <c r="P433" i="1" s="1"/>
  <c r="W432" i="1"/>
  <c r="O432" i="1"/>
  <c r="N432" i="1"/>
  <c r="P432" i="1" s="1"/>
  <c r="W431" i="1"/>
  <c r="O431" i="1"/>
  <c r="N431" i="1"/>
  <c r="W430" i="1"/>
  <c r="O430" i="1"/>
  <c r="N430" i="1"/>
  <c r="P430" i="1" s="1"/>
  <c r="W429" i="1"/>
  <c r="O429" i="1"/>
  <c r="N429" i="1"/>
  <c r="P429" i="1" s="1"/>
  <c r="W428" i="1"/>
  <c r="O428" i="1"/>
  <c r="N428" i="1"/>
  <c r="P428" i="1" s="1"/>
  <c r="W427" i="1"/>
  <c r="O427" i="1"/>
  <c r="N427" i="1"/>
  <c r="W426" i="1"/>
  <c r="O426" i="1"/>
  <c r="N426" i="1"/>
  <c r="P426" i="1" s="1"/>
  <c r="W425" i="1"/>
  <c r="O425" i="1"/>
  <c r="N425" i="1"/>
  <c r="P425" i="1" s="1"/>
  <c r="W424" i="1"/>
  <c r="O424" i="1"/>
  <c r="N424" i="1"/>
  <c r="P424" i="1" s="1"/>
  <c r="W423" i="1"/>
  <c r="O423" i="1"/>
  <c r="N423" i="1"/>
  <c r="W422" i="1"/>
  <c r="O422" i="1"/>
  <c r="N422" i="1"/>
  <c r="P422" i="1" s="1"/>
  <c r="W421" i="1"/>
  <c r="O421" i="1"/>
  <c r="N421" i="1"/>
  <c r="P421" i="1" s="1"/>
  <c r="W420" i="1"/>
  <c r="O420" i="1"/>
  <c r="N420" i="1"/>
  <c r="P420" i="1" s="1"/>
  <c r="W419" i="1"/>
  <c r="O419" i="1"/>
  <c r="N419" i="1"/>
  <c r="W418" i="1"/>
  <c r="O418" i="1"/>
  <c r="N418" i="1"/>
  <c r="P418" i="1" s="1"/>
  <c r="W417" i="1"/>
  <c r="O417" i="1"/>
  <c r="N417" i="1"/>
  <c r="P417" i="1" s="1"/>
  <c r="W416" i="1"/>
  <c r="O416" i="1"/>
  <c r="N416" i="1"/>
  <c r="W415" i="1"/>
  <c r="O415" i="1"/>
  <c r="N415" i="1"/>
  <c r="W414" i="1"/>
  <c r="O414" i="1"/>
  <c r="N414" i="1"/>
  <c r="P414" i="1" s="1"/>
  <c r="W413" i="1"/>
  <c r="O413" i="1"/>
  <c r="N413" i="1"/>
  <c r="P413" i="1" s="1"/>
  <c r="W412" i="1"/>
  <c r="O412" i="1"/>
  <c r="N412" i="1"/>
  <c r="W411" i="1"/>
  <c r="O411" i="1"/>
  <c r="N411" i="1"/>
  <c r="W410" i="1"/>
  <c r="O410" i="1"/>
  <c r="N410" i="1"/>
  <c r="P410" i="1" s="1"/>
  <c r="W409" i="1"/>
  <c r="O409" i="1"/>
  <c r="N409" i="1"/>
  <c r="P409" i="1" s="1"/>
  <c r="W408" i="1"/>
  <c r="O408" i="1"/>
  <c r="N408" i="1"/>
  <c r="W407" i="1"/>
  <c r="O407" i="1"/>
  <c r="N407" i="1"/>
  <c r="W406" i="1"/>
  <c r="O406" i="1"/>
  <c r="N406" i="1"/>
  <c r="P406" i="1" s="1"/>
  <c r="W405" i="1"/>
  <c r="O405" i="1"/>
  <c r="N405" i="1"/>
  <c r="P405" i="1" s="1"/>
  <c r="W404" i="1"/>
  <c r="O404" i="1"/>
  <c r="N404" i="1"/>
  <c r="W403" i="1"/>
  <c r="O403" i="1"/>
  <c r="N403" i="1"/>
  <c r="W402" i="1"/>
  <c r="O402" i="1"/>
  <c r="N402" i="1"/>
  <c r="P402" i="1" s="1"/>
  <c r="W401" i="1"/>
  <c r="O401" i="1"/>
  <c r="N401" i="1"/>
  <c r="P401" i="1" s="1"/>
  <c r="W400" i="1"/>
  <c r="O400" i="1"/>
  <c r="N400" i="1"/>
  <c r="W399" i="1"/>
  <c r="O399" i="1"/>
  <c r="N399" i="1"/>
  <c r="W398" i="1"/>
  <c r="O398" i="1"/>
  <c r="N398" i="1"/>
  <c r="P398" i="1" s="1"/>
  <c r="W397" i="1"/>
  <c r="O397" i="1"/>
  <c r="N397" i="1"/>
  <c r="P397" i="1" s="1"/>
  <c r="W396" i="1"/>
  <c r="O396" i="1"/>
  <c r="N396" i="1"/>
  <c r="W395" i="1"/>
  <c r="O395" i="1"/>
  <c r="N395" i="1"/>
  <c r="W394" i="1"/>
  <c r="O394" i="1"/>
  <c r="N394" i="1"/>
  <c r="P394" i="1" s="1"/>
  <c r="W393" i="1"/>
  <c r="O393" i="1"/>
  <c r="N393" i="1"/>
  <c r="P393" i="1" s="1"/>
  <c r="W392" i="1"/>
  <c r="O392" i="1"/>
  <c r="N392" i="1"/>
  <c r="W391" i="1"/>
  <c r="O391" i="1"/>
  <c r="N391" i="1"/>
  <c r="W390" i="1"/>
  <c r="O390" i="1"/>
  <c r="N390" i="1"/>
  <c r="P390" i="1" s="1"/>
  <c r="W389" i="1"/>
  <c r="O389" i="1"/>
  <c r="N389" i="1"/>
  <c r="P389" i="1" s="1"/>
  <c r="W388" i="1"/>
  <c r="O388" i="1"/>
  <c r="N388" i="1"/>
  <c r="W387" i="1"/>
  <c r="O387" i="1"/>
  <c r="N387" i="1"/>
  <c r="W386" i="1"/>
  <c r="O386" i="1"/>
  <c r="N386" i="1"/>
  <c r="P386" i="1" s="1"/>
  <c r="W385" i="1"/>
  <c r="O385" i="1"/>
  <c r="N385" i="1"/>
  <c r="P385" i="1" s="1"/>
  <c r="W384" i="1"/>
  <c r="O384" i="1"/>
  <c r="N384" i="1"/>
  <c r="W383" i="1"/>
  <c r="O383" i="1"/>
  <c r="N383" i="1"/>
  <c r="W382" i="1"/>
  <c r="O382" i="1"/>
  <c r="N382" i="1"/>
  <c r="P382" i="1" s="1"/>
  <c r="W381" i="1"/>
  <c r="O381" i="1"/>
  <c r="N381" i="1"/>
  <c r="P381" i="1" s="1"/>
  <c r="W380" i="1"/>
  <c r="O380" i="1"/>
  <c r="N380" i="1"/>
  <c r="W379" i="1"/>
  <c r="O379" i="1"/>
  <c r="N379" i="1"/>
  <c r="W378" i="1"/>
  <c r="O378" i="1"/>
  <c r="N378" i="1"/>
  <c r="P378" i="1" s="1"/>
  <c r="W377" i="1"/>
  <c r="O377" i="1"/>
  <c r="N377" i="1"/>
  <c r="P377" i="1" s="1"/>
  <c r="W376" i="1"/>
  <c r="O376" i="1"/>
  <c r="N376" i="1"/>
  <c r="W375" i="1"/>
  <c r="O375" i="1"/>
  <c r="N375" i="1"/>
  <c r="W374" i="1"/>
  <c r="O374" i="1"/>
  <c r="N374" i="1"/>
  <c r="P374" i="1" s="1"/>
  <c r="W373" i="1"/>
  <c r="O373" i="1"/>
  <c r="N373" i="1"/>
  <c r="P373" i="1" s="1"/>
  <c r="W372" i="1"/>
  <c r="O372" i="1"/>
  <c r="N372" i="1"/>
  <c r="W371" i="1"/>
  <c r="O371" i="1"/>
  <c r="N371" i="1"/>
  <c r="W370" i="1"/>
  <c r="O370" i="1"/>
  <c r="N370" i="1"/>
  <c r="P370" i="1" s="1"/>
  <c r="W369" i="1"/>
  <c r="O369" i="1"/>
  <c r="N369" i="1"/>
  <c r="P369" i="1" s="1"/>
  <c r="W368" i="1"/>
  <c r="O368" i="1"/>
  <c r="N368" i="1"/>
  <c r="W367" i="1"/>
  <c r="O367" i="1"/>
  <c r="N367" i="1"/>
  <c r="W366" i="1"/>
  <c r="O366" i="1"/>
  <c r="N366" i="1"/>
  <c r="P366" i="1" s="1"/>
  <c r="W365" i="1"/>
  <c r="O365" i="1"/>
  <c r="N365" i="1"/>
  <c r="P365" i="1" s="1"/>
  <c r="W364" i="1"/>
  <c r="O364" i="1"/>
  <c r="N364" i="1"/>
  <c r="W363" i="1"/>
  <c r="O363" i="1"/>
  <c r="N363" i="1"/>
  <c r="W362" i="1"/>
  <c r="O362" i="1"/>
  <c r="N362" i="1"/>
  <c r="P362" i="1" s="1"/>
  <c r="W361" i="1"/>
  <c r="O361" i="1"/>
  <c r="N361" i="1"/>
  <c r="P361" i="1" s="1"/>
  <c r="W360" i="1"/>
  <c r="O360" i="1"/>
  <c r="N360" i="1"/>
  <c r="W359" i="1"/>
  <c r="O359" i="1"/>
  <c r="N359" i="1"/>
  <c r="W358" i="1"/>
  <c r="O358" i="1"/>
  <c r="N358" i="1"/>
  <c r="P358" i="1" s="1"/>
  <c r="W357" i="1"/>
  <c r="O357" i="1"/>
  <c r="N357" i="1"/>
  <c r="P357" i="1" s="1"/>
  <c r="W356" i="1"/>
  <c r="O356" i="1"/>
  <c r="N356" i="1"/>
  <c r="W355" i="1"/>
  <c r="O355" i="1"/>
  <c r="N355" i="1"/>
  <c r="W354" i="1"/>
  <c r="O354" i="1"/>
  <c r="N354" i="1"/>
  <c r="P354" i="1" s="1"/>
  <c r="W353" i="1"/>
  <c r="O353" i="1"/>
  <c r="N353" i="1"/>
  <c r="P353" i="1" s="1"/>
  <c r="W352" i="1"/>
  <c r="O352" i="1"/>
  <c r="N352" i="1"/>
  <c r="W351" i="1"/>
  <c r="O351" i="1"/>
  <c r="N351" i="1"/>
  <c r="W350" i="1"/>
  <c r="O350" i="1"/>
  <c r="N350" i="1"/>
  <c r="P350" i="1" s="1"/>
  <c r="W349" i="1"/>
  <c r="O349" i="1"/>
  <c r="N349" i="1"/>
  <c r="P349" i="1" s="1"/>
  <c r="W348" i="1"/>
  <c r="O348" i="1"/>
  <c r="N348" i="1"/>
  <c r="W347" i="1"/>
  <c r="O347" i="1"/>
  <c r="N347" i="1"/>
  <c r="W346" i="1"/>
  <c r="O346" i="1"/>
  <c r="N346" i="1"/>
  <c r="P346" i="1" s="1"/>
  <c r="W345" i="1"/>
  <c r="O345" i="1"/>
  <c r="N345" i="1"/>
  <c r="P345" i="1" s="1"/>
  <c r="W344" i="1"/>
  <c r="O344" i="1"/>
  <c r="N344" i="1"/>
  <c r="W343" i="1"/>
  <c r="O343" i="1"/>
  <c r="N343" i="1"/>
  <c r="W342" i="1"/>
  <c r="O342" i="1"/>
  <c r="N342" i="1"/>
  <c r="P342" i="1" s="1"/>
  <c r="W341" i="1"/>
  <c r="O341" i="1"/>
  <c r="N341" i="1"/>
  <c r="P341" i="1" s="1"/>
  <c r="W340" i="1"/>
  <c r="O340" i="1"/>
  <c r="N340" i="1"/>
  <c r="W339" i="1"/>
  <c r="O339" i="1"/>
  <c r="N339" i="1"/>
  <c r="W338" i="1"/>
  <c r="O338" i="1"/>
  <c r="N338" i="1"/>
  <c r="P338" i="1" s="1"/>
  <c r="W337" i="1"/>
  <c r="O337" i="1"/>
  <c r="N337" i="1"/>
  <c r="P337" i="1" s="1"/>
  <c r="W336" i="1"/>
  <c r="O336" i="1"/>
  <c r="N336" i="1"/>
  <c r="W335" i="1"/>
  <c r="O335" i="1"/>
  <c r="N335" i="1"/>
  <c r="W334" i="1"/>
  <c r="O334" i="1"/>
  <c r="N334" i="1"/>
  <c r="P334" i="1" s="1"/>
  <c r="W333" i="1"/>
  <c r="O333" i="1"/>
  <c r="N333" i="1"/>
  <c r="P333" i="1" s="1"/>
  <c r="W332" i="1"/>
  <c r="O332" i="1"/>
  <c r="N332" i="1"/>
  <c r="W331" i="1"/>
  <c r="O331" i="1"/>
  <c r="N331" i="1"/>
  <c r="W330" i="1"/>
  <c r="O330" i="1"/>
  <c r="N330" i="1"/>
  <c r="P330" i="1" s="1"/>
  <c r="W329" i="1"/>
  <c r="O329" i="1"/>
  <c r="N329" i="1"/>
  <c r="P329" i="1" s="1"/>
  <c r="W328" i="1"/>
  <c r="O328" i="1"/>
  <c r="N328" i="1"/>
  <c r="W327" i="1"/>
  <c r="O327" i="1"/>
  <c r="N327" i="1"/>
  <c r="W326" i="1"/>
  <c r="O326" i="1"/>
  <c r="N326" i="1"/>
  <c r="P326" i="1" s="1"/>
  <c r="W325" i="1"/>
  <c r="O325" i="1"/>
  <c r="N325" i="1"/>
  <c r="P325" i="1" s="1"/>
  <c r="W324" i="1"/>
  <c r="O324" i="1"/>
  <c r="N324" i="1"/>
  <c r="W323" i="1"/>
  <c r="O323" i="1"/>
  <c r="N323" i="1"/>
  <c r="W322" i="1"/>
  <c r="O322" i="1"/>
  <c r="N322" i="1"/>
  <c r="P322" i="1" s="1"/>
  <c r="W321" i="1"/>
  <c r="O321" i="1"/>
  <c r="N321" i="1"/>
  <c r="P321" i="1" s="1"/>
  <c r="W320" i="1"/>
  <c r="O320" i="1"/>
  <c r="N320" i="1"/>
  <c r="W319" i="1"/>
  <c r="O319" i="1"/>
  <c r="N319" i="1"/>
  <c r="W318" i="1"/>
  <c r="O318" i="1"/>
  <c r="N318" i="1"/>
  <c r="P318" i="1" s="1"/>
  <c r="W317" i="1"/>
  <c r="O317" i="1"/>
  <c r="N317" i="1"/>
  <c r="P317" i="1" s="1"/>
  <c r="W316" i="1"/>
  <c r="O316" i="1"/>
  <c r="N316" i="1"/>
  <c r="W315" i="1"/>
  <c r="O315" i="1"/>
  <c r="N315" i="1"/>
  <c r="W314" i="1"/>
  <c r="O314" i="1"/>
  <c r="N314" i="1"/>
  <c r="P314" i="1" s="1"/>
  <c r="W313" i="1"/>
  <c r="O313" i="1"/>
  <c r="N313" i="1"/>
  <c r="P313" i="1" s="1"/>
  <c r="W312" i="1"/>
  <c r="O312" i="1"/>
  <c r="N312" i="1"/>
  <c r="W311" i="1"/>
  <c r="O311" i="1"/>
  <c r="N311" i="1"/>
  <c r="W310" i="1"/>
  <c r="O310" i="1"/>
  <c r="N310" i="1"/>
  <c r="P310" i="1" s="1"/>
  <c r="W309" i="1"/>
  <c r="O309" i="1"/>
  <c r="N309" i="1"/>
  <c r="P309" i="1" s="1"/>
  <c r="W308" i="1"/>
  <c r="O308" i="1"/>
  <c r="N308" i="1"/>
  <c r="W307" i="1"/>
  <c r="O307" i="1"/>
  <c r="N307" i="1"/>
  <c r="W306" i="1"/>
  <c r="O306" i="1"/>
  <c r="N306" i="1"/>
  <c r="P306" i="1" s="1"/>
  <c r="W305" i="1"/>
  <c r="O305" i="1"/>
  <c r="N305" i="1"/>
  <c r="P305" i="1" s="1"/>
  <c r="W304" i="1"/>
  <c r="O304" i="1"/>
  <c r="N304" i="1"/>
  <c r="W303" i="1"/>
  <c r="O303" i="1"/>
  <c r="N303" i="1"/>
  <c r="W302" i="1"/>
  <c r="O302" i="1"/>
  <c r="N302" i="1"/>
  <c r="P302" i="1" s="1"/>
  <c r="W301" i="1"/>
  <c r="O301" i="1"/>
  <c r="N301" i="1"/>
  <c r="P301" i="1" s="1"/>
  <c r="W300" i="1"/>
  <c r="O300" i="1"/>
  <c r="N300" i="1"/>
  <c r="W299" i="1"/>
  <c r="O299" i="1"/>
  <c r="N299" i="1"/>
  <c r="W298" i="1"/>
  <c r="O298" i="1"/>
  <c r="N298" i="1"/>
  <c r="P298" i="1" s="1"/>
  <c r="W297" i="1"/>
  <c r="O297" i="1"/>
  <c r="N297" i="1"/>
  <c r="P297" i="1" s="1"/>
  <c r="W296" i="1"/>
  <c r="O296" i="1"/>
  <c r="N296" i="1"/>
  <c r="W295" i="1"/>
  <c r="O295" i="1"/>
  <c r="N295" i="1"/>
  <c r="W294" i="1"/>
  <c r="O294" i="1"/>
  <c r="N294" i="1"/>
  <c r="P294" i="1" s="1"/>
  <c r="W293" i="1"/>
  <c r="O293" i="1"/>
  <c r="N293" i="1"/>
  <c r="P293" i="1" s="1"/>
  <c r="W292" i="1"/>
  <c r="O292" i="1"/>
  <c r="N292" i="1"/>
  <c r="W291" i="1"/>
  <c r="O291" i="1"/>
  <c r="N291" i="1"/>
  <c r="W290" i="1"/>
  <c r="O290" i="1"/>
  <c r="N290" i="1"/>
  <c r="P290" i="1" s="1"/>
  <c r="W289" i="1"/>
  <c r="O289" i="1"/>
  <c r="N289" i="1"/>
  <c r="P289" i="1" s="1"/>
  <c r="W288" i="1"/>
  <c r="O288" i="1"/>
  <c r="N288" i="1"/>
  <c r="W287" i="1"/>
  <c r="O287" i="1"/>
  <c r="N287" i="1"/>
  <c r="W286" i="1"/>
  <c r="O286" i="1"/>
  <c r="N286" i="1"/>
  <c r="P286" i="1" s="1"/>
  <c r="W285" i="1"/>
  <c r="O285" i="1"/>
  <c r="N285" i="1"/>
  <c r="P285" i="1" s="1"/>
  <c r="W284" i="1"/>
  <c r="O284" i="1"/>
  <c r="N284" i="1"/>
  <c r="W283" i="1"/>
  <c r="O283" i="1"/>
  <c r="N283" i="1"/>
  <c r="W282" i="1"/>
  <c r="O282" i="1"/>
  <c r="N282" i="1"/>
  <c r="P282" i="1" s="1"/>
  <c r="W281" i="1"/>
  <c r="O281" i="1"/>
  <c r="N281" i="1"/>
  <c r="P281" i="1" s="1"/>
  <c r="W280" i="1"/>
  <c r="O280" i="1"/>
  <c r="N280" i="1"/>
  <c r="P280" i="1" s="1"/>
  <c r="W279" i="1"/>
  <c r="O279" i="1"/>
  <c r="N279" i="1"/>
  <c r="W278" i="1"/>
  <c r="O278" i="1"/>
  <c r="N278" i="1"/>
  <c r="P278" i="1" s="1"/>
  <c r="W277" i="1"/>
  <c r="O277" i="1"/>
  <c r="N277" i="1"/>
  <c r="P277" i="1" s="1"/>
  <c r="W276" i="1"/>
  <c r="O276" i="1"/>
  <c r="N276" i="1"/>
  <c r="P276" i="1" s="1"/>
  <c r="W275" i="1"/>
  <c r="O275" i="1"/>
  <c r="N275" i="1"/>
  <c r="W274" i="1"/>
  <c r="O274" i="1"/>
  <c r="N274" i="1"/>
  <c r="P274" i="1" s="1"/>
  <c r="W273" i="1"/>
  <c r="O273" i="1"/>
  <c r="N273" i="1"/>
  <c r="P273" i="1" s="1"/>
  <c r="W272" i="1"/>
  <c r="O272" i="1"/>
  <c r="N272" i="1"/>
  <c r="P272" i="1" s="1"/>
  <c r="W271" i="1"/>
  <c r="O271" i="1"/>
  <c r="N271" i="1"/>
  <c r="W270" i="1"/>
  <c r="O270" i="1"/>
  <c r="N270" i="1"/>
  <c r="P270" i="1" s="1"/>
  <c r="W269" i="1"/>
  <c r="O269" i="1"/>
  <c r="N269" i="1"/>
  <c r="P269" i="1" s="1"/>
  <c r="W268" i="1"/>
  <c r="O268" i="1"/>
  <c r="N268" i="1"/>
  <c r="P268" i="1" s="1"/>
  <c r="W267" i="1"/>
  <c r="O267" i="1"/>
  <c r="N267" i="1"/>
  <c r="W266" i="1"/>
  <c r="O266" i="1"/>
  <c r="N266" i="1"/>
  <c r="P266" i="1" s="1"/>
  <c r="W265" i="1"/>
  <c r="O265" i="1"/>
  <c r="N265" i="1"/>
  <c r="P265" i="1" s="1"/>
  <c r="W264" i="1"/>
  <c r="O264" i="1"/>
  <c r="N264" i="1"/>
  <c r="P264" i="1" s="1"/>
  <c r="W263" i="1"/>
  <c r="O263" i="1"/>
  <c r="N263" i="1"/>
  <c r="W262" i="1"/>
  <c r="O262" i="1"/>
  <c r="N262" i="1"/>
  <c r="P262" i="1" s="1"/>
  <c r="W261" i="1"/>
  <c r="O261" i="1"/>
  <c r="N261" i="1"/>
  <c r="P261" i="1" s="1"/>
  <c r="W260" i="1"/>
  <c r="O260" i="1"/>
  <c r="N260" i="1"/>
  <c r="P260" i="1" s="1"/>
  <c r="W259" i="1"/>
  <c r="O259" i="1"/>
  <c r="N259" i="1"/>
  <c r="W258" i="1"/>
  <c r="O258" i="1"/>
  <c r="N258" i="1"/>
  <c r="P258" i="1" s="1"/>
  <c r="W257" i="1"/>
  <c r="O257" i="1"/>
  <c r="N257" i="1"/>
  <c r="P257" i="1" s="1"/>
  <c r="W256" i="1"/>
  <c r="O256" i="1"/>
  <c r="N256" i="1"/>
  <c r="P256" i="1" s="1"/>
  <c r="W255" i="1"/>
  <c r="O255" i="1"/>
  <c r="N255" i="1"/>
  <c r="W254" i="1"/>
  <c r="O254" i="1"/>
  <c r="N254" i="1"/>
  <c r="P254" i="1" s="1"/>
  <c r="W253" i="1"/>
  <c r="O253" i="1"/>
  <c r="N253" i="1"/>
  <c r="P253" i="1" s="1"/>
  <c r="W252" i="1"/>
  <c r="O252" i="1"/>
  <c r="N252" i="1"/>
  <c r="P252" i="1" s="1"/>
  <c r="W251" i="1"/>
  <c r="O251" i="1"/>
  <c r="N251" i="1"/>
  <c r="W250" i="1"/>
  <c r="O250" i="1"/>
  <c r="N250" i="1"/>
  <c r="P250" i="1" s="1"/>
  <c r="W249" i="1"/>
  <c r="O249" i="1"/>
  <c r="N249" i="1"/>
  <c r="P249" i="1" s="1"/>
  <c r="W248" i="1"/>
  <c r="O248" i="1"/>
  <c r="N248" i="1"/>
  <c r="P248" i="1" s="1"/>
  <c r="W247" i="1"/>
  <c r="O247" i="1"/>
  <c r="N247" i="1"/>
  <c r="W246" i="1"/>
  <c r="O246" i="1"/>
  <c r="N246" i="1"/>
  <c r="P246" i="1" s="1"/>
  <c r="W245" i="1"/>
  <c r="O245" i="1"/>
  <c r="N245" i="1"/>
  <c r="P245" i="1" s="1"/>
  <c r="W244" i="1"/>
  <c r="O244" i="1"/>
  <c r="N244" i="1"/>
  <c r="P244" i="1" s="1"/>
  <c r="W243" i="1"/>
  <c r="O243" i="1"/>
  <c r="N243" i="1"/>
  <c r="W242" i="1"/>
  <c r="O242" i="1"/>
  <c r="N242" i="1"/>
  <c r="P242" i="1" s="1"/>
  <c r="W241" i="1"/>
  <c r="O241" i="1"/>
  <c r="N241" i="1"/>
  <c r="P241" i="1" s="1"/>
  <c r="W240" i="1"/>
  <c r="O240" i="1"/>
  <c r="N240" i="1"/>
  <c r="P240" i="1" s="1"/>
  <c r="W239" i="1"/>
  <c r="O239" i="1"/>
  <c r="N239" i="1"/>
  <c r="W238" i="1"/>
  <c r="O238" i="1"/>
  <c r="N238" i="1"/>
  <c r="P238" i="1" s="1"/>
  <c r="W237" i="1"/>
  <c r="O237" i="1"/>
  <c r="N237" i="1"/>
  <c r="P237" i="1" s="1"/>
  <c r="W236" i="1"/>
  <c r="O236" i="1"/>
  <c r="N236" i="1"/>
  <c r="P236" i="1" s="1"/>
  <c r="W235" i="1"/>
  <c r="O235" i="1"/>
  <c r="N235" i="1"/>
  <c r="W234" i="1"/>
  <c r="O234" i="1"/>
  <c r="N234" i="1"/>
  <c r="P234" i="1" s="1"/>
  <c r="W233" i="1"/>
  <c r="O233" i="1"/>
  <c r="N233" i="1"/>
  <c r="P233" i="1" s="1"/>
  <c r="W232" i="1"/>
  <c r="O232" i="1"/>
  <c r="N232" i="1"/>
  <c r="P232" i="1" s="1"/>
  <c r="W231" i="1"/>
  <c r="O231" i="1"/>
  <c r="N231" i="1"/>
  <c r="W230" i="1"/>
  <c r="O230" i="1"/>
  <c r="N230" i="1"/>
  <c r="P230" i="1" s="1"/>
  <c r="W229" i="1"/>
  <c r="O229" i="1"/>
  <c r="N229" i="1"/>
  <c r="P229" i="1" s="1"/>
  <c r="W228" i="1"/>
  <c r="O228" i="1"/>
  <c r="N228" i="1"/>
  <c r="P228" i="1" s="1"/>
  <c r="W227" i="1"/>
  <c r="O227" i="1"/>
  <c r="N227" i="1"/>
  <c r="W226" i="1"/>
  <c r="O226" i="1"/>
  <c r="N226" i="1"/>
  <c r="P226" i="1" s="1"/>
  <c r="W225" i="1"/>
  <c r="O225" i="1"/>
  <c r="N225" i="1"/>
  <c r="P225" i="1" s="1"/>
  <c r="W224" i="1"/>
  <c r="O224" i="1"/>
  <c r="N224" i="1"/>
  <c r="P224" i="1" s="1"/>
  <c r="W223" i="1"/>
  <c r="O223" i="1"/>
  <c r="N223" i="1"/>
  <c r="W222" i="1"/>
  <c r="O222" i="1"/>
  <c r="N222" i="1"/>
  <c r="P222" i="1" s="1"/>
  <c r="W221" i="1"/>
  <c r="O221" i="1"/>
  <c r="N221" i="1"/>
  <c r="P221" i="1" s="1"/>
  <c r="W220" i="1"/>
  <c r="O220" i="1"/>
  <c r="N220" i="1"/>
  <c r="P220" i="1" s="1"/>
  <c r="W219" i="1"/>
  <c r="O219" i="1"/>
  <c r="N219" i="1"/>
  <c r="W218" i="1"/>
  <c r="O218" i="1"/>
  <c r="N218" i="1"/>
  <c r="P218" i="1" s="1"/>
  <c r="W217" i="1"/>
  <c r="O217" i="1"/>
  <c r="N217" i="1"/>
  <c r="P217" i="1" s="1"/>
  <c r="W216" i="1"/>
  <c r="O216" i="1"/>
  <c r="N216" i="1"/>
  <c r="P216" i="1" s="1"/>
  <c r="W215" i="1"/>
  <c r="O215" i="1"/>
  <c r="N215" i="1"/>
  <c r="W214" i="1"/>
  <c r="O214" i="1"/>
  <c r="N214" i="1"/>
  <c r="P214" i="1" s="1"/>
  <c r="W213" i="1"/>
  <c r="O213" i="1"/>
  <c r="N213" i="1"/>
  <c r="P213" i="1" s="1"/>
  <c r="W212" i="1"/>
  <c r="O212" i="1"/>
  <c r="N212" i="1"/>
  <c r="P212" i="1" s="1"/>
  <c r="W211" i="1"/>
  <c r="O211" i="1"/>
  <c r="N211" i="1"/>
  <c r="W210" i="1"/>
  <c r="O210" i="1"/>
  <c r="N210" i="1"/>
  <c r="P210" i="1" s="1"/>
  <c r="W209" i="1"/>
  <c r="O209" i="1"/>
  <c r="N209" i="1"/>
  <c r="P209" i="1" s="1"/>
  <c r="W208" i="1"/>
  <c r="O208" i="1"/>
  <c r="N208" i="1"/>
  <c r="P208" i="1" s="1"/>
  <c r="W207" i="1"/>
  <c r="O207" i="1"/>
  <c r="N207" i="1"/>
  <c r="W206" i="1"/>
  <c r="O206" i="1"/>
  <c r="N206" i="1"/>
  <c r="P206" i="1" s="1"/>
  <c r="W205" i="1"/>
  <c r="O205" i="1"/>
  <c r="N205" i="1"/>
  <c r="P205" i="1" s="1"/>
  <c r="W204" i="1"/>
  <c r="O204" i="1"/>
  <c r="N204" i="1"/>
  <c r="P204" i="1" s="1"/>
  <c r="W203" i="1"/>
  <c r="O203" i="1"/>
  <c r="N203" i="1"/>
  <c r="W202" i="1"/>
  <c r="O202" i="1"/>
  <c r="N202" i="1"/>
  <c r="P202" i="1" s="1"/>
  <c r="W201" i="1"/>
  <c r="O201" i="1"/>
  <c r="N201" i="1"/>
  <c r="P201" i="1" s="1"/>
  <c r="W200" i="1"/>
  <c r="O200" i="1"/>
  <c r="N200" i="1"/>
  <c r="P200" i="1" s="1"/>
  <c r="W199" i="1"/>
  <c r="O199" i="1"/>
  <c r="N199" i="1"/>
  <c r="W198" i="1"/>
  <c r="O198" i="1"/>
  <c r="N198" i="1"/>
  <c r="P198" i="1" s="1"/>
  <c r="W197" i="1"/>
  <c r="O197" i="1"/>
  <c r="N197" i="1"/>
  <c r="P197" i="1" s="1"/>
  <c r="W196" i="1"/>
  <c r="O196" i="1"/>
  <c r="N196" i="1"/>
  <c r="P196" i="1" s="1"/>
  <c r="W195" i="1"/>
  <c r="O195" i="1"/>
  <c r="N195" i="1"/>
  <c r="W194" i="1"/>
  <c r="O194" i="1"/>
  <c r="N194" i="1"/>
  <c r="P194" i="1" s="1"/>
  <c r="W193" i="1"/>
  <c r="O193" i="1"/>
  <c r="N193" i="1"/>
  <c r="P193" i="1" s="1"/>
  <c r="W192" i="1"/>
  <c r="O192" i="1"/>
  <c r="N192" i="1"/>
  <c r="P192" i="1" s="1"/>
  <c r="W191" i="1"/>
  <c r="O191" i="1"/>
  <c r="N191" i="1"/>
  <c r="W190" i="1"/>
  <c r="O190" i="1"/>
  <c r="N190" i="1"/>
  <c r="P190" i="1" s="1"/>
  <c r="W189" i="1"/>
  <c r="O189" i="1"/>
  <c r="N189" i="1"/>
  <c r="P189" i="1" s="1"/>
  <c r="W188" i="1"/>
  <c r="O188" i="1"/>
  <c r="N188" i="1"/>
  <c r="P188" i="1" s="1"/>
  <c r="W187" i="1"/>
  <c r="O187" i="1"/>
  <c r="N187" i="1"/>
  <c r="W186" i="1"/>
  <c r="O186" i="1"/>
  <c r="N186" i="1"/>
  <c r="P186" i="1" s="1"/>
  <c r="W185" i="1"/>
  <c r="O185" i="1"/>
  <c r="N185" i="1"/>
  <c r="P185" i="1" s="1"/>
  <c r="W184" i="1"/>
  <c r="O184" i="1"/>
  <c r="N184" i="1"/>
  <c r="W183" i="1"/>
  <c r="O183" i="1"/>
  <c r="N183" i="1"/>
  <c r="W182" i="1"/>
  <c r="O182" i="1"/>
  <c r="N182" i="1"/>
  <c r="P182" i="1" s="1"/>
  <c r="W181" i="1"/>
  <c r="O181" i="1"/>
  <c r="N181" i="1"/>
  <c r="P181" i="1" s="1"/>
  <c r="W180" i="1"/>
  <c r="O180" i="1"/>
  <c r="N180" i="1"/>
  <c r="W179" i="1"/>
  <c r="O179" i="1"/>
  <c r="N179" i="1"/>
  <c r="W178" i="1"/>
  <c r="O178" i="1"/>
  <c r="N178" i="1"/>
  <c r="P178" i="1" s="1"/>
  <c r="W177" i="1"/>
  <c r="O177" i="1"/>
  <c r="N177" i="1"/>
  <c r="P177" i="1" s="1"/>
  <c r="W176" i="1"/>
  <c r="O176" i="1"/>
  <c r="N176" i="1"/>
  <c r="W175" i="1"/>
  <c r="O175" i="1"/>
  <c r="N175" i="1"/>
  <c r="W174" i="1"/>
  <c r="O174" i="1"/>
  <c r="N174" i="1"/>
  <c r="P174" i="1" s="1"/>
  <c r="W173" i="1"/>
  <c r="O173" i="1"/>
  <c r="N173" i="1"/>
  <c r="P173" i="1" s="1"/>
  <c r="W172" i="1"/>
  <c r="O172" i="1"/>
  <c r="N172" i="1"/>
  <c r="W171" i="1"/>
  <c r="O171" i="1"/>
  <c r="N171" i="1"/>
  <c r="W170" i="1"/>
  <c r="O170" i="1"/>
  <c r="N170" i="1"/>
  <c r="P170" i="1" s="1"/>
  <c r="W169" i="1"/>
  <c r="O169" i="1"/>
  <c r="N169" i="1"/>
  <c r="P169" i="1" s="1"/>
  <c r="W168" i="1"/>
  <c r="O168" i="1"/>
  <c r="N168" i="1"/>
  <c r="W167" i="1"/>
  <c r="O167" i="1"/>
  <c r="N167" i="1"/>
  <c r="W166" i="1"/>
  <c r="O166" i="1"/>
  <c r="N166" i="1"/>
  <c r="P166" i="1" s="1"/>
  <c r="W165" i="1"/>
  <c r="O165" i="1"/>
  <c r="N165" i="1"/>
  <c r="P165" i="1" s="1"/>
  <c r="W164" i="1"/>
  <c r="O164" i="1"/>
  <c r="N164" i="1"/>
  <c r="W163" i="1"/>
  <c r="O163" i="1"/>
  <c r="N163" i="1"/>
  <c r="W162" i="1"/>
  <c r="O162" i="1"/>
  <c r="N162" i="1"/>
  <c r="P162" i="1" s="1"/>
  <c r="W161" i="1"/>
  <c r="O161" i="1"/>
  <c r="N161" i="1"/>
  <c r="P161" i="1" s="1"/>
  <c r="W160" i="1"/>
  <c r="O160" i="1"/>
  <c r="N160" i="1"/>
  <c r="W159" i="1"/>
  <c r="O159" i="1"/>
  <c r="N159" i="1"/>
  <c r="W158" i="1"/>
  <c r="O158" i="1"/>
  <c r="N158" i="1"/>
  <c r="P158" i="1" s="1"/>
  <c r="W157" i="1"/>
  <c r="O157" i="1"/>
  <c r="N157" i="1"/>
  <c r="P157" i="1" s="1"/>
  <c r="W156" i="1"/>
  <c r="O156" i="1"/>
  <c r="N156" i="1"/>
  <c r="W155" i="1"/>
  <c r="O155" i="1"/>
  <c r="N155" i="1"/>
  <c r="W154" i="1"/>
  <c r="O154" i="1"/>
  <c r="N154" i="1"/>
  <c r="P154" i="1" s="1"/>
  <c r="W153" i="1"/>
  <c r="O153" i="1"/>
  <c r="N153" i="1"/>
  <c r="P153" i="1" s="1"/>
  <c r="W152" i="1"/>
  <c r="O152" i="1"/>
  <c r="N152" i="1"/>
  <c r="W151" i="1"/>
  <c r="O151" i="1"/>
  <c r="N151" i="1"/>
  <c r="W150" i="1"/>
  <c r="O150" i="1"/>
  <c r="N150" i="1"/>
  <c r="P150" i="1" s="1"/>
  <c r="W149" i="1"/>
  <c r="O149" i="1"/>
  <c r="N149" i="1"/>
  <c r="P149" i="1" s="1"/>
  <c r="W148" i="1"/>
  <c r="O148" i="1"/>
  <c r="N148" i="1"/>
  <c r="W147" i="1"/>
  <c r="O147" i="1"/>
  <c r="N147" i="1"/>
  <c r="W146" i="1"/>
  <c r="O146" i="1"/>
  <c r="N146" i="1"/>
  <c r="P146" i="1" s="1"/>
  <c r="W145" i="1"/>
  <c r="O145" i="1"/>
  <c r="N145" i="1"/>
  <c r="P145" i="1" s="1"/>
  <c r="W144" i="1"/>
  <c r="O144" i="1"/>
  <c r="N144" i="1"/>
  <c r="W143" i="1"/>
  <c r="O143" i="1"/>
  <c r="N143" i="1"/>
  <c r="W142" i="1"/>
  <c r="O142" i="1"/>
  <c r="N142" i="1"/>
  <c r="P142" i="1" s="1"/>
  <c r="W141" i="1"/>
  <c r="O141" i="1"/>
  <c r="N141" i="1"/>
  <c r="P141" i="1" s="1"/>
  <c r="W140" i="1"/>
  <c r="O140" i="1"/>
  <c r="N140" i="1"/>
  <c r="W139" i="1"/>
  <c r="O139" i="1"/>
  <c r="N139" i="1"/>
  <c r="W138" i="1"/>
  <c r="O138" i="1"/>
  <c r="N138" i="1"/>
  <c r="P138" i="1" s="1"/>
  <c r="W137" i="1"/>
  <c r="O137" i="1"/>
  <c r="N137" i="1"/>
  <c r="P137" i="1" s="1"/>
  <c r="W136" i="1"/>
  <c r="O136" i="1"/>
  <c r="N136" i="1"/>
  <c r="W135" i="1"/>
  <c r="O135" i="1"/>
  <c r="N135" i="1"/>
  <c r="W134" i="1"/>
  <c r="O134" i="1"/>
  <c r="N134" i="1"/>
  <c r="P134" i="1" s="1"/>
  <c r="W133" i="1"/>
  <c r="O133" i="1"/>
  <c r="N133" i="1"/>
  <c r="P133" i="1" s="1"/>
  <c r="W132" i="1"/>
  <c r="O132" i="1"/>
  <c r="N132" i="1"/>
  <c r="W131" i="1"/>
  <c r="O131" i="1"/>
  <c r="N131" i="1"/>
  <c r="W130" i="1"/>
  <c r="O130" i="1"/>
  <c r="N130" i="1"/>
  <c r="P130" i="1" s="1"/>
  <c r="W129" i="1"/>
  <c r="O129" i="1"/>
  <c r="N129" i="1"/>
  <c r="P129" i="1" s="1"/>
  <c r="W128" i="1"/>
  <c r="O128" i="1"/>
  <c r="N128" i="1"/>
  <c r="P128" i="1" s="1"/>
  <c r="W127" i="1"/>
  <c r="O127" i="1"/>
  <c r="N127" i="1"/>
  <c r="P127" i="1" s="1"/>
  <c r="W126" i="1"/>
  <c r="O126" i="1"/>
  <c r="N126" i="1"/>
  <c r="P126" i="1" s="1"/>
  <c r="W125" i="1"/>
  <c r="O125" i="1"/>
  <c r="N125" i="1"/>
  <c r="P125" i="1" s="1"/>
  <c r="W124" i="1"/>
  <c r="O124" i="1"/>
  <c r="N124" i="1"/>
  <c r="P124" i="1" s="1"/>
  <c r="W123" i="1"/>
  <c r="O123" i="1"/>
  <c r="N123" i="1"/>
  <c r="P123" i="1" s="1"/>
  <c r="W122" i="1"/>
  <c r="O122" i="1"/>
  <c r="N122" i="1"/>
  <c r="P122" i="1" s="1"/>
  <c r="W121" i="1"/>
  <c r="O121" i="1"/>
  <c r="N121" i="1"/>
  <c r="P121" i="1" s="1"/>
  <c r="W120" i="1"/>
  <c r="O120" i="1"/>
  <c r="N120" i="1"/>
  <c r="P120" i="1" s="1"/>
  <c r="W119" i="1"/>
  <c r="O119" i="1"/>
  <c r="N119" i="1"/>
  <c r="P119" i="1" s="1"/>
  <c r="W118" i="1"/>
  <c r="O118" i="1"/>
  <c r="N118" i="1"/>
  <c r="P118" i="1" s="1"/>
  <c r="W117" i="1"/>
  <c r="O117" i="1"/>
  <c r="N117" i="1"/>
  <c r="P117" i="1" s="1"/>
  <c r="W116" i="1"/>
  <c r="O116" i="1"/>
  <c r="N116" i="1"/>
  <c r="P116" i="1" s="1"/>
  <c r="W115" i="1"/>
  <c r="O115" i="1"/>
  <c r="N115" i="1"/>
  <c r="P115" i="1" s="1"/>
  <c r="W114" i="1"/>
  <c r="O114" i="1"/>
  <c r="N114" i="1"/>
  <c r="P114" i="1" s="1"/>
  <c r="W113" i="1"/>
  <c r="O113" i="1"/>
  <c r="N113" i="1"/>
  <c r="P113" i="1" s="1"/>
  <c r="W112" i="1"/>
  <c r="O112" i="1"/>
  <c r="N112" i="1"/>
  <c r="P112" i="1" s="1"/>
  <c r="W111" i="1"/>
  <c r="O111" i="1"/>
  <c r="N111" i="1"/>
  <c r="P111" i="1" s="1"/>
  <c r="W110" i="1"/>
  <c r="O110" i="1"/>
  <c r="N110" i="1"/>
  <c r="P110" i="1" s="1"/>
  <c r="W109" i="1"/>
  <c r="O109" i="1"/>
  <c r="N109" i="1"/>
  <c r="P109" i="1" s="1"/>
  <c r="W108" i="1"/>
  <c r="O108" i="1"/>
  <c r="N108" i="1"/>
  <c r="P108" i="1" s="1"/>
  <c r="W107" i="1"/>
  <c r="O107" i="1"/>
  <c r="N107" i="1"/>
  <c r="P107" i="1" s="1"/>
  <c r="W106" i="1"/>
  <c r="O106" i="1"/>
  <c r="N106" i="1"/>
  <c r="P106" i="1" s="1"/>
  <c r="W105" i="1"/>
  <c r="O105" i="1"/>
  <c r="N105" i="1"/>
  <c r="P105" i="1" s="1"/>
  <c r="W104" i="1"/>
  <c r="O104" i="1"/>
  <c r="N104" i="1"/>
  <c r="P104" i="1" s="1"/>
  <c r="W103" i="1"/>
  <c r="O103" i="1"/>
  <c r="N103" i="1"/>
  <c r="P103" i="1" s="1"/>
  <c r="W102" i="1"/>
  <c r="O102" i="1"/>
  <c r="N102" i="1"/>
  <c r="P102" i="1" s="1"/>
  <c r="W101" i="1"/>
  <c r="O101" i="1"/>
  <c r="N101" i="1"/>
  <c r="P101" i="1" s="1"/>
  <c r="W100" i="1"/>
  <c r="O100" i="1"/>
  <c r="N100" i="1"/>
  <c r="P100" i="1" s="1"/>
  <c r="W99" i="1"/>
  <c r="O99" i="1"/>
  <c r="N99" i="1"/>
  <c r="P99" i="1" s="1"/>
  <c r="W98" i="1"/>
  <c r="O98" i="1"/>
  <c r="N98" i="1"/>
  <c r="P98" i="1" s="1"/>
  <c r="W97" i="1"/>
  <c r="O97" i="1"/>
  <c r="N97" i="1"/>
  <c r="P97" i="1" s="1"/>
  <c r="W96" i="1"/>
  <c r="O96" i="1"/>
  <c r="N96" i="1"/>
  <c r="P96" i="1" s="1"/>
  <c r="W95" i="1"/>
  <c r="O95" i="1"/>
  <c r="N95" i="1"/>
  <c r="P95" i="1" s="1"/>
  <c r="W94" i="1"/>
  <c r="O94" i="1"/>
  <c r="N94" i="1"/>
  <c r="P94" i="1" s="1"/>
  <c r="W93" i="1"/>
  <c r="O93" i="1"/>
  <c r="N93" i="1"/>
  <c r="P93" i="1" s="1"/>
  <c r="W92" i="1"/>
  <c r="O92" i="1"/>
  <c r="N92" i="1"/>
  <c r="P92" i="1" s="1"/>
  <c r="W91" i="1"/>
  <c r="O91" i="1"/>
  <c r="N91" i="1"/>
  <c r="P91" i="1" s="1"/>
  <c r="W90" i="1"/>
  <c r="O90" i="1"/>
  <c r="N90" i="1"/>
  <c r="P90" i="1" s="1"/>
  <c r="W89" i="1"/>
  <c r="O89" i="1"/>
  <c r="N89" i="1"/>
  <c r="P89" i="1" s="1"/>
  <c r="W88" i="1"/>
  <c r="O88" i="1"/>
  <c r="N88" i="1"/>
  <c r="P88" i="1" s="1"/>
  <c r="W87" i="1"/>
  <c r="O87" i="1"/>
  <c r="N87" i="1"/>
  <c r="P87" i="1" s="1"/>
  <c r="W86" i="1"/>
  <c r="O86" i="1"/>
  <c r="N86" i="1"/>
  <c r="P86" i="1" s="1"/>
  <c r="W85" i="1"/>
  <c r="O85" i="1"/>
  <c r="N85" i="1"/>
  <c r="P85" i="1" s="1"/>
  <c r="W84" i="1"/>
  <c r="O84" i="1"/>
  <c r="N84" i="1"/>
  <c r="P84" i="1" s="1"/>
  <c r="W83" i="1"/>
  <c r="O83" i="1"/>
  <c r="N83" i="1"/>
  <c r="P83" i="1" s="1"/>
  <c r="W82" i="1"/>
  <c r="O82" i="1"/>
  <c r="N82" i="1"/>
  <c r="P82" i="1" s="1"/>
  <c r="W81" i="1"/>
  <c r="O81" i="1"/>
  <c r="N81" i="1"/>
  <c r="P81" i="1" s="1"/>
  <c r="W80" i="1"/>
  <c r="O80" i="1"/>
  <c r="N80" i="1"/>
  <c r="P80" i="1" s="1"/>
  <c r="W79" i="1"/>
  <c r="O79" i="1"/>
  <c r="N79" i="1"/>
  <c r="P79" i="1" s="1"/>
  <c r="W78" i="1"/>
  <c r="O78" i="1"/>
  <c r="N78" i="1"/>
  <c r="P78" i="1" s="1"/>
  <c r="W77" i="1"/>
  <c r="O77" i="1"/>
  <c r="N77" i="1"/>
  <c r="P77" i="1" s="1"/>
  <c r="W76" i="1"/>
  <c r="O76" i="1"/>
  <c r="N76" i="1"/>
  <c r="P76" i="1" s="1"/>
  <c r="W75" i="1"/>
  <c r="O75" i="1"/>
  <c r="N75" i="1"/>
  <c r="P75" i="1" s="1"/>
  <c r="W74" i="1"/>
  <c r="O74" i="1"/>
  <c r="N74" i="1"/>
  <c r="P74" i="1" s="1"/>
  <c r="W73" i="1"/>
  <c r="O73" i="1"/>
  <c r="N73" i="1"/>
  <c r="P73" i="1" s="1"/>
  <c r="W72" i="1"/>
  <c r="O72" i="1"/>
  <c r="N72" i="1"/>
  <c r="P72" i="1" s="1"/>
  <c r="W71" i="1"/>
  <c r="O71" i="1"/>
  <c r="N71" i="1"/>
  <c r="P71" i="1" s="1"/>
  <c r="W70" i="1"/>
  <c r="O70" i="1"/>
  <c r="N70" i="1"/>
  <c r="P70" i="1" s="1"/>
  <c r="W69" i="1"/>
  <c r="O69" i="1"/>
  <c r="N69" i="1"/>
  <c r="P69" i="1" s="1"/>
  <c r="W68" i="1"/>
  <c r="O68" i="1"/>
  <c r="N68" i="1"/>
  <c r="P68" i="1" s="1"/>
  <c r="W67" i="1"/>
  <c r="O67" i="1"/>
  <c r="N67" i="1"/>
  <c r="P67" i="1" s="1"/>
  <c r="W66" i="1"/>
  <c r="O66" i="1"/>
  <c r="N66" i="1"/>
  <c r="P66" i="1" s="1"/>
  <c r="W65" i="1"/>
  <c r="O65" i="1"/>
  <c r="N65" i="1"/>
  <c r="P65" i="1" s="1"/>
  <c r="W64" i="1"/>
  <c r="O64" i="1"/>
  <c r="N64" i="1"/>
  <c r="P64" i="1" s="1"/>
  <c r="W63" i="1"/>
  <c r="O63" i="1"/>
  <c r="N63" i="1"/>
  <c r="P63" i="1" s="1"/>
  <c r="W62" i="1"/>
  <c r="O62" i="1"/>
  <c r="N62" i="1"/>
  <c r="P62" i="1" s="1"/>
  <c r="W61" i="1"/>
  <c r="O61" i="1"/>
  <c r="N61" i="1"/>
  <c r="P61" i="1" s="1"/>
  <c r="W60" i="1"/>
  <c r="O60" i="1"/>
  <c r="N60" i="1"/>
  <c r="P60" i="1" s="1"/>
  <c r="W59" i="1"/>
  <c r="O59" i="1"/>
  <c r="N59" i="1"/>
  <c r="P59" i="1" s="1"/>
  <c r="W58" i="1"/>
  <c r="O58" i="1"/>
  <c r="N58" i="1"/>
  <c r="P58" i="1" s="1"/>
  <c r="W57" i="1"/>
  <c r="O57" i="1"/>
  <c r="N57" i="1"/>
  <c r="P57" i="1" s="1"/>
  <c r="W56" i="1"/>
  <c r="O56" i="1"/>
  <c r="N56" i="1"/>
  <c r="P56" i="1" s="1"/>
  <c r="W55" i="1"/>
  <c r="O55" i="1"/>
  <c r="N55" i="1"/>
  <c r="P55" i="1" s="1"/>
  <c r="W54" i="1"/>
  <c r="O54" i="1"/>
  <c r="N54" i="1"/>
  <c r="P54" i="1" s="1"/>
  <c r="W53" i="1"/>
  <c r="O53" i="1"/>
  <c r="N53" i="1"/>
  <c r="P53" i="1" s="1"/>
  <c r="W52" i="1"/>
  <c r="O52" i="1"/>
  <c r="N52" i="1"/>
  <c r="P52" i="1" s="1"/>
  <c r="W51" i="1"/>
  <c r="O51" i="1"/>
  <c r="N51" i="1"/>
  <c r="P51" i="1" s="1"/>
  <c r="W50" i="1"/>
  <c r="O50" i="1"/>
  <c r="N50" i="1"/>
  <c r="P50" i="1" s="1"/>
  <c r="W49" i="1"/>
  <c r="O49" i="1"/>
  <c r="N49" i="1"/>
  <c r="P49" i="1" s="1"/>
  <c r="W48" i="1"/>
  <c r="O48" i="1"/>
  <c r="N48" i="1"/>
  <c r="P48" i="1" s="1"/>
  <c r="W47" i="1"/>
  <c r="O47" i="1"/>
  <c r="N47" i="1"/>
  <c r="P47" i="1" s="1"/>
  <c r="W46" i="1"/>
  <c r="O46" i="1"/>
  <c r="N46" i="1"/>
  <c r="P46" i="1" s="1"/>
  <c r="W45" i="1"/>
  <c r="O45" i="1"/>
  <c r="N45" i="1"/>
  <c r="P45" i="1" s="1"/>
  <c r="W44" i="1"/>
  <c r="O44" i="1"/>
  <c r="N44" i="1"/>
  <c r="P44" i="1" s="1"/>
  <c r="W43" i="1"/>
  <c r="O43" i="1"/>
  <c r="N43" i="1"/>
  <c r="P43" i="1" s="1"/>
  <c r="W42" i="1"/>
  <c r="O42" i="1"/>
  <c r="N42" i="1"/>
  <c r="P42" i="1" s="1"/>
  <c r="W41" i="1"/>
  <c r="O41" i="1"/>
  <c r="N41" i="1"/>
  <c r="P41" i="1" s="1"/>
  <c r="W40" i="1"/>
  <c r="O40" i="1"/>
  <c r="N40" i="1"/>
  <c r="P40" i="1" s="1"/>
  <c r="W39" i="1"/>
  <c r="O39" i="1"/>
  <c r="N39" i="1"/>
  <c r="P39" i="1" s="1"/>
  <c r="W38" i="1"/>
  <c r="O38" i="1"/>
  <c r="N38" i="1"/>
  <c r="P38" i="1" s="1"/>
  <c r="W37" i="1"/>
  <c r="O37" i="1"/>
  <c r="N37" i="1"/>
  <c r="P37" i="1" s="1"/>
  <c r="W36" i="1"/>
  <c r="O36" i="1"/>
  <c r="N36" i="1"/>
  <c r="P36" i="1" s="1"/>
  <c r="W35" i="1"/>
  <c r="O35" i="1"/>
  <c r="N35" i="1"/>
  <c r="P35" i="1" s="1"/>
  <c r="W34" i="1"/>
  <c r="O34" i="1"/>
  <c r="N34" i="1"/>
  <c r="P34" i="1" s="1"/>
  <c r="W33" i="1"/>
  <c r="O33" i="1"/>
  <c r="N33" i="1"/>
  <c r="P33" i="1" s="1"/>
  <c r="W32" i="1"/>
  <c r="O32" i="1"/>
  <c r="N32" i="1"/>
  <c r="P32" i="1" s="1"/>
  <c r="W31" i="1"/>
  <c r="O31" i="1"/>
  <c r="N31" i="1"/>
  <c r="P31" i="1" s="1"/>
  <c r="W30" i="1"/>
  <c r="O30" i="1"/>
  <c r="N30" i="1"/>
  <c r="P30" i="1" s="1"/>
  <c r="W29" i="1"/>
  <c r="O29" i="1"/>
  <c r="N29" i="1"/>
  <c r="P29" i="1" s="1"/>
  <c r="W28" i="1"/>
  <c r="O28" i="1"/>
  <c r="N28" i="1"/>
  <c r="P28" i="1" s="1"/>
  <c r="W27" i="1"/>
  <c r="O27" i="1"/>
  <c r="N27" i="1"/>
  <c r="P27" i="1" s="1"/>
  <c r="W26" i="1"/>
  <c r="O26" i="1"/>
  <c r="N26" i="1"/>
  <c r="P26" i="1" s="1"/>
  <c r="W25" i="1"/>
  <c r="O25" i="1"/>
  <c r="N25" i="1"/>
  <c r="P25" i="1" s="1"/>
  <c r="W24" i="1"/>
  <c r="O24" i="1"/>
  <c r="N24" i="1"/>
  <c r="P24" i="1" s="1"/>
  <c r="W23" i="1"/>
  <c r="O23" i="1"/>
  <c r="N23" i="1"/>
  <c r="P23" i="1" s="1"/>
  <c r="W22" i="1"/>
  <c r="O22" i="1"/>
  <c r="N22" i="1"/>
  <c r="P22" i="1" s="1"/>
  <c r="W21" i="1"/>
  <c r="O21" i="1"/>
  <c r="N21" i="1"/>
  <c r="P21" i="1" s="1"/>
  <c r="W20" i="1"/>
  <c r="O20" i="1"/>
  <c r="N20" i="1"/>
  <c r="P20" i="1" s="1"/>
  <c r="W19" i="1"/>
  <c r="O19" i="1"/>
  <c r="N19" i="1"/>
  <c r="P19" i="1" s="1"/>
  <c r="W18" i="1"/>
  <c r="O18" i="1"/>
  <c r="N18" i="1"/>
  <c r="P18" i="1" s="1"/>
  <c r="W17" i="1"/>
  <c r="O17" i="1"/>
  <c r="N17" i="1"/>
  <c r="P17" i="1" s="1"/>
  <c r="W16" i="1"/>
  <c r="O16" i="1"/>
  <c r="N16" i="1"/>
  <c r="P16" i="1" s="1"/>
  <c r="W15" i="1"/>
  <c r="O15" i="1"/>
  <c r="N15" i="1"/>
  <c r="P15" i="1" s="1"/>
  <c r="W14" i="1"/>
  <c r="O14" i="1"/>
  <c r="N14" i="1"/>
  <c r="P14" i="1" s="1"/>
  <c r="W13" i="1"/>
  <c r="O13" i="1"/>
  <c r="N13" i="1"/>
  <c r="P13" i="1" s="1"/>
  <c r="W12" i="1"/>
  <c r="O12" i="1"/>
  <c r="N12" i="1"/>
  <c r="P12" i="1" s="1"/>
  <c r="W11" i="1"/>
  <c r="O11" i="1"/>
  <c r="N11" i="1"/>
  <c r="P11" i="1" s="1"/>
  <c r="W10" i="1"/>
  <c r="O10" i="1"/>
  <c r="N10" i="1"/>
  <c r="P10" i="1" s="1"/>
  <c r="W9" i="1"/>
  <c r="O9" i="1"/>
  <c r="N9" i="1"/>
  <c r="P9" i="1" s="1"/>
  <c r="W8" i="1"/>
  <c r="O8" i="1"/>
  <c r="N8" i="1"/>
  <c r="P8" i="1" s="1"/>
  <c r="W7" i="1"/>
  <c r="O7" i="1"/>
  <c r="N7" i="1"/>
  <c r="P7" i="1" s="1"/>
  <c r="W6" i="1"/>
  <c r="O6" i="1"/>
  <c r="N6" i="1"/>
  <c r="P6" i="1" s="1"/>
  <c r="W5" i="1"/>
  <c r="O5" i="1"/>
  <c r="N5" i="1"/>
  <c r="P5" i="1" s="1"/>
  <c r="W4" i="1"/>
  <c r="O4" i="1"/>
  <c r="N4" i="1"/>
  <c r="P4" i="1" s="1"/>
  <c r="W3" i="1"/>
  <c r="O3" i="1"/>
  <c r="N3" i="1"/>
  <c r="P3" i="1" s="1"/>
  <c r="W2" i="1"/>
  <c r="O2" i="1"/>
  <c r="N2" i="1"/>
  <c r="P2" i="1" s="1"/>
  <c r="P132" i="1" l="1"/>
  <c r="P136" i="1"/>
  <c r="P140" i="1"/>
  <c r="P144" i="1"/>
  <c r="P148" i="1"/>
  <c r="P152" i="1"/>
  <c r="P156" i="1"/>
  <c r="P160" i="1"/>
  <c r="P164" i="1"/>
  <c r="P168" i="1"/>
  <c r="P172" i="1"/>
  <c r="P176" i="1"/>
  <c r="P180" i="1"/>
  <c r="P184" i="1"/>
  <c r="P131" i="1"/>
  <c r="P135" i="1"/>
  <c r="B4" i="3" s="1"/>
  <c r="B7" i="3" s="1"/>
  <c r="P139" i="1"/>
  <c r="P143" i="1"/>
  <c r="P147" i="1"/>
  <c r="P151" i="1"/>
  <c r="P155" i="1"/>
  <c r="P159" i="1"/>
  <c r="P163" i="1"/>
  <c r="P167" i="1"/>
  <c r="P171" i="1"/>
  <c r="P175" i="1"/>
  <c r="P179" i="1"/>
  <c r="P183" i="1"/>
  <c r="P187" i="1"/>
  <c r="P191" i="1"/>
  <c r="P195" i="1"/>
  <c r="P199" i="1"/>
  <c r="P203" i="1"/>
  <c r="P207" i="1"/>
  <c r="B6" i="3" s="1"/>
  <c r="P211" i="1"/>
  <c r="P215" i="1"/>
  <c r="P219" i="1"/>
  <c r="P223" i="1"/>
  <c r="P227" i="1"/>
  <c r="P231" i="1"/>
  <c r="P235" i="1"/>
  <c r="P239" i="1"/>
  <c r="P243" i="1"/>
  <c r="P247" i="1"/>
  <c r="P251" i="1"/>
  <c r="P255" i="1"/>
  <c r="P259" i="1"/>
  <c r="P263" i="1"/>
  <c r="P267" i="1"/>
  <c r="P271" i="1"/>
  <c r="P275" i="1"/>
  <c r="P279" i="1"/>
  <c r="P284" i="1"/>
  <c r="P288" i="1"/>
  <c r="P292" i="1"/>
  <c r="P296" i="1"/>
  <c r="P300" i="1"/>
  <c r="P304" i="1"/>
  <c r="P308" i="1"/>
  <c r="P312" i="1"/>
  <c r="P316" i="1"/>
  <c r="P320" i="1"/>
  <c r="P324" i="1"/>
  <c r="P328" i="1"/>
  <c r="P332" i="1"/>
  <c r="P336" i="1"/>
  <c r="P340" i="1"/>
  <c r="P344" i="1"/>
  <c r="P348" i="1"/>
  <c r="P283" i="1"/>
  <c r="P287" i="1"/>
  <c r="P291" i="1"/>
  <c r="P295" i="1"/>
  <c r="P299" i="1"/>
  <c r="P303" i="1"/>
  <c r="P307" i="1"/>
  <c r="P311" i="1"/>
  <c r="P315" i="1"/>
  <c r="P319" i="1"/>
  <c r="P323" i="1"/>
  <c r="P327" i="1"/>
  <c r="P331" i="1"/>
  <c r="P335" i="1"/>
  <c r="P339" i="1"/>
  <c r="P343" i="1"/>
  <c r="P347" i="1"/>
  <c r="P351" i="1"/>
  <c r="P355" i="1"/>
  <c r="P359" i="1"/>
  <c r="P363" i="1"/>
  <c r="P352" i="1"/>
  <c r="P356" i="1"/>
  <c r="P360" i="1"/>
  <c r="P364" i="1"/>
  <c r="P368" i="1"/>
  <c r="P372" i="1"/>
  <c r="P376" i="1"/>
  <c r="P380" i="1"/>
  <c r="P384" i="1"/>
  <c r="P388" i="1"/>
  <c r="P392" i="1"/>
  <c r="P396" i="1"/>
  <c r="P400" i="1"/>
  <c r="P404" i="1"/>
  <c r="P408" i="1"/>
  <c r="P412" i="1"/>
  <c r="P416" i="1"/>
  <c r="P367" i="1"/>
  <c r="P371" i="1"/>
  <c r="P375" i="1"/>
  <c r="P379" i="1"/>
  <c r="P383" i="1"/>
  <c r="P387" i="1"/>
  <c r="P391" i="1"/>
  <c r="P395" i="1"/>
  <c r="P399" i="1"/>
  <c r="P403" i="1"/>
  <c r="P407" i="1"/>
  <c r="P411" i="1"/>
  <c r="P415" i="1"/>
  <c r="P419" i="1"/>
  <c r="P423" i="1"/>
  <c r="P427" i="1"/>
  <c r="P431" i="1"/>
  <c r="P435" i="1"/>
  <c r="P439" i="1"/>
  <c r="P443" i="1"/>
  <c r="P447" i="1"/>
  <c r="P451" i="1"/>
  <c r="P455" i="1"/>
  <c r="P459" i="1"/>
  <c r="P463" i="1"/>
  <c r="P467" i="1"/>
  <c r="P471" i="1"/>
  <c r="P475" i="1"/>
  <c r="P479" i="1"/>
  <c r="P483" i="1"/>
  <c r="P487" i="1"/>
  <c r="P491" i="1"/>
  <c r="P495" i="1"/>
  <c r="P499" i="1"/>
  <c r="P503" i="1"/>
  <c r="P507" i="1"/>
  <c r="P511" i="1"/>
  <c r="P515" i="1"/>
  <c r="P519" i="1"/>
  <c r="P523" i="1"/>
  <c r="P527" i="1"/>
  <c r="P531" i="1"/>
  <c r="P535" i="1"/>
  <c r="P539" i="1"/>
  <c r="P543" i="1"/>
  <c r="P547" i="1"/>
  <c r="P551" i="1"/>
  <c r="P555" i="1"/>
  <c r="P559" i="1"/>
  <c r="P563" i="1"/>
  <c r="P567" i="1"/>
  <c r="P571" i="1"/>
  <c r="P575" i="1"/>
  <c r="P579" i="1"/>
  <c r="P583" i="1"/>
  <c r="P587" i="1"/>
  <c r="P591" i="1"/>
  <c r="P595" i="1"/>
  <c r="P599" i="1"/>
  <c r="P603" i="1"/>
  <c r="P607" i="1"/>
  <c r="P611" i="1"/>
  <c r="P615" i="1"/>
  <c r="P619" i="1"/>
  <c r="P623" i="1"/>
  <c r="P627" i="1"/>
  <c r="P631" i="1"/>
  <c r="P635" i="1"/>
  <c r="P639" i="1"/>
  <c r="P643" i="1"/>
  <c r="P647" i="1"/>
  <c r="P651" i="1"/>
  <c r="P655" i="1"/>
  <c r="P659" i="1"/>
  <c r="P663" i="1"/>
  <c r="P667" i="1"/>
  <c r="P671" i="1"/>
  <c r="P675" i="1"/>
  <c r="P679" i="1"/>
</calcChain>
</file>

<file path=xl/sharedStrings.xml><?xml version="1.0" encoding="utf-8"?>
<sst xmlns="http://schemas.openxmlformats.org/spreadsheetml/2006/main" count="12807" uniqueCount="1600">
  <si>
    <t>Order_ID</t>
  </si>
  <si>
    <t>Order_Date</t>
  </si>
  <si>
    <t>Customer_ID</t>
  </si>
  <si>
    <t>Customer_Name</t>
  </si>
  <si>
    <t>City</t>
  </si>
  <si>
    <t>State</t>
  </si>
  <si>
    <t>Product</t>
  </si>
  <si>
    <t>Category</t>
  </si>
  <si>
    <t>Sub_Category</t>
  </si>
  <si>
    <t>cost</t>
  </si>
  <si>
    <t>MRP</t>
  </si>
  <si>
    <t>Quantity</t>
  </si>
  <si>
    <t>Discount</t>
  </si>
  <si>
    <t>Revenue</t>
  </si>
  <si>
    <t>Total_cost</t>
  </si>
  <si>
    <t>Profit</t>
  </si>
  <si>
    <t>Payment_Method</t>
  </si>
  <si>
    <t>Order_status</t>
  </si>
  <si>
    <t>Delivery_date</t>
  </si>
  <si>
    <t>Shipping_Delay</t>
  </si>
  <si>
    <t>Rating</t>
  </si>
  <si>
    <t>Returned</t>
  </si>
  <si>
    <t>Return_count</t>
  </si>
  <si>
    <t>ORD00452</t>
  </si>
  <si>
    <t>CUST0188</t>
  </si>
  <si>
    <t>Vikram</t>
  </si>
  <si>
    <t>Bangalore</t>
  </si>
  <si>
    <t>Karnataka</t>
  </si>
  <si>
    <t>Mixer</t>
  </si>
  <si>
    <t>Home</t>
  </si>
  <si>
    <t>Kitchen</t>
  </si>
  <si>
    <t>COD</t>
  </si>
  <si>
    <t>Delivered</t>
  </si>
  <si>
    <t>No</t>
  </si>
  <si>
    <t>ORD00033</t>
  </si>
  <si>
    <t>CUST0025</t>
  </si>
  <si>
    <t>Priya</t>
  </si>
  <si>
    <t>Ahmedabad</t>
  </si>
  <si>
    <t>Gujarat</t>
  </si>
  <si>
    <t>Debit Card</t>
  </si>
  <si>
    <t>ORD00228</t>
  </si>
  <si>
    <t>CUST0058</t>
  </si>
  <si>
    <t>Kiran</t>
  </si>
  <si>
    <t>T-Shirt</t>
  </si>
  <si>
    <t>Clothing</t>
  </si>
  <si>
    <t>Men</t>
  </si>
  <si>
    <t>Credit Card</t>
  </si>
  <si>
    <t>ORD00372</t>
  </si>
  <si>
    <t>CUST0178</t>
  </si>
  <si>
    <t>Chennai</t>
  </si>
  <si>
    <t>Tamil Nadu</t>
  </si>
  <si>
    <t>ORD01079</t>
  </si>
  <si>
    <t>CUST0127</t>
  </si>
  <si>
    <t>Nikhil</t>
  </si>
  <si>
    <t>Pune</t>
  </si>
  <si>
    <t>Maharashtra</t>
  </si>
  <si>
    <t>Cancelled</t>
  </si>
  <si>
    <t>ORD00980</t>
  </si>
  <si>
    <t>CUST0263</t>
  </si>
  <si>
    <t>Neha</t>
  </si>
  <si>
    <t>Hyderabad</t>
  </si>
  <si>
    <t>Telangana</t>
  </si>
  <si>
    <t>ORD01015</t>
  </si>
  <si>
    <t>CUST0174</t>
  </si>
  <si>
    <t>Sneha</t>
  </si>
  <si>
    <t>ORD00191</t>
  </si>
  <si>
    <t>CUST0015</t>
  </si>
  <si>
    <t>ORD00344</t>
  </si>
  <si>
    <t>CUST0126</t>
  </si>
  <si>
    <t>Mumbai</t>
  </si>
  <si>
    <t>Dress</t>
  </si>
  <si>
    <t>Women</t>
  </si>
  <si>
    <t>ORD00408</t>
  </si>
  <si>
    <t>CUST0116</t>
  </si>
  <si>
    <t>Manoj</t>
  </si>
  <si>
    <t>Headphones</t>
  </si>
  <si>
    <t>Electronics</t>
  </si>
  <si>
    <t>Accessories</t>
  </si>
  <si>
    <t>ORD00423</t>
  </si>
  <si>
    <t>CUST0139</t>
  </si>
  <si>
    <t>Delhi</t>
  </si>
  <si>
    <t>Shoes</t>
  </si>
  <si>
    <t>Footwear</t>
  </si>
  <si>
    <t>UPI</t>
  </si>
  <si>
    <t>ORD01167</t>
  </si>
  <si>
    <t>CUST0176</t>
  </si>
  <si>
    <t>Rahul</t>
  </si>
  <si>
    <t>Sofa</t>
  </si>
  <si>
    <t>Furniture</t>
  </si>
  <si>
    <t>Yes</t>
  </si>
  <si>
    <t>ORD00353</t>
  </si>
  <si>
    <t>CUST0065</t>
  </si>
  <si>
    <t>Jeans</t>
  </si>
  <si>
    <t>ORD00533</t>
  </si>
  <si>
    <t>CUST0231</t>
  </si>
  <si>
    <t>ORD00022</t>
  </si>
  <si>
    <t>CUST0256</t>
  </si>
  <si>
    <t>Face Cream</t>
  </si>
  <si>
    <t>Beauty</t>
  </si>
  <si>
    <t>Skincare</t>
  </si>
  <si>
    <t>ORD00681</t>
  </si>
  <si>
    <t>CUST0175</t>
  </si>
  <si>
    <t>Arjun</t>
  </si>
  <si>
    <t>ORD00020</t>
  </si>
  <si>
    <t>CUST0232</t>
  </si>
  <si>
    <t>Swathi</t>
  </si>
  <si>
    <t>Perfume</t>
  </si>
  <si>
    <t>Fragrance</t>
  </si>
  <si>
    <t>ORD00094</t>
  </si>
  <si>
    <t>CUST0101</t>
  </si>
  <si>
    <t>ORD00127</t>
  </si>
  <si>
    <t>CUST0252</t>
  </si>
  <si>
    <t>Kolkata</t>
  </si>
  <si>
    <t>West Bengal</t>
  </si>
  <si>
    <t>ORD00915</t>
  </si>
  <si>
    <t>CUST0204</t>
  </si>
  <si>
    <t>Rohit</t>
  </si>
  <si>
    <t>ORD00947</t>
  </si>
  <si>
    <t>CUST0027</t>
  </si>
  <si>
    <t>Samsung TV</t>
  </si>
  <si>
    <t>TV</t>
  </si>
  <si>
    <t>ORD00104</t>
  </si>
  <si>
    <t>ORD00235</t>
  </si>
  <si>
    <t>CUST0253</t>
  </si>
  <si>
    <t>iPhone 14</t>
  </si>
  <si>
    <t>Mobile</t>
  </si>
  <si>
    <t>ORD00623</t>
  </si>
  <si>
    <t>CUST0164</t>
  </si>
  <si>
    <t>ORD00053</t>
  </si>
  <si>
    <t>ORD00422</t>
  </si>
  <si>
    <t>CUST0117</t>
  </si>
  <si>
    <t>ORD00666</t>
  </si>
  <si>
    <t>CUST0002</t>
  </si>
  <si>
    <t>ORD01023</t>
  </si>
  <si>
    <t>CUST0242</t>
  </si>
  <si>
    <t>Pooja</t>
  </si>
  <si>
    <t>ORD00257</t>
  </si>
  <si>
    <t>CUST0300</t>
  </si>
  <si>
    <t>Divya</t>
  </si>
  <si>
    <t>Laptop</t>
  </si>
  <si>
    <t>Computers</t>
  </si>
  <si>
    <t>ORD00645</t>
  </si>
  <si>
    <t>ORD00990</t>
  </si>
  <si>
    <t>CUST0012</t>
  </si>
  <si>
    <t>ORD01097</t>
  </si>
  <si>
    <t>CUST0249</t>
  </si>
  <si>
    <t>Amit</t>
  </si>
  <si>
    <t>ORD00163</t>
  </si>
  <si>
    <t>Kavya</t>
  </si>
  <si>
    <t>ORD01113</t>
  </si>
  <si>
    <t>Ramesh</t>
  </si>
  <si>
    <t>ORD00011</t>
  </si>
  <si>
    <t>CUST0294</t>
  </si>
  <si>
    <t>ORD00108</t>
  </si>
  <si>
    <t>CUST0018</t>
  </si>
  <si>
    <t>ORD00234</t>
  </si>
  <si>
    <t>CUST0292</t>
  </si>
  <si>
    <t>ORD00281</t>
  </si>
  <si>
    <t>ORD00333</t>
  </si>
  <si>
    <t>CUST0057</t>
  </si>
  <si>
    <t>ORD00629</t>
  </si>
  <si>
    <t>CUST0208</t>
  </si>
  <si>
    <t>ORD00664</t>
  </si>
  <si>
    <t>CUST0212</t>
  </si>
  <si>
    <t>ORD00791</t>
  </si>
  <si>
    <t>ORD00313</t>
  </si>
  <si>
    <t>CUST0114</t>
  </si>
  <si>
    <t>ORD00462</t>
  </si>
  <si>
    <t>CUST0048</t>
  </si>
  <si>
    <t>ORD00307</t>
  </si>
  <si>
    <t>CUST0066</t>
  </si>
  <si>
    <t>ORD00536</t>
  </si>
  <si>
    <t>CUST0049</t>
  </si>
  <si>
    <t>ORD00667</t>
  </si>
  <si>
    <t>CUST0150</t>
  </si>
  <si>
    <t>ORD00836</t>
  </si>
  <si>
    <t>CUST0244</t>
  </si>
  <si>
    <t>ORD00971</t>
  </si>
  <si>
    <t>CUST0084</t>
  </si>
  <si>
    <t>ORD00509</t>
  </si>
  <si>
    <t>CUST0121</t>
  </si>
  <si>
    <t>Deepika</t>
  </si>
  <si>
    <t>ORD00877</t>
  </si>
  <si>
    <t>CUST0182</t>
  </si>
  <si>
    <t>Meena</t>
  </si>
  <si>
    <t>ORD00202</t>
  </si>
  <si>
    <t>CUST0250</t>
  </si>
  <si>
    <t>ORD00433</t>
  </si>
  <si>
    <t>Anjali</t>
  </si>
  <si>
    <t>ORD00568</t>
  </si>
  <si>
    <t>CUST0156</t>
  </si>
  <si>
    <t>ORD00774</t>
  </si>
  <si>
    <t>ORD00810</t>
  </si>
  <si>
    <t>CUST0070</t>
  </si>
  <si>
    <t>ORD00207</t>
  </si>
  <si>
    <t>CUST0097</t>
  </si>
  <si>
    <t>ORD00258</t>
  </si>
  <si>
    <t>CUST0191</t>
  </si>
  <si>
    <t>ORD01121</t>
  </si>
  <si>
    <t>CUST0264</t>
  </si>
  <si>
    <t>ORD00310</t>
  </si>
  <si>
    <t>CUST0278</t>
  </si>
  <si>
    <t>ORD01099</t>
  </si>
  <si>
    <t>CUST0215</t>
  </si>
  <si>
    <t>ORD01147</t>
  </si>
  <si>
    <t>CUST0034</t>
  </si>
  <si>
    <t>ORD00446</t>
  </si>
  <si>
    <t>CUST0289</t>
  </si>
  <si>
    <t>Suresh</t>
  </si>
  <si>
    <t>ORD00479</t>
  </si>
  <si>
    <t>CUST0225</t>
  </si>
  <si>
    <t>ORD00624</t>
  </si>
  <si>
    <t>CUST0239</t>
  </si>
  <si>
    <t>ORD00883</t>
  </si>
  <si>
    <t>CUST0291</t>
  </si>
  <si>
    <t>ORD00290</t>
  </si>
  <si>
    <t>CUST0167</t>
  </si>
  <si>
    <t>ORD00421</t>
  </si>
  <si>
    <t>CUST0257</t>
  </si>
  <si>
    <t>ORD01126</t>
  </si>
  <si>
    <t>CUST0001</t>
  </si>
  <si>
    <t>ORD00241</t>
  </si>
  <si>
    <t>CUST0285</t>
  </si>
  <si>
    <t>ORD00267</t>
  </si>
  <si>
    <t>ORD00543</t>
  </si>
  <si>
    <t>CUST0031</t>
  </si>
  <si>
    <t>ORD00600</t>
  </si>
  <si>
    <t>CUST0054</t>
  </si>
  <si>
    <t>ORD01175</t>
  </si>
  <si>
    <t>ORD00012</t>
  </si>
  <si>
    <t>ORD00265</t>
  </si>
  <si>
    <t>CUST0287</t>
  </si>
  <si>
    <t>ORD00435</t>
  </si>
  <si>
    <t>CUST0124</t>
  </si>
  <si>
    <t>ORD00678</t>
  </si>
  <si>
    <t>CUST0183</t>
  </si>
  <si>
    <t>ORD00869</t>
  </si>
  <si>
    <t>CUST0045</t>
  </si>
  <si>
    <t>ORD01073</t>
  </si>
  <si>
    <t>CUST0131</t>
  </si>
  <si>
    <t>ORD00097</t>
  </si>
  <si>
    <t>CUST0216</t>
  </si>
  <si>
    <t>ORD00889</t>
  </si>
  <si>
    <t>CUST0132</t>
  </si>
  <si>
    <t>ORD00626</t>
  </si>
  <si>
    <t>ORD00736</t>
  </si>
  <si>
    <t>ORD00906</t>
  </si>
  <si>
    <t>ORD01101</t>
  </si>
  <si>
    <t>CUST0185</t>
  </si>
  <si>
    <t>ORD00057</t>
  </si>
  <si>
    <t>CUST0243</t>
  </si>
  <si>
    <t>ORD01051</t>
  </si>
  <si>
    <t>CUST0120</t>
  </si>
  <si>
    <t>ORD00842</t>
  </si>
  <si>
    <t>ORD01063</t>
  </si>
  <si>
    <t>CUST0024</t>
  </si>
  <si>
    <t>ORD00255</t>
  </si>
  <si>
    <t>CUST0010</t>
  </si>
  <si>
    <t>ORD00027</t>
  </si>
  <si>
    <t>CUST0286</t>
  </si>
  <si>
    <t>ORD00442</t>
  </si>
  <si>
    <t>CUST0009</t>
  </si>
  <si>
    <t>ORD00619</t>
  </si>
  <si>
    <t>CUST0209</t>
  </si>
  <si>
    <t>ORD00785</t>
  </si>
  <si>
    <t>CUST0082</t>
  </si>
  <si>
    <t>ORD00909</t>
  </si>
  <si>
    <t>CUST0246</t>
  </si>
  <si>
    <t>ORD00992</t>
  </si>
  <si>
    <t>ORD01001</t>
  </si>
  <si>
    <t>CUST0202</t>
  </si>
  <si>
    <t>ORD00096</t>
  </si>
  <si>
    <t>CUST0085</t>
  </si>
  <si>
    <t>ORD00570</t>
  </si>
  <si>
    <t>CUST0145</t>
  </si>
  <si>
    <t>ORD00613</t>
  </si>
  <si>
    <t>CUST0081</t>
  </si>
  <si>
    <t>ORD00781</t>
  </si>
  <si>
    <t>CUST0133</t>
  </si>
  <si>
    <t>ORD00880</t>
  </si>
  <si>
    <t>ORD01169</t>
  </si>
  <si>
    <t>ORD00247</t>
  </si>
  <si>
    <t>CUST0227</t>
  </si>
  <si>
    <t>ORD00555</t>
  </si>
  <si>
    <t>CUST0155</t>
  </si>
  <si>
    <t>ORD01035</t>
  </si>
  <si>
    <t>CUST0107</t>
  </si>
  <si>
    <t>ORD00209</t>
  </si>
  <si>
    <t>CUST0260</t>
  </si>
  <si>
    <t>ORD00263</t>
  </si>
  <si>
    <t>CUST0011</t>
  </si>
  <si>
    <t>ORD00549</t>
  </si>
  <si>
    <t>CUST0052</t>
  </si>
  <si>
    <t>ORD00538</t>
  </si>
  <si>
    <t>CUST0014</t>
  </si>
  <si>
    <t>ORD00768</t>
  </si>
  <si>
    <t>CUST0100</t>
  </si>
  <si>
    <t>ORD00797</t>
  </si>
  <si>
    <t>ORD01130</t>
  </si>
  <si>
    <t>CUST0032</t>
  </si>
  <si>
    <t>ORD01181</t>
  </si>
  <si>
    <t>CUST0265</t>
  </si>
  <si>
    <t>ORD00665</t>
  </si>
  <si>
    <t>ORD00771</t>
  </si>
  <si>
    <t>CUST0135</t>
  </si>
  <si>
    <t>ORD01018</t>
  </si>
  <si>
    <t>CUST0148</t>
  </si>
  <si>
    <t>ORD01028</t>
  </si>
  <si>
    <t>ORD01021</t>
  </si>
  <si>
    <t>CUST0170</t>
  </si>
  <si>
    <t>ORD00030</t>
  </si>
  <si>
    <t>ORD00524</t>
  </si>
  <si>
    <t>ORD00617</t>
  </si>
  <si>
    <t>ORD00725</t>
  </si>
  <si>
    <t>ORD00862</t>
  </si>
  <si>
    <t>ORD00936</t>
  </si>
  <si>
    <t>ORD01119</t>
  </si>
  <si>
    <t>ORD00100</t>
  </si>
  <si>
    <t>CUST0125</t>
  </si>
  <si>
    <t>ORD00205</t>
  </si>
  <si>
    <t>ORD00436</t>
  </si>
  <si>
    <t>CUST0180</t>
  </si>
  <si>
    <t>ORD01196</t>
  </si>
  <si>
    <t>ORD00495</t>
  </si>
  <si>
    <t>CUST0088</t>
  </si>
  <si>
    <t>ORD00430</t>
  </si>
  <si>
    <t>CUST0023</t>
  </si>
  <si>
    <t>ORD00627</t>
  </si>
  <si>
    <t>ORD00062</t>
  </si>
  <si>
    <t>CUST0080</t>
  </si>
  <si>
    <t>ORD00225</t>
  </si>
  <si>
    <t>ORD00658</t>
  </si>
  <si>
    <t>CUST0196</t>
  </si>
  <si>
    <t>ORD00996</t>
  </si>
  <si>
    <t>CUST0119</t>
  </si>
  <si>
    <t>ORD00040</t>
  </si>
  <si>
    <t>CUST0198</t>
  </si>
  <si>
    <t>ORD00240</t>
  </si>
  <si>
    <t>ORD00608</t>
  </si>
  <si>
    <t>CUST0138</t>
  </si>
  <si>
    <t>ORD00273</t>
  </si>
  <si>
    <t>CUST0067</t>
  </si>
  <si>
    <t>ORD00298</t>
  </si>
  <si>
    <t>CUST0147</t>
  </si>
  <si>
    <t>ORD00780</t>
  </si>
  <si>
    <t>ORD00794</t>
  </si>
  <si>
    <t>CUST0037</t>
  </si>
  <si>
    <t>ORD00808</t>
  </si>
  <si>
    <t>ORD00849</t>
  </si>
  <si>
    <t>ORD00871</t>
  </si>
  <si>
    <t>CUST0158</t>
  </si>
  <si>
    <t>ORD00913</t>
  </si>
  <si>
    <t>CUST0193</t>
  </si>
  <si>
    <t>ORD01014</t>
  </si>
  <si>
    <t>ORD00141</t>
  </si>
  <si>
    <t>CUST0105</t>
  </si>
  <si>
    <t>ORD00174</t>
  </si>
  <si>
    <t>ORD00935</t>
  </si>
  <si>
    <t>ORD01037</t>
  </si>
  <si>
    <t>CUST0039</t>
  </si>
  <si>
    <t>ORD00043</t>
  </si>
  <si>
    <t>CUST0072</t>
  </si>
  <si>
    <t>ORD00356</t>
  </si>
  <si>
    <t>CUST0040</t>
  </si>
  <si>
    <t>ORD00416</t>
  </si>
  <si>
    <t>ORD00503</t>
  </si>
  <si>
    <t>CUST0110</t>
  </si>
  <si>
    <t>ORD00550</t>
  </si>
  <si>
    <t>CUST0022</t>
  </si>
  <si>
    <t>ORD00618</t>
  </si>
  <si>
    <t>CUST0123</t>
  </si>
  <si>
    <t>ORD01165</t>
  </si>
  <si>
    <t>ORD00004</t>
  </si>
  <si>
    <t>CUST0213</t>
  </si>
  <si>
    <t>ORD00284</t>
  </si>
  <si>
    <t>ORD00516</t>
  </si>
  <si>
    <t>CUST0106</t>
  </si>
  <si>
    <t>ORD00985</t>
  </si>
  <si>
    <t>CUST0115</t>
  </si>
  <si>
    <t>ORD01056</t>
  </si>
  <si>
    <t>ORD00038</t>
  </si>
  <si>
    <t>CUST0171</t>
  </si>
  <si>
    <t>ORD01092</t>
  </si>
  <si>
    <t>CUST0169</t>
  </si>
  <si>
    <t>ORD01120</t>
  </si>
  <si>
    <t>CUST0071</t>
  </si>
  <si>
    <t>ORD00501</t>
  </si>
  <si>
    <t>CUST0056</t>
  </si>
  <si>
    <t>ORD00522</t>
  </si>
  <si>
    <t>CUST0197</t>
  </si>
  <si>
    <t>ORD01105</t>
  </si>
  <si>
    <t>ORD00487</t>
  </si>
  <si>
    <t>CUST0272</t>
  </si>
  <si>
    <t>ORD01027</t>
  </si>
  <si>
    <t>CUST0261</t>
  </si>
  <si>
    <t>ORD00134</t>
  </si>
  <si>
    <t>CUST0159</t>
  </si>
  <si>
    <t>ORD00732</t>
  </si>
  <si>
    <t>ORD00775</t>
  </si>
  <si>
    <t>ORD00987</t>
  </si>
  <si>
    <t>CUST0240</t>
  </si>
  <si>
    <t>ORD01171</t>
  </si>
  <si>
    <t>CUST0113</t>
  </si>
  <si>
    <t>ORD00059</t>
  </si>
  <si>
    <t>CUST0118</t>
  </si>
  <si>
    <t>ORD00274</t>
  </si>
  <si>
    <t>CUST0255</t>
  </si>
  <si>
    <t>ORD00668</t>
  </si>
  <si>
    <t>CUST0141</t>
  </si>
  <si>
    <t>ORD01024</t>
  </si>
  <si>
    <t>CUST0281</t>
  </si>
  <si>
    <t>ORD01150</t>
  </si>
  <si>
    <t>ORD00983</t>
  </si>
  <si>
    <t>CUST0295</t>
  </si>
  <si>
    <t>ORD01102</t>
  </si>
  <si>
    <t>ORD00222</t>
  </si>
  <si>
    <t>CUST0108</t>
  </si>
  <si>
    <t>ORD00489</t>
  </si>
  <si>
    <t>CUST0109</t>
  </si>
  <si>
    <t>ORD00641</t>
  </si>
  <si>
    <t>ORD00973</t>
  </si>
  <si>
    <t>ORD00068</t>
  </si>
  <si>
    <t>CUST0017</t>
  </si>
  <si>
    <t>ORD00726</t>
  </si>
  <si>
    <t>ORD01010</t>
  </si>
  <si>
    <t>CUST0200</t>
  </si>
  <si>
    <t>ORD00244</t>
  </si>
  <si>
    <t>CUST0181</t>
  </si>
  <si>
    <t>ORD00459</t>
  </si>
  <si>
    <t>ORD00962</t>
  </si>
  <si>
    <t>ORD00972</t>
  </si>
  <si>
    <t>ORD00126</t>
  </si>
  <si>
    <t>ORD00657</t>
  </si>
  <si>
    <t>ORD00316</t>
  </si>
  <si>
    <t>ORD01122</t>
  </si>
  <si>
    <t>ORD01168</t>
  </si>
  <si>
    <t>ORD00398</t>
  </si>
  <si>
    <t>CUST0075</t>
  </si>
  <si>
    <t>ORD00596</t>
  </si>
  <si>
    <t>CUST0199</t>
  </si>
  <si>
    <t>ORD00671</t>
  </si>
  <si>
    <t>ORD01066</t>
  </si>
  <si>
    <t>ORD00450</t>
  </si>
  <si>
    <t>CUST0187</t>
  </si>
  <si>
    <t>ORD00112</t>
  </si>
  <si>
    <t>CUST0021</t>
  </si>
  <si>
    <t>ORD00431</t>
  </si>
  <si>
    <t>ORD00902</t>
  </si>
  <si>
    <t>ORD00357</t>
  </si>
  <si>
    <t>ORD00557</t>
  </si>
  <si>
    <t>CUST0210</t>
  </si>
  <si>
    <t>ORD00844</t>
  </si>
  <si>
    <t>CUST0073</t>
  </si>
  <si>
    <t>ORD00317</t>
  </si>
  <si>
    <t>ORD00339</t>
  </si>
  <si>
    <t>ORD00349</t>
  </si>
  <si>
    <t>ORD00587</t>
  </si>
  <si>
    <t>CUST0041</t>
  </si>
  <si>
    <t>ORD00745</t>
  </si>
  <si>
    <t>CUST0262</t>
  </si>
  <si>
    <t>ORD01154</t>
  </si>
  <si>
    <t>CUST0047</t>
  </si>
  <si>
    <t>ORD00088</t>
  </si>
  <si>
    <t>ORD00380</t>
  </si>
  <si>
    <t>ORD00385</t>
  </si>
  <si>
    <t>ORD00560</t>
  </si>
  <si>
    <t>CUST0069</t>
  </si>
  <si>
    <t>ORD01098</t>
  </si>
  <si>
    <t>ORD00249</t>
  </si>
  <si>
    <t>ORD00363</t>
  </si>
  <si>
    <t>ORD00467</t>
  </si>
  <si>
    <t>CUST0019</t>
  </si>
  <si>
    <t>ORD00792</t>
  </si>
  <si>
    <t>ORD00311</t>
  </si>
  <si>
    <t>CUST0154</t>
  </si>
  <si>
    <t>ORD00386</t>
  </si>
  <si>
    <t>CUST0036</t>
  </si>
  <si>
    <t>ORD00594</t>
  </si>
  <si>
    <t>CUST0195</t>
  </si>
  <si>
    <t>ORD00694</t>
  </si>
  <si>
    <t>CUST0004</t>
  </si>
  <si>
    <t>ORD00700</t>
  </si>
  <si>
    <t>CUST0142</t>
  </si>
  <si>
    <t>ORD00778</t>
  </si>
  <si>
    <t>ORD01069</t>
  </si>
  <si>
    <t>CUST0153</t>
  </si>
  <si>
    <t>ORD00065</t>
  </si>
  <si>
    <t>CUST0090</t>
  </si>
  <si>
    <t>ORD00920</t>
  </si>
  <si>
    <t>ORD00924</t>
  </si>
  <si>
    <t>CUST0220</t>
  </si>
  <si>
    <t>ORD01045</t>
  </si>
  <si>
    <t>ORD01100</t>
  </si>
  <si>
    <t>ORD00032</t>
  </si>
  <si>
    <t>CUST0173</t>
  </si>
  <si>
    <t>ORD00340</t>
  </si>
  <si>
    <t>CUST0165</t>
  </si>
  <si>
    <t>ORD00758</t>
  </si>
  <si>
    <t>ORD01142</t>
  </si>
  <si>
    <t>ORD00689</t>
  </si>
  <si>
    <t>CUST0276</t>
  </si>
  <si>
    <t>ORD00961</t>
  </si>
  <si>
    <t>CUST0003</t>
  </si>
  <si>
    <t>ORD00546</t>
  </si>
  <si>
    <t>CUST0061</t>
  </si>
  <si>
    <t>ORD00691</t>
  </si>
  <si>
    <t>CUST0160</t>
  </si>
  <si>
    <t>ORD00719</t>
  </si>
  <si>
    <t>ORD00513</t>
  </si>
  <si>
    <t>CUST0060</t>
  </si>
  <si>
    <t>ORD00741</t>
  </si>
  <si>
    <t>CUST0201</t>
  </si>
  <si>
    <t>ORD00933</t>
  </si>
  <si>
    <t>ORD00132</t>
  </si>
  <si>
    <t>ORD00404</t>
  </si>
  <si>
    <t>CUST0235</t>
  </si>
  <si>
    <t>ORD00974</t>
  </si>
  <si>
    <t>ORD00982</t>
  </si>
  <si>
    <t>ORD01077</t>
  </si>
  <si>
    <t>ORD00093</t>
  </si>
  <si>
    <t>ORD00603</t>
  </si>
  <si>
    <t>CUST0280</t>
  </si>
  <si>
    <t>ORD00891</t>
  </si>
  <si>
    <t>ORD01136</t>
  </si>
  <si>
    <t>CUST0063</t>
  </si>
  <si>
    <t>ORD00621</t>
  </si>
  <si>
    <t>CUST0044</t>
  </si>
  <si>
    <t>ORD00946</t>
  </si>
  <si>
    <t>ORD01159</t>
  </si>
  <si>
    <t>ORD00300</t>
  </si>
  <si>
    <t>ORD01055</t>
  </si>
  <si>
    <t>ORD01188</t>
  </si>
  <si>
    <t>CUST0042</t>
  </si>
  <si>
    <t>ORD00146</t>
  </si>
  <si>
    <t>CUST0128</t>
  </si>
  <si>
    <t>ORD00679</t>
  </si>
  <si>
    <t>CUST0214</t>
  </si>
  <si>
    <t>ORD00807</t>
  </si>
  <si>
    <t>ORD00966</t>
  </si>
  <si>
    <t>CUST0206</t>
  </si>
  <si>
    <t>ORD01003</t>
  </si>
  <si>
    <t>ORD01190</t>
  </si>
  <si>
    <t>CUST0282</t>
  </si>
  <si>
    <t>ORD00259</t>
  </si>
  <si>
    <t>ORD00454</t>
  </si>
  <si>
    <t>ORD00692</t>
  </si>
  <si>
    <t>ORD00168</t>
  </si>
  <si>
    <t>CUST0223</t>
  </si>
  <si>
    <t>ORD00457</t>
  </si>
  <si>
    <t>ORD00614</t>
  </si>
  <si>
    <t>ORD00720</t>
  </si>
  <si>
    <t>ORD00798</t>
  </si>
  <si>
    <t>CUST0279</t>
  </si>
  <si>
    <t>ORD00802</t>
  </si>
  <si>
    <t>ORD00058</t>
  </si>
  <si>
    <t>CUST0005</t>
  </si>
  <si>
    <t>ORD00888</t>
  </si>
  <si>
    <t>ORD00005</t>
  </si>
  <si>
    <t>ORD00076</t>
  </si>
  <si>
    <t>ORD00635</t>
  </si>
  <si>
    <t>CUST0274</t>
  </si>
  <si>
    <t>ORD00243</t>
  </si>
  <si>
    <t>CUST0079</t>
  </si>
  <si>
    <t>ORD01057</t>
  </si>
  <si>
    <t>ORD00840</t>
  </si>
  <si>
    <t>ORD00352</t>
  </si>
  <si>
    <t>CUST0099</t>
  </si>
  <si>
    <t>ORD00391</t>
  </si>
  <si>
    <t>CUST0161</t>
  </si>
  <si>
    <t>ORD01114</t>
  </si>
  <si>
    <t>ORD00144</t>
  </si>
  <si>
    <t>CUST0152</t>
  </si>
  <si>
    <t>ORD00556</t>
  </si>
  <si>
    <t>ORD00824</t>
  </si>
  <si>
    <t>CUST0221</t>
  </si>
  <si>
    <t>ORD00155</t>
  </si>
  <si>
    <t>ORD00687</t>
  </si>
  <si>
    <t>ORD00801</t>
  </si>
  <si>
    <t>ORD01016</t>
  </si>
  <si>
    <t>ORD00072</t>
  </si>
  <si>
    <t>ORD00221</t>
  </si>
  <si>
    <t>ORD00428</t>
  </si>
  <si>
    <t>CUST0068</t>
  </si>
  <si>
    <t>ORD00471</t>
  </si>
  <si>
    <t>CUST0241</t>
  </si>
  <si>
    <t>ORD00790</t>
  </si>
  <si>
    <t>ORD01183</t>
  </si>
  <si>
    <t>ORD00075</t>
  </si>
  <si>
    <t>ORD00183</t>
  </si>
  <si>
    <t>CUST0222</t>
  </si>
  <si>
    <t>ORD00292</t>
  </si>
  <si>
    <t>CUST0059</t>
  </si>
  <si>
    <t>ORD00355</t>
  </si>
  <si>
    <t>CUST0140</t>
  </si>
  <si>
    <t>ORD00371</t>
  </si>
  <si>
    <t>ORD00738</t>
  </si>
  <si>
    <t>CUST0247</t>
  </si>
  <si>
    <t>ORD00336</t>
  </si>
  <si>
    <t>ORD00751</t>
  </si>
  <si>
    <t>CUST0026</t>
  </si>
  <si>
    <t>ORD00975</t>
  </si>
  <si>
    <t>CUST0033</t>
  </si>
  <si>
    <t>ORD00729</t>
  </si>
  <si>
    <t>ORD00090</t>
  </si>
  <si>
    <t>ORD00252</t>
  </si>
  <si>
    <t>ORD00931</t>
  </si>
  <si>
    <t>ORD00120</t>
  </si>
  <si>
    <t>ORD00575</t>
  </si>
  <si>
    <t>ORD00788</t>
  </si>
  <si>
    <t>CUST0234</t>
  </si>
  <si>
    <t>ORD00958</t>
  </si>
  <si>
    <t>CUST0146</t>
  </si>
  <si>
    <t>ORD00129</t>
  </si>
  <si>
    <t>ORD00481</t>
  </si>
  <si>
    <t>ORD00564</t>
  </si>
  <si>
    <t>ORD00663</t>
  </si>
  <si>
    <t>ORD00873</t>
  </si>
  <si>
    <t>ORD01007</t>
  </si>
  <si>
    <t>ORD01125</t>
  </si>
  <si>
    <t>ORD00050</t>
  </si>
  <si>
    <t>ORD00558</t>
  </si>
  <si>
    <t>ORD00111</t>
  </si>
  <si>
    <t>ORD00153</t>
  </si>
  <si>
    <t>ORD00294</t>
  </si>
  <si>
    <t>CUST0112</t>
  </si>
  <si>
    <t>ORD01080</t>
  </si>
  <si>
    <t>ORD00151</t>
  </si>
  <si>
    <t>ORD00419</t>
  </si>
  <si>
    <t>CUST0293</t>
  </si>
  <si>
    <t>ORD00483</t>
  </si>
  <si>
    <t>ORD00484</t>
  </si>
  <si>
    <t>ORD00757</t>
  </si>
  <si>
    <t>CUST0089</t>
  </si>
  <si>
    <t>ORD01112</t>
  </si>
  <si>
    <t>ORD00268</t>
  </si>
  <si>
    <t>CUST0095</t>
  </si>
  <si>
    <t>ORD00510</t>
  </si>
  <si>
    <t>CUST0205</t>
  </si>
  <si>
    <t>ORD00897</t>
  </si>
  <si>
    <t>ORD00490</t>
  </si>
  <si>
    <t>CUST0248</t>
  </si>
  <si>
    <t>ORD00498</t>
  </si>
  <si>
    <t>CUST0259</t>
  </si>
  <si>
    <t>ORD00595</t>
  </si>
  <si>
    <t>ORD00755</t>
  </si>
  <si>
    <t>ORD00010</t>
  </si>
  <si>
    <t>ORD00253</t>
  </si>
  <si>
    <t>ORD00288</t>
  </si>
  <si>
    <t>ORD00200</t>
  </si>
  <si>
    <t>CUST0013</t>
  </si>
  <si>
    <t>ORD00279</t>
  </si>
  <si>
    <t>ORD00948</t>
  </si>
  <si>
    <t>ORD01033</t>
  </si>
  <si>
    <t>ORD00162</t>
  </si>
  <si>
    <t>ORD00324</t>
  </si>
  <si>
    <t>ORD00585</t>
  </si>
  <si>
    <t>ORD00633</t>
  </si>
  <si>
    <t>CUST0207</t>
  </si>
  <si>
    <t>ORD01094</t>
  </si>
  <si>
    <t>CUST0074</t>
  </si>
  <si>
    <t>ORD00476</t>
  </si>
  <si>
    <t>ORD00704</t>
  </si>
  <si>
    <t>CUST0163</t>
  </si>
  <si>
    <t>ORD00784</t>
  </si>
  <si>
    <t>ORD01029</t>
  </si>
  <si>
    <t>ORD00063</t>
  </si>
  <si>
    <t>ORD00070</t>
  </si>
  <si>
    <t>CUST0053</t>
  </si>
  <si>
    <t>ORD00448</t>
  </si>
  <si>
    <t>ORD00942</t>
  </si>
  <si>
    <t>CUST0055</t>
  </si>
  <si>
    <t>ORD00950</t>
  </si>
  <si>
    <t>CUST0062</t>
  </si>
  <si>
    <t>ORD01184</t>
  </si>
  <si>
    <t>ORD00350</t>
  </si>
  <si>
    <t>ORD00478</t>
  </si>
  <si>
    <t>ORD01070</t>
  </si>
  <si>
    <t>ORD00347</t>
  </si>
  <si>
    <t>ORD00494</t>
  </si>
  <si>
    <t>ORD00701</t>
  </si>
  <si>
    <t>ORD00814</t>
  </si>
  <si>
    <t>CUST0096</t>
  </si>
  <si>
    <t>ORD00839</t>
  </si>
  <si>
    <t>ORD00882</t>
  </si>
  <si>
    <t>ORD00226</t>
  </si>
  <si>
    <t>CUST0296</t>
  </si>
  <si>
    <t>ORD00289</t>
  </si>
  <si>
    <t>CUST0283</t>
  </si>
  <si>
    <t>ORD00553</t>
  </si>
  <si>
    <t>ORD00809</t>
  </si>
  <si>
    <t>ORD00955</t>
  </si>
  <si>
    <t>ORD01083</t>
  </si>
  <si>
    <t>CUST0284</t>
  </si>
  <si>
    <t>ORD01177</t>
  </si>
  <si>
    <t>ORD00321</t>
  </si>
  <si>
    <t>ORD00447</t>
  </si>
  <si>
    <t>CUST0162</t>
  </si>
  <si>
    <t>ORD00026</t>
  </si>
  <si>
    <t>CUST0172</t>
  </si>
  <si>
    <t>ORD00171</t>
  </si>
  <si>
    <t>ORD00485</t>
  </si>
  <si>
    <t>ORD00496</t>
  </si>
  <si>
    <t>ORD00642</t>
  </si>
  <si>
    <t>ORD00213</t>
  </si>
  <si>
    <t>CUST0016</t>
  </si>
  <si>
    <t>ORD00272</t>
  </si>
  <si>
    <t>ORD00395</t>
  </si>
  <si>
    <t>ORD00400</t>
  </si>
  <si>
    <t>ORD00427</t>
  </si>
  <si>
    <t>ORD00918</t>
  </si>
  <si>
    <t>ORD00628</t>
  </si>
  <si>
    <t>CUST0273</t>
  </si>
  <si>
    <t>ORD01091</t>
  </si>
  <si>
    <t>ORD01162</t>
  </si>
  <si>
    <t>ORD01182</t>
  </si>
  <si>
    <t>ORD00066</t>
  </si>
  <si>
    <t>ORD00328</t>
  </si>
  <si>
    <t>ORD00860</t>
  </si>
  <si>
    <t>ORD00887</t>
  </si>
  <si>
    <t>ORD00006</t>
  </si>
  <si>
    <t>ORD00009</t>
  </si>
  <si>
    <t>ORD00312</t>
  </si>
  <si>
    <t>CUST0122</t>
  </si>
  <si>
    <t>ORD00383</t>
  </si>
  <si>
    <t>ORD00672</t>
  </si>
  <si>
    <t>ORD01031</t>
  </si>
  <si>
    <t>ORD01134</t>
  </si>
  <si>
    <t>ORD00499</t>
  </si>
  <si>
    <t>ORD00921</t>
  </si>
  <si>
    <t>ORD01095</t>
  </si>
  <si>
    <t>ORD00231</t>
  </si>
  <si>
    <t>ORD00291</t>
  </si>
  <si>
    <t>ORD00822</t>
  </si>
  <si>
    <t>ORD00835</t>
  </si>
  <si>
    <t>ORD01129</t>
  </si>
  <si>
    <t>ORD01189</t>
  </si>
  <si>
    <t>ORD00055</t>
  </si>
  <si>
    <t>ORD00414</t>
  </si>
  <si>
    <t>ORD00542</t>
  </si>
  <si>
    <t>CUST0046</t>
  </si>
  <si>
    <t>ORD00686</t>
  </si>
  <si>
    <t>ORD00511</t>
  </si>
  <si>
    <t>ORD00631</t>
  </si>
  <si>
    <t>ORD00690</t>
  </si>
  <si>
    <t>CUST0288</t>
  </si>
  <si>
    <t>ORD00675</t>
  </si>
  <si>
    <t>CUST0143</t>
  </si>
  <si>
    <t>ORD00743</t>
  </si>
  <si>
    <t>ORD00773</t>
  </si>
  <si>
    <t>ORD00857</t>
  </si>
  <si>
    <t>ORD01180</t>
  </si>
  <si>
    <t>ORD01198</t>
  </si>
  <si>
    <t>ORD00714</t>
  </si>
  <si>
    <t>ORD00803</t>
  </si>
  <si>
    <t>ORD00545</t>
  </si>
  <si>
    <t>ORD00639</t>
  </si>
  <si>
    <t>ORD00659</t>
  </si>
  <si>
    <t>ORD01103</t>
  </si>
  <si>
    <t>ORD00037</t>
  </si>
  <si>
    <t>CUST0211</t>
  </si>
  <si>
    <t>ORD00175</t>
  </si>
  <si>
    <t>ORD00394</t>
  </si>
  <si>
    <t>ORD00488</t>
  </si>
  <si>
    <t>ORD00762</t>
  </si>
  <si>
    <t>ORD01192</t>
  </si>
  <si>
    <t>CUST0269</t>
  </si>
  <si>
    <t>ORD00138</t>
  </si>
  <si>
    <t>ORD00227</t>
  </si>
  <si>
    <t>ORD00260</t>
  </si>
  <si>
    <t>ORD00656</t>
  </si>
  <si>
    <t>ORD00963</t>
  </si>
  <si>
    <t>ORD00348</t>
  </si>
  <si>
    <t>ORD00662</t>
  </si>
  <si>
    <t>ORD00685</t>
  </si>
  <si>
    <t>ORD01072</t>
  </si>
  <si>
    <t>CUST0129</t>
  </si>
  <si>
    <t>ORD00579</t>
  </si>
  <si>
    <t>ORD00245</t>
  </si>
  <si>
    <t>CUST0245</t>
  </si>
  <si>
    <t>ORD00676</t>
  </si>
  <si>
    <t>ORD00705</t>
  </si>
  <si>
    <t>ORD00711</t>
  </si>
  <si>
    <t>ORD01019</t>
  </si>
  <si>
    <t>ORD00024</t>
  </si>
  <si>
    <t>ORD00140</t>
  </si>
  <si>
    <t>ORD00343</t>
  </si>
  <si>
    <t>CUST0043</t>
  </si>
  <si>
    <t>ORD00424</t>
  </si>
  <si>
    <t>ORD00876</t>
  </si>
  <si>
    <t>CUST0266</t>
  </si>
  <si>
    <t>ORD00185</t>
  </si>
  <si>
    <t>ORD00716</t>
  </si>
  <si>
    <t>ORD00932</t>
  </si>
  <si>
    <t>CUST0277</t>
  </si>
  <si>
    <t>ORD00133</t>
  </si>
  <si>
    <t>ORD00927</t>
  </si>
  <si>
    <t>CUST0267</t>
  </si>
  <si>
    <t>ORD00976</t>
  </si>
  <si>
    <t>ORD01059</t>
  </si>
  <si>
    <t>ORD00418</t>
  </si>
  <si>
    <t>ORD01036</t>
  </si>
  <si>
    <t>ORD01163</t>
  </si>
  <si>
    <t>ORD00220</t>
  </si>
  <si>
    <t>CUST0087</t>
  </si>
  <si>
    <t>ORD00592</t>
  </si>
  <si>
    <t>ORD00831</t>
  </si>
  <si>
    <t>ORD00135</t>
  </si>
  <si>
    <t>ORD00251</t>
  </si>
  <si>
    <t>CUST0030</t>
  </si>
  <si>
    <t>ORD00314</t>
  </si>
  <si>
    <t>ORD00518</t>
  </si>
  <si>
    <t>CUST0290</t>
  </si>
  <si>
    <t>ORD00903</t>
  </si>
  <si>
    <t>CUST0194</t>
  </si>
  <si>
    <t>ORD00023</t>
  </si>
  <si>
    <t>CUST0258</t>
  </si>
  <si>
    <t>ORD00113</t>
  </si>
  <si>
    <t>ORD00530</t>
  </si>
  <si>
    <t>ORD00748</t>
  </si>
  <si>
    <t>ORD00925</t>
  </si>
  <si>
    <t>ORD01145</t>
  </si>
  <si>
    <t>ORD00930</t>
  </si>
  <si>
    <t>ORD00256</t>
  </si>
  <si>
    <t>ORD00382</t>
  </si>
  <si>
    <t>ORD00998</t>
  </si>
  <si>
    <t>ORD00468</t>
  </si>
  <si>
    <t>ORD00901</t>
  </si>
  <si>
    <t>ORD00118</t>
  </si>
  <si>
    <t>CUST0298</t>
  </si>
  <si>
    <t>ORD00223</t>
  </si>
  <si>
    <t>ORD00271</t>
  </si>
  <si>
    <t>CUST0006</t>
  </si>
  <si>
    <t>ORD00841</t>
  </si>
  <si>
    <t>CUST0077</t>
  </si>
  <si>
    <t>ORD01148</t>
  </si>
  <si>
    <t>ORD00846</t>
  </si>
  <si>
    <t>ORD01173</t>
  </si>
  <si>
    <t>ORD00025</t>
  </si>
  <si>
    <t>CUST0157</t>
  </si>
  <si>
    <t>ORD00102</t>
  </si>
  <si>
    <t>ORD00601</t>
  </si>
  <si>
    <t>ORD01176</t>
  </si>
  <si>
    <t>ORD00029</t>
  </si>
  <si>
    <t>ORD00523</t>
  </si>
  <si>
    <t>ORD00752</t>
  </si>
  <si>
    <t>ORD01060</t>
  </si>
  <si>
    <t>ORD01081</t>
  </si>
  <si>
    <t>ORD00740</t>
  </si>
  <si>
    <t>CUST0229</t>
  </si>
  <si>
    <t>ORD00886</t>
  </si>
  <si>
    <t>ORD00409</t>
  </si>
  <si>
    <t>CUST0050</t>
  </si>
  <si>
    <t>ORD00577</t>
  </si>
  <si>
    <t>ORD00981</t>
  </si>
  <si>
    <t>ORD01062</t>
  </si>
  <si>
    <t>ORD00130</t>
  </si>
  <si>
    <t>CUST0007</t>
  </si>
  <si>
    <t>ORD00196</t>
  </si>
  <si>
    <t>ORD00636</t>
  </si>
  <si>
    <t>ORD01034</t>
  </si>
  <si>
    <t>ORD00823</t>
  </si>
  <si>
    <t>ORD01161</t>
  </si>
  <si>
    <t>CUST0028</t>
  </si>
  <si>
    <t>ORD00067</t>
  </si>
  <si>
    <t>ORD00170</t>
  </si>
  <si>
    <t>ORD00354</t>
  </si>
  <si>
    <t>ORD01178</t>
  </si>
  <si>
    <t>ORD00217</t>
  </si>
  <si>
    <t>CUST0078</t>
  </si>
  <si>
    <t>ORD00270</t>
  </si>
  <si>
    <t>ORD00742</t>
  </si>
  <si>
    <t>ORD00031</t>
  </si>
  <si>
    <t>ORD00077</t>
  </si>
  <si>
    <t>ORD00166</t>
  </si>
  <si>
    <t>ORD00531</t>
  </si>
  <si>
    <t>ORD00586</t>
  </si>
  <si>
    <t>ORD01096</t>
  </si>
  <si>
    <t>ORD00007</t>
  </si>
  <si>
    <t>ORD00206</t>
  </si>
  <si>
    <t>ORD00565</t>
  </si>
  <si>
    <t>ORD00680</t>
  </si>
  <si>
    <t>CUST0093</t>
  </si>
  <si>
    <t>ORD00282</t>
  </si>
  <si>
    <t>ORD00644</t>
  </si>
  <si>
    <t>CUST0168</t>
  </si>
  <si>
    <t>ORD00965</t>
  </si>
  <si>
    <t>CUST0217</t>
  </si>
  <si>
    <t>ORD01157</t>
  </si>
  <si>
    <t>ORD00514</t>
  </si>
  <si>
    <t>ORD00851</t>
  </si>
  <si>
    <t>CUST0268</t>
  </si>
  <si>
    <t>ORD00749</t>
  </si>
  <si>
    <t>ORD00874</t>
  </si>
  <si>
    <t>ORD01166</t>
  </si>
  <si>
    <t>ORD00374</t>
  </si>
  <si>
    <t>CUST0092</t>
  </si>
  <si>
    <t>ORD00465</t>
  </si>
  <si>
    <t>ORD00539</t>
  </si>
  <si>
    <t>ORD00828</t>
  </si>
  <si>
    <t>ORD00254</t>
  </si>
  <si>
    <t>ORD00367</t>
  </si>
  <si>
    <t>ORD00425</t>
  </si>
  <si>
    <t>ORD00937</t>
  </si>
  <si>
    <t>ORD00997</t>
  </si>
  <si>
    <t>ORD00095</t>
  </si>
  <si>
    <t>ORD00754</t>
  </si>
  <si>
    <t>ORD00837</t>
  </si>
  <si>
    <t>ORD01106</t>
  </si>
  <si>
    <t>ORD00360</t>
  </si>
  <si>
    <t>ORD00654</t>
  </si>
  <si>
    <t>ORD00124</t>
  </si>
  <si>
    <t>ORD00278</t>
  </si>
  <si>
    <t>ORD00562</t>
  </si>
  <si>
    <t>CUST0104</t>
  </si>
  <si>
    <t>ORD00650</t>
  </si>
  <si>
    <t>ORD00407</t>
  </si>
  <si>
    <t>ORD00512</t>
  </si>
  <si>
    <t>ORD00574</t>
  </si>
  <si>
    <t>ORD00733</t>
  </si>
  <si>
    <t>ORD00413</t>
  </si>
  <si>
    <t>ORD00916</t>
  </si>
  <si>
    <t>ORD01140</t>
  </si>
  <si>
    <t>ORD00728</t>
  </si>
  <si>
    <t>ORD01187</t>
  </si>
  <si>
    <t>ORD00154</t>
  </si>
  <si>
    <t>ORD00195</t>
  </si>
  <si>
    <t>ORD00237</t>
  </si>
  <si>
    <t>ORD00934</t>
  </si>
  <si>
    <t>ORD00056</t>
  </si>
  <si>
    <t>ORD00378</t>
  </si>
  <si>
    <t>ORD00661</t>
  </si>
  <si>
    <t>ORD00674</t>
  </si>
  <si>
    <t>CUST0230</t>
  </si>
  <si>
    <t>ORD00881</t>
  </si>
  <si>
    <t>ORD01127</t>
  </si>
  <si>
    <t>ORD00018</t>
  </si>
  <si>
    <t>ORD00727</t>
  </si>
  <si>
    <t>ORD00899</t>
  </si>
  <si>
    <t>ORD01046</t>
  </si>
  <si>
    <t>ORD01111</t>
  </si>
  <si>
    <t>ORD01170</t>
  </si>
  <si>
    <t>ORD01115</t>
  </si>
  <si>
    <t>ORD00699</t>
  </si>
  <si>
    <t>ORD00813</t>
  </si>
  <si>
    <t>ORD01089</t>
  </si>
  <si>
    <t>ORD00364</t>
  </si>
  <si>
    <t>ORD00301</t>
  </si>
  <si>
    <t>ORD00159</t>
  </si>
  <si>
    <t>ORD00208</t>
  </si>
  <si>
    <t>ORD00731</t>
  </si>
  <si>
    <t>ORD00970</t>
  </si>
  <si>
    <t>ORD01074</t>
  </si>
  <si>
    <t>ORD00073</t>
  </si>
  <si>
    <t>ORD00115</t>
  </si>
  <si>
    <t>ORD00559</t>
  </si>
  <si>
    <t>ORD00707</t>
  </si>
  <si>
    <t>ORD01030</t>
  </si>
  <si>
    <t>ORD00014</t>
  </si>
  <si>
    <t>ORD00106</t>
  </si>
  <si>
    <t>ORD00212</t>
  </si>
  <si>
    <t>ORD00875</t>
  </si>
  <si>
    <t>ORD00002</t>
  </si>
  <si>
    <t>ORD00368</t>
  </si>
  <si>
    <t>ORD00390</t>
  </si>
  <si>
    <t>ORD00403</t>
  </si>
  <si>
    <t>ORD00520</t>
  </si>
  <si>
    <t>ORD01026</t>
  </si>
  <si>
    <t>ORD01109</t>
  </si>
  <si>
    <t>ORD00584</t>
  </si>
  <si>
    <t>ORD00772</t>
  </si>
  <si>
    <t>ORD00125</t>
  </si>
  <si>
    <t>ORD00464</t>
  </si>
  <si>
    <t>CUST0233</t>
  </si>
  <si>
    <t>ORD00588</t>
  </si>
  <si>
    <t>CUST0254</t>
  </si>
  <si>
    <t>ORD00892</t>
  </si>
  <si>
    <t>CUST0086</t>
  </si>
  <si>
    <t>ORD00361</t>
  </si>
  <si>
    <t>ORD00537</t>
  </si>
  <si>
    <t>ORD00712</t>
  </si>
  <si>
    <t>ORD00926</t>
  </si>
  <si>
    <t>ORD00622</t>
  </si>
  <si>
    <t>ORD00492</t>
  </si>
  <si>
    <t>ORD00160</t>
  </si>
  <si>
    <t>ORD00366</t>
  </si>
  <si>
    <t>ORD00834</t>
  </si>
  <si>
    <t>ORD00136</t>
  </si>
  <si>
    <t>ORD01002</t>
  </si>
  <si>
    <t>CUST0134</t>
  </si>
  <si>
    <t>ORD00332</t>
  </si>
  <si>
    <t>ORD00591</t>
  </si>
  <si>
    <t>ORD00917</t>
  </si>
  <si>
    <t>ORD01133</t>
  </si>
  <si>
    <t>ORD00896</t>
  </si>
  <si>
    <t>ORD00078</t>
  </si>
  <si>
    <t>ORD00309</t>
  </si>
  <si>
    <t>ORD00929</t>
  </si>
  <si>
    <t>ORD01025</t>
  </si>
  <si>
    <t>ORD00148</t>
  </si>
  <si>
    <t>ORD00957</t>
  </si>
  <si>
    <t>ORD00960</t>
  </si>
  <si>
    <t>ORD01128</t>
  </si>
  <si>
    <t>ORD00087</t>
  </si>
  <si>
    <t>ORD00204</t>
  </si>
  <si>
    <t>CUST0238</t>
  </si>
  <si>
    <t>ORD00410</t>
  </si>
  <si>
    <t>ORD00816</t>
  </si>
  <si>
    <t>ORD00064</t>
  </si>
  <si>
    <t>CUST0190</t>
  </si>
  <si>
    <t>ORD00610</t>
  </si>
  <si>
    <t>ORD00091</t>
  </si>
  <si>
    <t>ORD00405</t>
  </si>
  <si>
    <t>CUST0035</t>
  </si>
  <si>
    <t>ORD00706</t>
  </si>
  <si>
    <t>ORD00103</t>
  </si>
  <si>
    <t>ORD00238</t>
  </si>
  <si>
    <t>ORD00128</t>
  </si>
  <si>
    <t>ORD00322</t>
  </si>
  <si>
    <t>ORD00441</t>
  </si>
  <si>
    <t>ORD00606</t>
  </si>
  <si>
    <t>ORD00863</t>
  </si>
  <si>
    <t>ORD00122</t>
  </si>
  <si>
    <t>ORD00744</t>
  </si>
  <si>
    <t>ORD00099</t>
  </si>
  <si>
    <t>ORD00569</t>
  </si>
  <si>
    <t>ORD00710</t>
  </si>
  <si>
    <t>CUST0136</t>
  </si>
  <si>
    <t>ORD00939</t>
  </si>
  <si>
    <t>ORD00456</t>
  </si>
  <si>
    <t>ORD00655</t>
  </si>
  <si>
    <t>ORD00677</t>
  </si>
  <si>
    <t>ORD00722</t>
  </si>
  <si>
    <t>ORD00534</t>
  </si>
  <si>
    <t>ORD00521</t>
  </si>
  <si>
    <t>CUST0299</t>
  </si>
  <si>
    <t>ORD00861</t>
  </si>
  <si>
    <t>ORD00164</t>
  </si>
  <si>
    <t>ORD00806</t>
  </si>
  <si>
    <t>ORD00051</t>
  </si>
  <si>
    <t>ORD00460</t>
  </si>
  <si>
    <t>ORD00580</t>
  </si>
  <si>
    <t>ORD00864</t>
  </si>
  <si>
    <t>ORD00114</t>
  </si>
  <si>
    <t>ORD00158</t>
  </si>
  <si>
    <t>ORD00994</t>
  </si>
  <si>
    <t>ORD01038</t>
  </si>
  <si>
    <t>ORD00669</t>
  </si>
  <si>
    <t>ORD00859</t>
  </si>
  <si>
    <t>ORD00865</t>
  </si>
  <si>
    <t>ORD00210</t>
  </si>
  <si>
    <t>ORD00269</t>
  </si>
  <si>
    <t>ORD00358</t>
  </si>
  <si>
    <t>ORD00402</t>
  </si>
  <si>
    <t>ORD00541</t>
  </si>
  <si>
    <t>ORD00648</t>
  </si>
  <si>
    <t>ORD00769</t>
  </si>
  <si>
    <t>ORD00770</t>
  </si>
  <si>
    <t>ORD00922</t>
  </si>
  <si>
    <t>ORD00967</t>
  </si>
  <si>
    <t>ORD01009</t>
  </si>
  <si>
    <t>ORD00326</t>
  </si>
  <si>
    <t>ORD00756</t>
  </si>
  <si>
    <t>CUST0177</t>
  </si>
  <si>
    <t>ORD00893</t>
  </si>
  <si>
    <t>ORD00079</t>
  </si>
  <si>
    <t>ORD00715</t>
  </si>
  <si>
    <t>ORD00767</t>
  </si>
  <si>
    <t>ORD00856</t>
  </si>
  <si>
    <t>ORD00949</t>
  </si>
  <si>
    <t>ORD00028</t>
  </si>
  <si>
    <t>ORD00242</t>
  </si>
  <si>
    <t>ORD00384</t>
  </si>
  <si>
    <t>ORD00567</t>
  </si>
  <si>
    <t>ORD00572</t>
  </si>
  <si>
    <t>ORD00959</t>
  </si>
  <si>
    <t>ORD01075</t>
  </si>
  <si>
    <t>ORD00021</t>
  </si>
  <si>
    <t>ORD00508</t>
  </si>
  <si>
    <t>ORD00571</t>
  </si>
  <si>
    <t>ORD00739</t>
  </si>
  <si>
    <t>ORD00978</t>
  </si>
  <si>
    <t>ORD00472</t>
  </si>
  <si>
    <t>ORD00176</t>
  </si>
  <si>
    <t>ORD00327</t>
  </si>
  <si>
    <t>CUST0008</t>
  </si>
  <si>
    <t>ORD00847</t>
  </si>
  <si>
    <t>ORD01020</t>
  </si>
  <si>
    <t>CUST0064</t>
  </si>
  <si>
    <t>ORD00152</t>
  </si>
  <si>
    <t>ORD00157</t>
  </si>
  <si>
    <t>ORD00304</t>
  </si>
  <si>
    <t>ORD00337</t>
  </si>
  <si>
    <t>ORD00589</t>
  </si>
  <si>
    <t>ORD00737</t>
  </si>
  <si>
    <t>ORD00034</t>
  </si>
  <si>
    <t>ORD00505</t>
  </si>
  <si>
    <t>ORD00746</t>
  </si>
  <si>
    <t>ORD00461</t>
  </si>
  <si>
    <t>ORD00630</t>
  </si>
  <si>
    <t>ORD00855</t>
  </si>
  <si>
    <t>ORD00908</t>
  </si>
  <si>
    <t>ORD01185</t>
  </si>
  <si>
    <t>ORD00194</t>
  </si>
  <si>
    <t>ORD00647</t>
  </si>
  <si>
    <t>ORD00914</t>
  </si>
  <si>
    <t>ORD01006</t>
  </si>
  <si>
    <t>ORD01022</t>
  </si>
  <si>
    <t>ORD01058</t>
  </si>
  <si>
    <t>ORD00370</t>
  </si>
  <si>
    <t>ORD00761</t>
  </si>
  <si>
    <t>CUST0151</t>
  </si>
  <si>
    <t>ORD00872</t>
  </si>
  <si>
    <t>ORD00890</t>
  </si>
  <si>
    <t>ORD00953</t>
  </si>
  <si>
    <t>ORD00573</t>
  </si>
  <si>
    <t>ORD00708</t>
  </si>
  <si>
    <t>ORD00502</t>
  </si>
  <si>
    <t>ORD00766</t>
  </si>
  <si>
    <t>ORD01012</t>
  </si>
  <si>
    <t>ORD00082</t>
  </si>
  <si>
    <t>ORD00525</t>
  </si>
  <si>
    <t>ORD00779</t>
  </si>
  <si>
    <t>ORD00389</t>
  </si>
  <si>
    <t>ORD00529</t>
  </si>
  <si>
    <t>ORD00799</t>
  </si>
  <si>
    <t>ORD00956</t>
  </si>
  <si>
    <t>ORD01017</t>
  </si>
  <si>
    <t>CUST0137</t>
  </si>
  <si>
    <t>ORD00156</t>
  </si>
  <si>
    <t>CUST0275</t>
  </si>
  <si>
    <t>ORD00315</t>
  </si>
  <si>
    <t>CUST0236</t>
  </si>
  <si>
    <t>ORD00506</t>
  </si>
  <si>
    <t>ORD00532</t>
  </si>
  <si>
    <t>ORD00760</t>
  </si>
  <si>
    <t>ORD01005</t>
  </si>
  <si>
    <t>ORD00444</t>
  </si>
  <si>
    <t>ORD00186</t>
  </si>
  <si>
    <t>ORD00782</t>
  </si>
  <si>
    <t>CUST0226</t>
  </si>
  <si>
    <t>ORD00912</t>
  </si>
  <si>
    <t>ORD01141</t>
  </si>
  <si>
    <t>ORD00071</t>
  </si>
  <si>
    <t>ORD00121</t>
  </si>
  <si>
    <t>CUST0102</t>
  </si>
  <si>
    <t>ORD00181</t>
  </si>
  <si>
    <t>ORD00561</t>
  </si>
  <si>
    <t>ORD00607</t>
  </si>
  <si>
    <t>ORD01090</t>
  </si>
  <si>
    <t>ORD00377</t>
  </si>
  <si>
    <t>ORD00609</t>
  </si>
  <si>
    <t>ORD00723</t>
  </si>
  <si>
    <t>CUST0271</t>
  </si>
  <si>
    <t>ORD00905</t>
  </si>
  <si>
    <t>ORD01000</t>
  </si>
  <si>
    <t>ORD00036</t>
  </si>
  <si>
    <t>ORD00189</t>
  </si>
  <si>
    <t>ORD00224</t>
  </si>
  <si>
    <t>ORD00753</t>
  </si>
  <si>
    <t>ORD01004</t>
  </si>
  <si>
    <t>ORD00197</t>
  </si>
  <si>
    <t>ORD00702</t>
  </si>
  <si>
    <t>ORD00214</t>
  </si>
  <si>
    <t>ORD00977</t>
  </si>
  <si>
    <t>ORD00651</t>
  </si>
  <si>
    <t>ORD00895</t>
  </si>
  <si>
    <t>ORD00261</t>
  </si>
  <si>
    <t>ORD00318</t>
  </si>
  <si>
    <t>ORD00552</t>
  </si>
  <si>
    <t>ORD00817</t>
  </si>
  <si>
    <t>CUST0192</t>
  </si>
  <si>
    <t>ORD00964</t>
  </si>
  <si>
    <t>ORD01053</t>
  </si>
  <si>
    <t>ORD00035</t>
  </si>
  <si>
    <t>ORD00566</t>
  </si>
  <si>
    <t>ORD00818</t>
  </si>
  <si>
    <t>ORD00826</t>
  </si>
  <si>
    <t>ORD00393</t>
  </si>
  <si>
    <t>ORD00991</t>
  </si>
  <si>
    <t>CUST0020</t>
  </si>
  <si>
    <t>ORD00793</t>
  </si>
  <si>
    <t>ORD00825</t>
  </si>
  <si>
    <t>ORD00047</t>
  </si>
  <si>
    <t>ORD00396</t>
  </si>
  <si>
    <t>ORD00697</t>
  </si>
  <si>
    <t>ORD00830</t>
  </si>
  <si>
    <t>ORD01008</t>
  </si>
  <si>
    <t>ORD01137</t>
  </si>
  <si>
    <t>ORD00019</t>
  </si>
  <si>
    <t>CUST0251</t>
  </si>
  <si>
    <t>ORD00232</t>
  </si>
  <si>
    <t>ORD00330</t>
  </si>
  <si>
    <t>ORD00401</t>
  </si>
  <si>
    <t>ORD00432</t>
  </si>
  <si>
    <t>ORD00765</t>
  </si>
  <si>
    <t>ORD00820</t>
  </si>
  <si>
    <t>ORD00919</t>
  </si>
  <si>
    <t>ORD00453</t>
  </si>
  <si>
    <t>CUST0203</t>
  </si>
  <si>
    <t>ORD00482</t>
  </si>
  <si>
    <t>ORD00190</t>
  </si>
  <si>
    <t>ORD00578</t>
  </si>
  <si>
    <t>ORD00306</t>
  </si>
  <si>
    <t>ORD00342</t>
  </si>
  <si>
    <t>ORD00388</t>
  </si>
  <si>
    <t>ORD00979</t>
  </si>
  <si>
    <t>ORD00341</t>
  </si>
  <si>
    <t>ORD00800</t>
  </si>
  <si>
    <t>ORD00329</t>
  </si>
  <si>
    <t>CUST0076</t>
  </si>
  <si>
    <t>ORD00475</t>
  </si>
  <si>
    <t>ORD00602</t>
  </si>
  <si>
    <t>CUST0111</t>
  </si>
  <si>
    <t>ORD00003</t>
  </si>
  <si>
    <t>ORD00308</t>
  </si>
  <si>
    <t>ORD00554</t>
  </si>
  <si>
    <t>ORD00898</t>
  </si>
  <si>
    <t>ORD00721</t>
  </si>
  <si>
    <t>ORD00411</t>
  </si>
  <si>
    <t>ORD00177</t>
  </si>
  <si>
    <t>ORD00351</t>
  </si>
  <si>
    <t>ORD00717</t>
  </si>
  <si>
    <t>ORD00109</t>
  </si>
  <si>
    <t>CUST0098</t>
  </si>
  <si>
    <t>ORD00325</t>
  </si>
  <si>
    <t>ORD00652</t>
  </si>
  <si>
    <t>ORD00804</t>
  </si>
  <si>
    <t>ORD00161</t>
  </si>
  <si>
    <t>ORD00179</t>
  </si>
  <si>
    <t>ORD00449</t>
  </si>
  <si>
    <t>ORD00616</t>
  </si>
  <si>
    <t>ORD00879</t>
  </si>
  <si>
    <t>ORD00884</t>
  </si>
  <si>
    <t>ORD00017</t>
  </si>
  <si>
    <t>ORD00517</t>
  </si>
  <si>
    <t>ORD00634</t>
  </si>
  <si>
    <t>ORD00815</t>
  </si>
  <si>
    <t>ORD00894</t>
  </si>
  <si>
    <t>ORD01186</t>
  </si>
  <si>
    <t>ORD00105</t>
  </si>
  <si>
    <t>ORD00131</t>
  </si>
  <si>
    <t>ORD00563</t>
  </si>
  <si>
    <t>ORD00786</t>
  </si>
  <si>
    <t>ORD01061</t>
  </si>
  <si>
    <t>ORD01108</t>
  </si>
  <si>
    <t>ORD00297</t>
  </si>
  <si>
    <t>ORD00392</t>
  </si>
  <si>
    <t>CUST0186</t>
  </si>
  <si>
    <t>ORD00417</t>
  </si>
  <si>
    <t>ORD00827</t>
  </si>
  <si>
    <t>ORD01048</t>
  </si>
  <si>
    <t>ORD00052</t>
  </si>
  <si>
    <t>ORD00167</t>
  </si>
  <si>
    <t>ORD00299</t>
  </si>
  <si>
    <t>ORD00582</t>
  </si>
  <si>
    <t>ORD00750</t>
  </si>
  <si>
    <t>ORD00016</t>
  </si>
  <si>
    <t>ORD00420</t>
  </si>
  <si>
    <t>ORD00535</t>
  </si>
  <si>
    <t>CUST0091</t>
  </si>
  <si>
    <t>ORD00590</t>
  </si>
  <si>
    <t>ORD00632</t>
  </si>
  <si>
    <t>ORD00369</t>
  </si>
  <si>
    <t>ORD00783</t>
  </si>
  <si>
    <t>CUST0038</t>
  </si>
  <si>
    <t>ORD00938</t>
  </si>
  <si>
    <t>ORD00605</t>
  </si>
  <si>
    <t>ORD00688</t>
  </si>
  <si>
    <t>ORD00833</t>
  </si>
  <si>
    <t>ORD01041</t>
  </si>
  <si>
    <t>ORD01132</t>
  </si>
  <si>
    <t>ORD00001</t>
  </si>
  <si>
    <t>ORD00730</t>
  </si>
  <si>
    <t>ORD01082</t>
  </si>
  <si>
    <t>ORD00943</t>
  </si>
  <si>
    <t>CUST0297</t>
  </si>
  <si>
    <t>ORD00147</t>
  </si>
  <si>
    <t>ORD00693</t>
  </si>
  <si>
    <t>ORD00718</t>
  </si>
  <si>
    <t>CUST0219</t>
  </si>
  <si>
    <t>ORD00951</t>
  </si>
  <si>
    <t>ORD01131</t>
  </si>
  <si>
    <t>ORD00173</t>
  </si>
  <si>
    <t>ORD00439</t>
  </si>
  <si>
    <t>ORD00429</t>
  </si>
  <si>
    <t>ORD00911</t>
  </si>
  <si>
    <t>ORD00287</t>
  </si>
  <si>
    <t>ORD01064</t>
  </si>
  <si>
    <t>ORD01085</t>
  </si>
  <si>
    <t>ORD00218</t>
  </si>
  <si>
    <t>ORD00515</t>
  </si>
  <si>
    <t>ORD00089</t>
  </si>
  <si>
    <t>ORD00280</t>
  </si>
  <si>
    <t>ORD00373</t>
  </si>
  <si>
    <t>ORD00796</t>
  </si>
  <si>
    <t>CUST0029</t>
  </si>
  <si>
    <t>ORD01117</t>
  </si>
  <si>
    <t>CUST0184</t>
  </si>
  <si>
    <t>ORD00048</t>
  </si>
  <si>
    <t>ORD00192</t>
  </si>
  <si>
    <t>ORD00283</t>
  </si>
  <si>
    <t>ORD00415</t>
  </si>
  <si>
    <t>ORD01047</t>
  </si>
  <si>
    <t>ORD00172</t>
  </si>
  <si>
    <t>ORD00184</t>
  </si>
  <si>
    <t>ORD00338</t>
  </si>
  <si>
    <t>ORD01158</t>
  </si>
  <si>
    <t>ORD00119</t>
  </si>
  <si>
    <t>ORD00345</t>
  </si>
  <si>
    <t>ORD00640</t>
  </si>
  <si>
    <t>ORD00169</t>
  </si>
  <si>
    <t>ORD00376</t>
  </si>
  <si>
    <t>ORD00838</t>
  </si>
  <si>
    <t>ORD00995</t>
  </si>
  <si>
    <t>CUST0149</t>
  </si>
  <si>
    <t>ORD00061</t>
  </si>
  <si>
    <t>ORD01124</t>
  </si>
  <si>
    <t>ORD00080</t>
  </si>
  <si>
    <t>ORD01118</t>
  </si>
  <si>
    <t>ORD00081</t>
  </si>
  <si>
    <t>ORD00445</t>
  </si>
  <si>
    <t>ORD00611</t>
  </si>
  <si>
    <t>ORD00867</t>
  </si>
  <si>
    <t>ORD00868</t>
  </si>
  <si>
    <t>ORD01135</t>
  </si>
  <si>
    <t>ORD00684</t>
  </si>
  <si>
    <t>ORD00695</t>
  </si>
  <si>
    <t>ORD00850</t>
  </si>
  <si>
    <t>ORD01093</t>
  </si>
  <si>
    <t>ORD01123</t>
  </si>
  <si>
    <t>ORD00275</t>
  </si>
  <si>
    <t>ORD00331</t>
  </si>
  <si>
    <t>ORD00682</t>
  </si>
  <si>
    <t>ORD00437</t>
  </si>
  <si>
    <t>ORD00473</t>
  </si>
  <si>
    <t>ORD00045</t>
  </si>
  <si>
    <t>ORD00346</t>
  </si>
  <si>
    <t>ORD00988</t>
  </si>
  <si>
    <t>ORD00149</t>
  </si>
  <si>
    <t>ORD00848</t>
  </si>
  <si>
    <t>ORD01152</t>
  </si>
  <si>
    <t>ORD00434</t>
  </si>
  <si>
    <t>ORD00451</t>
  </si>
  <si>
    <t>ORD00576</t>
  </si>
  <si>
    <t>CUST0179</t>
  </si>
  <si>
    <t>ORD00854</t>
  </si>
  <si>
    <t>ORD00142</t>
  </si>
  <si>
    <t>ORD00219</t>
  </si>
  <si>
    <t>ORD00236</t>
  </si>
  <si>
    <t>ORD00547</t>
  </si>
  <si>
    <t>ORD01149</t>
  </si>
  <si>
    <t>ORD00334</t>
  </si>
  <si>
    <t>ORD00612</t>
  </si>
  <si>
    <t>ORD00683</t>
  </si>
  <si>
    <t>ORD00199</t>
  </si>
  <si>
    <t>ORD00295</t>
  </si>
  <si>
    <t>ORD01087</t>
  </si>
  <si>
    <t>ORD00250</t>
  </si>
  <si>
    <t>ORD01174</t>
  </si>
  <si>
    <t>ORD00054</t>
  </si>
  <si>
    <t>ORD00811</t>
  </si>
  <si>
    <t>ORD01151</t>
  </si>
  <si>
    <t>ORD01043</t>
  </si>
  <si>
    <t>ORD01156</t>
  </si>
  <si>
    <t>ORD00528</t>
  </si>
  <si>
    <t>ORD00551</t>
  </si>
  <si>
    <t>ORD00812</t>
  </si>
  <si>
    <t>ORD00923</t>
  </si>
  <si>
    <t>ORD00984</t>
  </si>
  <si>
    <t>ORD00443</t>
  </si>
  <si>
    <t>ORD00637</t>
  </si>
  <si>
    <t>ORD00954</t>
  </si>
  <si>
    <t>ORD01013</t>
  </si>
  <si>
    <t>ORD00440</t>
  </si>
  <si>
    <t>CUST0094</t>
  </si>
  <si>
    <t>ORD00885</t>
  </si>
  <si>
    <t>CUST0083</t>
  </si>
  <si>
    <t>ORD01116</t>
  </si>
  <si>
    <t>ORD00101</t>
  </si>
  <si>
    <t>ORD00182</t>
  </si>
  <si>
    <t>ORD00458</t>
  </si>
  <si>
    <t>ORD00302</t>
  </si>
  <si>
    <t>ORD00381</t>
  </si>
  <si>
    <t>ORD01052</t>
  </si>
  <si>
    <t>ORD00008</t>
  </si>
  <si>
    <t>ORD00277</t>
  </si>
  <si>
    <t>ORD00581</t>
  </si>
  <si>
    <t>ORD00866</t>
  </si>
  <si>
    <t>ORD01199</t>
  </si>
  <si>
    <t>ORD00139</t>
  </si>
  <si>
    <t>ORD00211</t>
  </si>
  <si>
    <t>ORD01088</t>
  </si>
  <si>
    <t>ORD00262</t>
  </si>
  <si>
    <t>ORD00296</t>
  </si>
  <si>
    <t>ORD00438</t>
  </si>
  <si>
    <t>ORD00763</t>
  </si>
  <si>
    <t>ORD00858</t>
  </si>
  <si>
    <t>ORD01078</t>
  </si>
  <si>
    <t>ORD00187</t>
  </si>
  <si>
    <t>ORD00527</t>
  </si>
  <si>
    <t>ORD00060</t>
  </si>
  <si>
    <t>ORD00703</t>
  </si>
  <si>
    <t>ORD00777</t>
  </si>
  <si>
    <t>ORD00239</t>
  </si>
  <si>
    <t>ORD00497</t>
  </si>
  <si>
    <t>ORD00764</t>
  </si>
  <si>
    <t>ORD01039</t>
  </si>
  <si>
    <t>ORD00107</t>
  </si>
  <si>
    <t>ORD00215</t>
  </si>
  <si>
    <t>ORD00486</t>
  </si>
  <si>
    <t>CUST0218</t>
  </si>
  <si>
    <t>ORD00819</t>
  </si>
  <si>
    <t>ORD01110</t>
  </si>
  <si>
    <t>ORD00359</t>
  </si>
  <si>
    <t>ORD00759</t>
  </si>
  <si>
    <t>ORD00086</t>
  </si>
  <si>
    <t>ORD00248</t>
  </si>
  <si>
    <t>ORD01195</t>
  </si>
  <si>
    <t>ORD00504</t>
  </si>
  <si>
    <t>ORD00548</t>
  </si>
  <si>
    <t>ORD00944</t>
  </si>
  <si>
    <t>ORD01076</t>
  </si>
  <si>
    <t>ORD00143</t>
  </si>
  <si>
    <t>ORD00852</t>
  </si>
  <si>
    <t>ORD01144</t>
  </si>
  <si>
    <t>ORD00123</t>
  </si>
  <si>
    <t>ORD00286</t>
  </si>
  <si>
    <t>ORD00477</t>
  </si>
  <si>
    <t>ORD00615</t>
  </si>
  <si>
    <t>ORD00709</t>
  </si>
  <si>
    <t>ORD00519</t>
  </si>
  <si>
    <t>ORD00928</t>
  </si>
  <si>
    <t>ORD00092</t>
  </si>
  <si>
    <t>ORD00188</t>
  </si>
  <si>
    <t>ORD00412</t>
  </si>
  <si>
    <t>ORD00500</t>
  </si>
  <si>
    <t>ORD00098</t>
  </si>
  <si>
    <t>ORD00593</t>
  </si>
  <si>
    <t>ORD00620</t>
  </si>
  <si>
    <t>ORD00180</t>
  </si>
  <si>
    <t>ORD01044</t>
  </si>
  <si>
    <t>ORD01086</t>
  </si>
  <si>
    <t>CUST0051</t>
  </si>
  <si>
    <t>ORD00480</t>
  </si>
  <si>
    <t>ORD00583</t>
  </si>
  <si>
    <t>ORD01011</t>
  </si>
  <si>
    <t>ORD01160</t>
  </si>
  <si>
    <t>ORD00041</t>
  </si>
  <si>
    <t>ORD00526</t>
  </si>
  <si>
    <t>ORD00832</t>
  </si>
  <si>
    <t>ORD00845</t>
  </si>
  <si>
    <t>ORD00878</t>
  </si>
  <si>
    <t>ORD00117</t>
  </si>
  <si>
    <t>ORD00649</t>
  </si>
  <si>
    <t>ORD01193</t>
  </si>
  <si>
    <t>ORD00323</t>
  </si>
  <si>
    <t>ORD00540</t>
  </si>
  <si>
    <t>ORD00940</t>
  </si>
  <si>
    <t>ORD01104</t>
  </si>
  <si>
    <t>ORD01155</t>
  </si>
  <si>
    <t>ORD00598</t>
  </si>
  <si>
    <t>ORD00638</t>
  </si>
  <si>
    <t>ORD00643</t>
  </si>
  <si>
    <t>ORD00945</t>
  </si>
  <si>
    <t>ORD00013</t>
  </si>
  <si>
    <t>ORD00230</t>
  </si>
  <si>
    <t>ORD00469</t>
  </si>
  <si>
    <t>ORD00673</t>
  </si>
  <si>
    <t>ORD00696</t>
  </si>
  <si>
    <t>ORD00713</t>
  </si>
  <si>
    <t>ORD00999</t>
  </si>
  <si>
    <t>ORD00110</t>
  </si>
  <si>
    <t>ORD00969</t>
  </si>
  <si>
    <t>ORD01040</t>
  </si>
  <si>
    <t>ORD00015</t>
  </si>
  <si>
    <t>ORD01194</t>
  </si>
  <si>
    <t>ORD00303</t>
  </si>
  <si>
    <t>ORD00426</t>
  </si>
  <si>
    <t>ORD00599</t>
  </si>
  <si>
    <t>ORD00789</t>
  </si>
  <si>
    <t>ORD00083</t>
  </si>
  <si>
    <t>ORD00084</t>
  </si>
  <si>
    <t>ORD00335</t>
  </si>
  <si>
    <t>ORD00625</t>
  </si>
  <si>
    <t>ORD00941</t>
  </si>
  <si>
    <t>ORD01197</t>
  </si>
  <si>
    <t>ORD00145</t>
  </si>
  <si>
    <t>ORD00233</t>
  </si>
  <si>
    <t>ORD00507</t>
  </si>
  <si>
    <t>ORD00734</t>
  </si>
  <si>
    <t>CUST0103</t>
  </si>
  <si>
    <t>ORD00795</t>
  </si>
  <si>
    <t>ORD00670</t>
  </si>
  <si>
    <t>ORD00904</t>
  </si>
  <si>
    <t>ORD00993</t>
  </si>
  <si>
    <t>ORD00044</t>
  </si>
  <si>
    <t>ORD00074</t>
  </si>
  <si>
    <t>ORD00201</t>
  </si>
  <si>
    <t>ORD00853</t>
  </si>
  <si>
    <t>ORD01032</t>
  </si>
  <si>
    <t>ORD00266</t>
  </si>
  <si>
    <t>ORD00474</t>
  </si>
  <si>
    <t>ORD00805</t>
  </si>
  <si>
    <t>ORD01050</t>
  </si>
  <si>
    <t>ORD01153</t>
  </si>
  <si>
    <t>ORD00193</t>
  </si>
  <si>
    <t>ORD00968</t>
  </si>
  <si>
    <t>ORD00229</t>
  </si>
  <si>
    <t>ORD00379</t>
  </si>
  <si>
    <t>CUST0224</t>
  </si>
  <si>
    <t>ORD00491</t>
  </si>
  <si>
    <t>ORD00653</t>
  </si>
  <si>
    <t>ORD00952</t>
  </si>
  <si>
    <t>ORD01071</t>
  </si>
  <si>
    <t>ORD01143</t>
  </si>
  <si>
    <t>ORD00285</t>
  </si>
  <si>
    <t>ORD00319</t>
  </si>
  <si>
    <t>ORD00986</t>
  </si>
  <si>
    <t>ORD01179</t>
  </si>
  <si>
    <t>ORD00463</t>
  </si>
  <si>
    <t>ORD01065</t>
  </si>
  <si>
    <t>ORD01107</t>
  </si>
  <si>
    <t>ORD01172</t>
  </si>
  <si>
    <t>ORD00046</t>
  </si>
  <si>
    <t>ORD00069</t>
  </si>
  <si>
    <t>ORD00137</t>
  </si>
  <si>
    <t>ORD00397</t>
  </si>
  <si>
    <t>ORD00493</t>
  </si>
  <si>
    <t>ORD00660</t>
  </si>
  <si>
    <t>ORD00039</t>
  </si>
  <si>
    <t>ORD00264</t>
  </si>
  <si>
    <t>ORD00305</t>
  </si>
  <si>
    <t>ORD00399</t>
  </si>
  <si>
    <t>ORD00747</t>
  </si>
  <si>
    <t>ORD00787</t>
  </si>
  <si>
    <t>ORD00989</t>
  </si>
  <si>
    <t>ORD01042</t>
  </si>
  <si>
    <t>ORD01139</t>
  </si>
  <si>
    <t>ORD01146</t>
  </si>
  <si>
    <t>ORD00042</t>
  </si>
  <si>
    <t>ORD00604</t>
  </si>
  <si>
    <t>ORD01054</t>
  </si>
  <si>
    <t>ORD00276</t>
  </si>
  <si>
    <t>ORD00776</t>
  </si>
  <si>
    <t>ORD00365</t>
  </si>
  <si>
    <t>ORD00466</t>
  </si>
  <si>
    <t>ORD00085</t>
  </si>
  <si>
    <t>ORD00165</t>
  </si>
  <si>
    <t>ORD00406</t>
  </si>
  <si>
    <t>ORD00455</t>
  </si>
  <si>
    <t>ORD00597</t>
  </si>
  <si>
    <t>ORD00724</t>
  </si>
  <si>
    <t>ORD00843</t>
  </si>
  <si>
    <t>ORD00203</t>
  </si>
  <si>
    <t>ORD00900</t>
  </si>
  <si>
    <t>ORD00116</t>
  </si>
  <si>
    <t>ORD00907</t>
  </si>
  <si>
    <t>ORD00910</t>
  </si>
  <si>
    <t>ORD01191</t>
  </si>
  <si>
    <t>ORD00178</t>
  </si>
  <si>
    <t>ORD00246</t>
  </si>
  <si>
    <t>ORD00362</t>
  </si>
  <si>
    <t>ORD00698</t>
  </si>
  <si>
    <t>ORD01067</t>
  </si>
  <si>
    <t>ORD00375</t>
  </si>
  <si>
    <t>ORD00387</t>
  </si>
  <si>
    <t>CUST0270</t>
  </si>
  <si>
    <t>ORD00470</t>
  </si>
  <si>
    <t>ORD01164</t>
  </si>
  <si>
    <t>ORD00216</t>
  </si>
  <si>
    <t>ORD00320</t>
  </si>
  <si>
    <t>ORD00735</t>
  </si>
  <si>
    <t>ORD00829</t>
  </si>
  <si>
    <t>ORD01049</t>
  </si>
  <si>
    <t>ORD01068</t>
  </si>
  <si>
    <t>ORD01138</t>
  </si>
  <si>
    <t>ORD00293</t>
  </si>
  <si>
    <t>ORD00821</t>
  </si>
  <si>
    <t>ORD00150</t>
  </si>
  <si>
    <t>ORD00198</t>
  </si>
  <si>
    <t>ORD00544</t>
  </si>
  <si>
    <t>ORD01200</t>
  </si>
  <si>
    <t>ORD1197</t>
  </si>
  <si>
    <t>ORD1198</t>
  </si>
  <si>
    <t>Total Revenue</t>
  </si>
  <si>
    <t>Total Orders</t>
  </si>
  <si>
    <t>Average Rating</t>
  </si>
  <si>
    <t>Total Profit</t>
  </si>
  <si>
    <t>Return Rate</t>
  </si>
  <si>
    <t>Profit loss due to return</t>
  </si>
  <si>
    <t>Profit after return</t>
  </si>
  <si>
    <t>SUM of Revenue</t>
  </si>
  <si>
    <t>SUM of Profit</t>
  </si>
  <si>
    <t>AVERAGE of Rating</t>
  </si>
  <si>
    <t>Top 5 Products</t>
  </si>
  <si>
    <t>Index</t>
  </si>
  <si>
    <t>SUM of Quantity</t>
  </si>
  <si>
    <t>Monthly Orders Trend</t>
  </si>
  <si>
    <t>Order 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</si>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</sst>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₹]#,##0.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/>
    <xf numFmtId="2" fontId="1" fillId="0" borderId="0" xfId="0" applyNumberFormat="1" applyFont="1" applyAlignme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/>
    <xf numFmtId="0" fontId="1" fillId="0" borderId="0" xfId="0" applyFont="1" applyAlignment="1">
      <alignment horizontal="center"/>
    </xf>
    <xf numFmtId="164" fontId="2" fillId="0" borderId="0" xfId="0" applyNumberFormat="1" applyFont="1" applyAlignment="1"/>
    <xf numFmtId="2" fontId="2" fillId="0" borderId="0" xfId="0" applyNumberFormat="1" applyFont="1" applyAlignment="1"/>
    <xf numFmtId="164" fontId="2" fillId="0" borderId="0" xfId="0" applyNumberFormat="1" applyFont="1" applyAlignment="1"/>
    <xf numFmtId="165" fontId="2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0" fontId="0" fillId="0" borderId="1" xfId="0" applyFont="1" applyBorder="1" applyAlignment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1" xfId="0" applyNumberFormat="1" applyFont="1" applyBorder="1" applyAlignment="1"/>
    <xf numFmtId="0" fontId="0" fillId="0" borderId="4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0" fontId="0" fillId="0" borderId="0" xfId="0" applyNumberFormat="1" applyFont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0" fontId="0" fillId="0" borderId="11" xfId="0" pivotButton="1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2" xfId="0" applyNumberFormat="1" applyFont="1" applyBorder="1" applyAlignment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0" fontId="0" fillId="0" borderId="1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ndia" refreshedDate="46156.453875462961" refreshedVersion="6" recordCount="2196" xr:uid="{00000000-000A-0000-FFFF-FFFF00000000}">
  <cacheSource type="worksheet">
    <worksheetSource ref="A1:V2197" sheet="Ecommerce_Data"/>
  </cacheSource>
  <cacheFields count="22">
    <cacheField name="Order_ID" numFmtId="0">
      <sharedItems containsBlank="1"/>
    </cacheField>
    <cacheField name="Order_Date" numFmtId="164">
      <sharedItems containsNonDate="0" containsDate="1" containsString="0" containsBlank="1" minDate="2023-01-01T00:00:00" maxDate="2025-01-01T00:00:00"/>
    </cacheField>
    <cacheField name="Customer_ID" numFmtId="0">
      <sharedItems containsBlank="1"/>
    </cacheField>
    <cacheField name="Customer_Name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roduct" numFmtId="0">
      <sharedItems containsBlank="1" count="13">
        <s v="Mixer"/>
        <s v="T-Shirt"/>
        <s v="Dress"/>
        <s v="Headphones"/>
        <s v="Shoes"/>
        <s v="Sofa"/>
        <s v="Jeans"/>
        <s v="Face Cream"/>
        <s v="Perfume"/>
        <s v="Samsung TV"/>
        <s v="iPhone 14"/>
        <s v="Laptop"/>
        <m/>
      </sharedItems>
    </cacheField>
    <cacheField name="Category" numFmtId="0">
      <sharedItems containsBlank="1" count="5">
        <s v="Home"/>
        <s v="Clothing"/>
        <s v="Electronics"/>
        <s v="Beauty"/>
        <m/>
      </sharedItems>
    </cacheField>
    <cacheField name="Sub_Category" numFmtId="0">
      <sharedItems containsBlank="1"/>
    </cacheField>
    <cacheField name="cost" numFmtId="0">
      <sharedItems containsString="0" containsBlank="1" containsNumber="1" containsInteger="1" minValue="201" maxValue="89477"/>
    </cacheField>
    <cacheField name="MRP" numFmtId="2">
      <sharedItems containsString="0" containsBlank="1" containsNumber="1" minValue="229.14707558803752" maxValue="150867.80380037872"/>
    </cacheField>
    <cacheField name="Quantity" numFmtId="0">
      <sharedItems containsString="0" containsBlank="1" containsNumber="1" containsInteger="1" minValue="1" maxValue="5"/>
    </cacheField>
    <cacheField name="Discount" numFmtId="0">
      <sharedItems containsString="0" containsBlank="1" containsNumber="1" containsInteger="1" minValue="0" maxValue="20"/>
    </cacheField>
    <cacheField name="Revenue" numFmtId="0">
      <sharedItems containsString="0" containsBlank="1" containsNumber="1" minValue="183.31766047043004" maxValue="580193.06958312518"/>
    </cacheField>
    <cacheField name="Total_cost" numFmtId="0">
      <sharedItems containsString="0" containsBlank="1" containsNumber="1" containsInteger="1" minValue="201" maxValue="445730"/>
    </cacheField>
    <cacheField name="Profit" numFmtId="0">
      <sharedItems containsString="0" containsBlank="1" containsNumber="1" minValue="-35747.966371429269" maxValue="201954.9014838782"/>
    </cacheField>
    <cacheField name="Payment_Method" numFmtId="0">
      <sharedItems containsBlank="1"/>
    </cacheField>
    <cacheField name="Order_status" numFmtId="0">
      <sharedItems containsBlank="1" count="3">
        <s v="Delivered"/>
        <s v="Cancelled"/>
        <m/>
      </sharedItems>
    </cacheField>
    <cacheField name="Delivery_date" numFmtId="0">
      <sharedItems containsNonDate="0" containsDate="1" containsString="0" containsBlank="1" minDate="2023-01-08T00:00:00" maxDate="2024-01-11T00:00:00"/>
    </cacheField>
    <cacheField name="Shipping_Delay" numFmtId="0">
      <sharedItems containsString="0" containsBlank="1" containsNumber="1" containsInteger="1" minValue="1" maxValue="10"/>
    </cacheField>
    <cacheField name="Rating" numFmtId="0">
      <sharedItems containsString="0" containsBlank="1" containsNumber="1" containsInteger="1" minValue="1" maxValue="5"/>
    </cacheField>
    <cacheField name="Returned" numFmtId="0">
      <sharedItems containsBlank="1" count="3">
        <s v="No"/>
        <m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6">
  <r>
    <s v="ORD00452"/>
    <d v="2023-01-01T00:00:00"/>
    <s v="CUST0188"/>
    <s v="Vikram"/>
    <s v="Bangalore"/>
    <s v="Karnataka"/>
    <x v="0"/>
    <x v="0"/>
    <s v="Kitchen"/>
    <n v="4109"/>
    <n v="4597.4149117473044"/>
    <n v="5"/>
    <n v="0"/>
    <n v="22987.074558736524"/>
    <n v="20545"/>
    <n v="2442.0745587365236"/>
    <s v="COD"/>
    <x v="0"/>
    <d v="2023-01-09T00:00:00"/>
    <n v="5"/>
    <n v="4"/>
    <x v="0"/>
  </r>
  <r>
    <s v="ORD00033"/>
    <d v="2023-01-02T00:00:00"/>
    <s v="CUST0025"/>
    <s v="Priya"/>
    <s v="Ahmedabad"/>
    <s v="Gujarat"/>
    <x v="0"/>
    <x v="0"/>
    <s v="Kitchen"/>
    <n v="5503"/>
    <n v="8127.6669571646908"/>
    <n v="2"/>
    <n v="0"/>
    <n v="16255.333914329382"/>
    <n v="11006"/>
    <n v="5249.3339143293815"/>
    <s v="Debit Card"/>
    <x v="0"/>
    <d v="2023-01-15T00:00:00"/>
    <n v="6"/>
    <n v="2"/>
    <x v="0"/>
  </r>
  <r>
    <s v="ORD00228"/>
    <d v="2023-01-02T00:00:00"/>
    <s v="CUST0058"/>
    <s v="Kiran"/>
    <s v="Ahmedabad"/>
    <s v="Gujarat"/>
    <x v="1"/>
    <x v="1"/>
    <s v="Men"/>
    <n v="563"/>
    <n v="585.86996494561913"/>
    <n v="1"/>
    <n v="15"/>
    <n v="497.98947020377625"/>
    <n v="563"/>
    <n v="-65.01052979622375"/>
    <s v="Credit Card"/>
    <x v="0"/>
    <d v="2023-01-08T00:00:00"/>
    <n v="3"/>
    <n v="3"/>
    <x v="0"/>
  </r>
  <r>
    <s v="ORD00372"/>
    <d v="2023-01-02T00:00:00"/>
    <s v="CUST0178"/>
    <s v="Priya"/>
    <s v="Chennai"/>
    <s v="Tamil Nadu"/>
    <x v="1"/>
    <x v="1"/>
    <s v="Men"/>
    <n v="505"/>
    <n v="566.79692945020156"/>
    <n v="3"/>
    <n v="5"/>
    <n v="1615.3712489330744"/>
    <n v="1515"/>
    <n v="100.37124893307441"/>
    <s v="Debit Card"/>
    <x v="0"/>
    <d v="2023-01-09T00:00:00"/>
    <n v="2"/>
    <n v="5"/>
    <x v="0"/>
  </r>
  <r>
    <s v="ORD01079"/>
    <d v="2023-01-02T00:00:00"/>
    <s v="CUST0127"/>
    <s v="Nikhil"/>
    <s v="Pune"/>
    <s v="Maharashtra"/>
    <x v="1"/>
    <x v="1"/>
    <s v="Men"/>
    <n v="566"/>
    <n v="743.87909058160346"/>
    <n v="3"/>
    <n v="10"/>
    <n v="2008.4735445703293"/>
    <n v="1698"/>
    <n v="310.4735445703293"/>
    <s v="COD"/>
    <x v="1"/>
    <m/>
    <n v="8"/>
    <n v="4"/>
    <x v="1"/>
  </r>
  <r>
    <s v="ORD00980"/>
    <d v="2023-01-03T00:00:00"/>
    <s v="CUST0263"/>
    <s v="Neha"/>
    <s v="Hyderabad"/>
    <s v="Telangana"/>
    <x v="0"/>
    <x v="0"/>
    <s v="Kitchen"/>
    <n v="6377"/>
    <n v="7324.9864060177861"/>
    <n v="1"/>
    <n v="20"/>
    <n v="5859.9891248142294"/>
    <n v="6377"/>
    <n v="-517.0108751857706"/>
    <s v="Debit Card"/>
    <x v="0"/>
    <d v="2023-01-11T00:00:00"/>
    <n v="5"/>
    <n v="2"/>
    <x v="0"/>
  </r>
  <r>
    <s v="ORD01015"/>
    <d v="2023-01-03T00:00:00"/>
    <s v="CUST0174"/>
    <s v="Sneha"/>
    <s v="Ahmedabad"/>
    <s v="Gujarat"/>
    <x v="0"/>
    <x v="0"/>
    <s v="Kitchen"/>
    <n v="5122"/>
    <n v="7138.701138894201"/>
    <n v="3"/>
    <n v="10"/>
    <n v="19274.493075014343"/>
    <n v="15366"/>
    <n v="3908.493075014343"/>
    <s v="COD"/>
    <x v="0"/>
    <d v="2023-01-11T00:00:00"/>
    <n v="5"/>
    <n v="4"/>
    <x v="0"/>
  </r>
  <r>
    <s v="ORD00191"/>
    <d v="2023-01-04T00:00:00"/>
    <s v="CUST0015"/>
    <s v="Kiran"/>
    <s v="Ahmedabad"/>
    <s v="Gujarat"/>
    <x v="1"/>
    <x v="1"/>
    <s v="Men"/>
    <n v="389"/>
    <n v="486.42562787676763"/>
    <n v="3"/>
    <n v="0"/>
    <n v="1459.276883630303"/>
    <n v="1167"/>
    <n v="292.27688363030302"/>
    <s v="COD"/>
    <x v="1"/>
    <m/>
    <n v="7"/>
    <n v="2"/>
    <x v="1"/>
  </r>
  <r>
    <s v="ORD00344"/>
    <d v="2023-01-04T00:00:00"/>
    <s v="CUST0126"/>
    <s v="Priya"/>
    <s v="Mumbai"/>
    <s v="Maharashtra"/>
    <x v="2"/>
    <x v="1"/>
    <s v="Women"/>
    <n v="804"/>
    <n v="823.59579901326572"/>
    <n v="4"/>
    <n v="15"/>
    <n v="2800.2257166451031"/>
    <n v="3216"/>
    <n v="-415.77428335489685"/>
    <s v="COD"/>
    <x v="0"/>
    <d v="2023-01-16T00:00:00"/>
    <n v="5"/>
    <n v="2"/>
    <x v="0"/>
  </r>
  <r>
    <s v="ORD00408"/>
    <d v="2023-01-04T00:00:00"/>
    <s v="CUST0116"/>
    <s v="Manoj"/>
    <s v="Hyderabad"/>
    <s v="Telangana"/>
    <x v="3"/>
    <x v="2"/>
    <s v="Accessories"/>
    <n v="1025"/>
    <n v="1706.6953842428634"/>
    <n v="5"/>
    <n v="5"/>
    <n v="8106.8030751535998"/>
    <n v="5125"/>
    <n v="2981.8030751535998"/>
    <s v="Debit Card"/>
    <x v="0"/>
    <d v="2023-01-17T00:00:00"/>
    <n v="6"/>
    <n v="2"/>
    <x v="0"/>
  </r>
  <r>
    <s v="ORD00423"/>
    <d v="2023-01-04T00:00:00"/>
    <s v="CUST0139"/>
    <s v="Priya"/>
    <s v="Delhi"/>
    <s v="Delhi"/>
    <x v="4"/>
    <x v="1"/>
    <s v="Footwear"/>
    <n v="722"/>
    <n v="1293.6533836415288"/>
    <n v="4"/>
    <n v="20"/>
    <n v="4139.690827652892"/>
    <n v="2888"/>
    <n v="1251.690827652892"/>
    <s v="UPI"/>
    <x v="1"/>
    <m/>
    <n v="9"/>
    <n v="1"/>
    <x v="1"/>
  </r>
  <r>
    <s v="ORD01167"/>
    <d v="2023-01-04T00:00:00"/>
    <s v="CUST0176"/>
    <s v="Rahul"/>
    <s v="Ahmedabad"/>
    <s v="Gujarat"/>
    <x v="5"/>
    <x v="0"/>
    <s v="Furniture"/>
    <n v="35408"/>
    <n v="49239.020398067769"/>
    <n v="2"/>
    <n v="0"/>
    <n v="98478.040796135538"/>
    <n v="70816"/>
    <n v="27662.040796135538"/>
    <s v="UPI"/>
    <x v="0"/>
    <d v="2023-01-13T00:00:00"/>
    <n v="6"/>
    <n v="4"/>
    <x v="2"/>
  </r>
  <r>
    <s v="ORD00353"/>
    <d v="2023-01-05T00:00:00"/>
    <s v="CUST0065"/>
    <s v="Sneha"/>
    <s v="Ahmedabad"/>
    <s v="Gujarat"/>
    <x v="6"/>
    <x v="1"/>
    <s v="Men"/>
    <n v="892"/>
    <n v="1458.3970991740121"/>
    <n v="4"/>
    <n v="0"/>
    <n v="5833.5883966960482"/>
    <n v="3568"/>
    <n v="2265.5883966960482"/>
    <s v="UPI"/>
    <x v="1"/>
    <m/>
    <n v="8"/>
    <n v="2"/>
    <x v="1"/>
  </r>
  <r>
    <s v="ORD00533"/>
    <d v="2023-01-05T00:00:00"/>
    <s v="CUST0231"/>
    <s v="Nikhil"/>
    <s v="Delhi"/>
    <s v="Delhi"/>
    <x v="6"/>
    <x v="1"/>
    <s v="Men"/>
    <n v="1265"/>
    <n v="2090.3877806236756"/>
    <n v="3"/>
    <n v="5"/>
    <n v="5957.6051747774745"/>
    <n v="3795"/>
    <n v="2162.6051747774745"/>
    <s v="Credit Card"/>
    <x v="1"/>
    <m/>
    <n v="8"/>
    <n v="3"/>
    <x v="1"/>
  </r>
  <r>
    <s v="ORD00022"/>
    <d v="2023-01-06T00:00:00"/>
    <s v="CUST0256"/>
    <s v="Priya"/>
    <s v="Ahmedabad"/>
    <s v="Gujarat"/>
    <x v="7"/>
    <x v="3"/>
    <s v="Skincare"/>
    <n v="480"/>
    <n v="531.52965816263816"/>
    <n v="3"/>
    <n v="5"/>
    <n v="1514.8595257635188"/>
    <n v="1440"/>
    <n v="74.859525763518832"/>
    <s v="Debit Card"/>
    <x v="0"/>
    <d v="2023-01-17T00:00:00"/>
    <n v="6"/>
    <n v="4"/>
    <x v="2"/>
  </r>
  <r>
    <s v="ORD00681"/>
    <d v="2023-01-06T00:00:00"/>
    <s v="CUST0175"/>
    <s v="Arjun"/>
    <s v="Delhi"/>
    <s v="Delhi"/>
    <x v="4"/>
    <x v="1"/>
    <s v="Footwear"/>
    <n v="1200"/>
    <n v="1293.9325358866715"/>
    <n v="5"/>
    <n v="0"/>
    <n v="6469.6626794333579"/>
    <n v="6000"/>
    <n v="469.66267943335788"/>
    <s v="Credit Card"/>
    <x v="1"/>
    <m/>
    <n v="7"/>
    <n v="3"/>
    <x v="1"/>
  </r>
  <r>
    <s v="ORD00020"/>
    <d v="2023-01-07T00:00:00"/>
    <s v="CUST0232"/>
    <s v="Swathi"/>
    <s v="Chennai"/>
    <s v="Tamil Nadu"/>
    <x v="8"/>
    <x v="3"/>
    <s v="Fragrance"/>
    <n v="649"/>
    <n v="818.41542553922591"/>
    <n v="4"/>
    <n v="20"/>
    <n v="2618.929361725523"/>
    <n v="2596"/>
    <n v="22.929361725522995"/>
    <s v="Debit Card"/>
    <x v="0"/>
    <d v="2023-01-16T00:00:00"/>
    <n v="6"/>
    <n v="4"/>
    <x v="2"/>
  </r>
  <r>
    <s v="ORD00094"/>
    <d v="2023-01-07T00:00:00"/>
    <s v="CUST0101"/>
    <s v="Nikhil"/>
    <s v="Delhi"/>
    <s v="Delhi"/>
    <x v="8"/>
    <x v="3"/>
    <s v="Fragrance"/>
    <n v="545"/>
    <n v="647.07393998810005"/>
    <n v="3"/>
    <n v="10"/>
    <n v="1747.0996379678702"/>
    <n v="1635"/>
    <n v="112.09963796787019"/>
    <s v="UPI"/>
    <x v="0"/>
    <d v="2023-01-11T00:00:00"/>
    <n v="1"/>
    <n v="5"/>
    <x v="0"/>
  </r>
  <r>
    <s v="ORD00127"/>
    <d v="2023-01-07T00:00:00"/>
    <s v="CUST0252"/>
    <s v="Swathi"/>
    <s v="Kolkata"/>
    <s v="West Bengal"/>
    <x v="1"/>
    <x v="1"/>
    <s v="Men"/>
    <n v="658"/>
    <n v="1051.926486307362"/>
    <n v="5"/>
    <n v="15"/>
    <n v="4470.6875668062885"/>
    <n v="3290"/>
    <n v="1180.6875668062885"/>
    <s v="UPI"/>
    <x v="0"/>
    <d v="2023-01-18T00:00:00"/>
    <n v="6"/>
    <n v="3"/>
    <x v="0"/>
  </r>
  <r>
    <s v="ORD00915"/>
    <d v="2023-01-07T00:00:00"/>
    <s v="CUST0204"/>
    <s v="Rohit"/>
    <s v="Mumbai"/>
    <s v="Maharashtra"/>
    <x v="1"/>
    <x v="1"/>
    <s v="Men"/>
    <n v="525"/>
    <n v="644.78263333134032"/>
    <n v="1"/>
    <n v="20"/>
    <n v="515.8261066650723"/>
    <n v="525"/>
    <n v="-9.1738933349276977"/>
    <s v="Credit Card"/>
    <x v="1"/>
    <m/>
    <n v="9"/>
    <n v="1"/>
    <x v="1"/>
  </r>
  <r>
    <s v="ORD00947"/>
    <d v="2023-01-07T00:00:00"/>
    <s v="CUST0027"/>
    <s v="Rahul"/>
    <s v="Bangalore"/>
    <s v="Karnataka"/>
    <x v="9"/>
    <x v="2"/>
    <s v="TV"/>
    <n v="41871"/>
    <n v="52186.749552187699"/>
    <n v="5"/>
    <n v="5"/>
    <n v="247887.06037289154"/>
    <n v="209355"/>
    <n v="38532.060372891545"/>
    <s v="Debit Card"/>
    <x v="0"/>
    <d v="2023-01-12T00:00:00"/>
    <n v="1"/>
    <n v="5"/>
    <x v="0"/>
  </r>
  <r>
    <s v="ORD00104"/>
    <d v="2023-01-08T00:00:00"/>
    <s v="CUST0256"/>
    <s v="Rahul"/>
    <s v="Chennai"/>
    <s v="Tamil Nadu"/>
    <x v="4"/>
    <x v="1"/>
    <s v="Footwear"/>
    <n v="1585"/>
    <n v="1916.8904470626389"/>
    <n v="1"/>
    <n v="5"/>
    <n v="1821.0459247095068"/>
    <n v="1585"/>
    <n v="236.04592470950683"/>
    <s v="Debit Card"/>
    <x v="0"/>
    <d v="2023-01-19T00:00:00"/>
    <n v="6"/>
    <n v="2"/>
    <x v="0"/>
  </r>
  <r>
    <s v="ORD00235"/>
    <d v="2023-01-08T00:00:00"/>
    <s v="CUST0253"/>
    <s v="Swathi"/>
    <s v="Ahmedabad"/>
    <s v="Gujarat"/>
    <x v="10"/>
    <x v="2"/>
    <s v="Mobile"/>
    <n v="74443"/>
    <n v="99616.633912047168"/>
    <n v="2"/>
    <n v="5"/>
    <n v="189271.60443288961"/>
    <n v="148886"/>
    <n v="40385.60443288961"/>
    <s v="Credit Card"/>
    <x v="0"/>
    <d v="2023-01-21T00:00:00"/>
    <n v="6"/>
    <n v="4"/>
    <x v="2"/>
  </r>
  <r>
    <s v="ORD00623"/>
    <d v="2023-01-08T00:00:00"/>
    <s v="CUST0164"/>
    <s v="Rohit"/>
    <s v="Hyderabad"/>
    <s v="Telangana"/>
    <x v="0"/>
    <x v="0"/>
    <s v="Kitchen"/>
    <n v="4882"/>
    <n v="6220.914606950415"/>
    <n v="1"/>
    <n v="0"/>
    <n v="6220.914606950415"/>
    <n v="4882"/>
    <n v="1338.914606950415"/>
    <s v="UPI"/>
    <x v="0"/>
    <d v="2023-01-15T00:00:00"/>
    <n v="1"/>
    <n v="4"/>
    <x v="0"/>
  </r>
  <r>
    <s v="ORD00053"/>
    <d v="2023-01-09T00:00:00"/>
    <s v="CUST0176"/>
    <s v="Manoj"/>
    <s v="Kolkata"/>
    <s v="West Bengal"/>
    <x v="0"/>
    <x v="0"/>
    <s v="Kitchen"/>
    <n v="3475"/>
    <n v="5066.5993019326152"/>
    <n v="4"/>
    <n v="20"/>
    <n v="16213.117766184369"/>
    <n v="13900"/>
    <n v="2313.1177661843685"/>
    <s v="Credit Card"/>
    <x v="1"/>
    <m/>
    <n v="9"/>
    <n v="1"/>
    <x v="1"/>
  </r>
  <r>
    <s v="ORD00422"/>
    <d v="2023-01-09T00:00:00"/>
    <s v="CUST0117"/>
    <s v="Vikram"/>
    <s v="Bangalore"/>
    <s v="Karnataka"/>
    <x v="7"/>
    <x v="3"/>
    <s v="Skincare"/>
    <n v="221"/>
    <n v="375.73340481891387"/>
    <n v="5"/>
    <n v="20"/>
    <n v="1502.9336192756555"/>
    <n v="1105"/>
    <n v="397.93361927565547"/>
    <s v="Credit Card"/>
    <x v="0"/>
    <d v="2023-01-22T00:00:00"/>
    <n v="6"/>
    <n v="4"/>
    <x v="2"/>
  </r>
  <r>
    <s v="ORD00666"/>
    <d v="2023-01-09T00:00:00"/>
    <s v="CUST0002"/>
    <s v="Neha"/>
    <s v="Ahmedabad"/>
    <s v="Gujarat"/>
    <x v="4"/>
    <x v="1"/>
    <s v="Footwear"/>
    <n v="777"/>
    <n v="1141.1981331700911"/>
    <n v="5"/>
    <n v="0"/>
    <n v="5705.9906658504551"/>
    <n v="3885"/>
    <n v="1820.9906658504551"/>
    <s v="UPI"/>
    <x v="0"/>
    <d v="2023-01-17T00:00:00"/>
    <n v="1"/>
    <n v="4"/>
    <x v="0"/>
  </r>
  <r>
    <s v="ORD01023"/>
    <d v="2023-01-09T00:00:00"/>
    <s v="CUST0242"/>
    <s v="Pooja"/>
    <s v="Mumbai"/>
    <s v="Maharashtra"/>
    <x v="3"/>
    <x v="2"/>
    <s v="Accessories"/>
    <n v="1018"/>
    <n v="1111.608139446171"/>
    <n v="1"/>
    <n v="0"/>
    <n v="1111.608139446171"/>
    <n v="1018"/>
    <n v="93.608139446170981"/>
    <s v="Credit Card"/>
    <x v="1"/>
    <m/>
    <n v="10"/>
    <n v="1"/>
    <x v="1"/>
  </r>
  <r>
    <s v="ORD00257"/>
    <d v="2023-01-11T00:00:00"/>
    <s v="CUST0300"/>
    <s v="Divya"/>
    <s v="Chennai"/>
    <s v="Tamil Nadu"/>
    <x v="11"/>
    <x v="2"/>
    <s v="Computers"/>
    <n v="40754"/>
    <n v="68727.393769883376"/>
    <n v="5"/>
    <n v="20"/>
    <n v="274909.5750795335"/>
    <n v="203770"/>
    <n v="71139.575079533504"/>
    <s v="COD"/>
    <x v="0"/>
    <d v="2023-01-21T00:00:00"/>
    <n v="4"/>
    <n v="2"/>
    <x v="0"/>
  </r>
  <r>
    <s v="ORD00645"/>
    <d v="2023-01-11T00:00:00"/>
    <s v="CUST0232"/>
    <s v="Divya"/>
    <s v="Mumbai"/>
    <s v="Maharashtra"/>
    <x v="8"/>
    <x v="3"/>
    <s v="Fragrance"/>
    <n v="630"/>
    <n v="717.22825936138372"/>
    <n v="2"/>
    <n v="5"/>
    <n v="1362.733692786629"/>
    <n v="1260"/>
    <n v="102.73369278662904"/>
    <s v="UPI"/>
    <x v="0"/>
    <d v="2023-01-15T00:00:00"/>
    <n v="1"/>
    <n v="4"/>
    <x v="0"/>
  </r>
  <r>
    <s v="ORD00990"/>
    <d v="2023-01-11T00:00:00"/>
    <s v="CUST0012"/>
    <s v="Arjun"/>
    <s v="Delhi"/>
    <s v="Delhi"/>
    <x v="6"/>
    <x v="1"/>
    <s v="Men"/>
    <n v="1359"/>
    <n v="1586.6360426347032"/>
    <n v="4"/>
    <n v="20"/>
    <n v="5077.2353364310511"/>
    <n v="5436"/>
    <n v="-358.76466356894889"/>
    <s v="UPI"/>
    <x v="0"/>
    <d v="2023-01-18T00:00:00"/>
    <n v="1"/>
    <n v="5"/>
    <x v="0"/>
  </r>
  <r>
    <s v="ORD01097"/>
    <d v="2023-01-11T00:00:00"/>
    <s v="CUST0249"/>
    <s v="Amit"/>
    <s v="Delhi"/>
    <s v="Delhi"/>
    <x v="4"/>
    <x v="1"/>
    <s v="Footwear"/>
    <n v="1367"/>
    <n v="1607.0226274404422"/>
    <n v="5"/>
    <n v="5"/>
    <n v="7633.3574803420997"/>
    <n v="6835"/>
    <n v="798.35748034209973"/>
    <s v="Debit Card"/>
    <x v="1"/>
    <m/>
    <n v="9"/>
    <n v="1"/>
    <x v="1"/>
  </r>
  <r>
    <s v="ORD00163"/>
    <d v="2023-01-12T00:00:00"/>
    <s v="CUST0178"/>
    <s v="Kavya"/>
    <s v="Ahmedabad"/>
    <s v="Gujarat"/>
    <x v="6"/>
    <x v="1"/>
    <s v="Men"/>
    <n v="1430"/>
    <n v="1439.4544724436937"/>
    <n v="1"/>
    <n v="15"/>
    <n v="1223.5363015771395"/>
    <n v="1430"/>
    <n v="-206.46369842286049"/>
    <s v="UPI"/>
    <x v="0"/>
    <d v="2023-01-20T00:00:00"/>
    <n v="3"/>
    <n v="2"/>
    <x v="0"/>
  </r>
  <r>
    <s v="ORD01113"/>
    <d v="2023-01-12T00:00:00"/>
    <s v="CUST0176"/>
    <s v="Ramesh"/>
    <s v="Chennai"/>
    <s v="Tamil Nadu"/>
    <x v="8"/>
    <x v="3"/>
    <s v="Fragrance"/>
    <n v="619"/>
    <n v="1067.2681777025261"/>
    <n v="2"/>
    <n v="15"/>
    <n v="1814.3559020942944"/>
    <n v="1238"/>
    <n v="576.35590209429438"/>
    <s v="UPI"/>
    <x v="0"/>
    <d v="2023-01-21T00:00:00"/>
    <n v="4"/>
    <n v="4"/>
    <x v="0"/>
  </r>
  <r>
    <s v="ORD00011"/>
    <d v="2023-01-13T00:00:00"/>
    <s v="CUST0294"/>
    <s v="Kavya"/>
    <s v="Ahmedabad"/>
    <s v="Gujarat"/>
    <x v="7"/>
    <x v="3"/>
    <s v="Skincare"/>
    <n v="578"/>
    <n v="609.40130779989363"/>
    <n v="4"/>
    <n v="10"/>
    <n v="2193.8447080796172"/>
    <n v="2312"/>
    <n v="-118.15529192038275"/>
    <s v="COD"/>
    <x v="0"/>
    <d v="2023-01-22T00:00:00"/>
    <n v="2"/>
    <n v="4"/>
    <x v="0"/>
  </r>
  <r>
    <s v="ORD00108"/>
    <d v="2023-01-13T00:00:00"/>
    <s v="CUST0018"/>
    <s v="Kavya"/>
    <s v="Delhi"/>
    <s v="Delhi"/>
    <x v="10"/>
    <x v="2"/>
    <s v="Mobile"/>
    <n v="71289"/>
    <n v="109285.28586440312"/>
    <n v="2"/>
    <n v="15"/>
    <n v="185784.98596948531"/>
    <n v="142578"/>
    <n v="43206.985969485308"/>
    <s v="COD"/>
    <x v="0"/>
    <d v="2023-01-26T00:00:00"/>
    <n v="6"/>
    <n v="4"/>
    <x v="2"/>
  </r>
  <r>
    <s v="ORD00234"/>
    <d v="2023-01-13T00:00:00"/>
    <s v="CUST0292"/>
    <s v="Divya"/>
    <s v="Mumbai"/>
    <s v="Maharashtra"/>
    <x v="3"/>
    <x v="2"/>
    <s v="Accessories"/>
    <n v="1220"/>
    <n v="1373.6525947000823"/>
    <n v="3"/>
    <n v="0"/>
    <n v="4120.9577841002465"/>
    <n v="3660"/>
    <n v="460.9577841002465"/>
    <s v="COD"/>
    <x v="1"/>
    <m/>
    <n v="8"/>
    <n v="2"/>
    <x v="1"/>
  </r>
  <r>
    <s v="ORD00281"/>
    <d v="2023-01-13T00:00:00"/>
    <s v="CUST0175"/>
    <s v="Manoj"/>
    <s v="Pune"/>
    <s v="Maharashtra"/>
    <x v="7"/>
    <x v="3"/>
    <s v="Skincare"/>
    <n v="410"/>
    <n v="434.2031624705574"/>
    <n v="3"/>
    <n v="15"/>
    <n v="1107.2180642999215"/>
    <n v="1230"/>
    <n v="-122.78193570007852"/>
    <s v="UPI"/>
    <x v="1"/>
    <m/>
    <n v="9"/>
    <n v="1"/>
    <x v="1"/>
  </r>
  <r>
    <s v="ORD00333"/>
    <d v="2023-01-13T00:00:00"/>
    <s v="CUST0057"/>
    <s v="Divya"/>
    <s v="Pune"/>
    <s v="Maharashtra"/>
    <x v="8"/>
    <x v="3"/>
    <s v="Fragrance"/>
    <n v="584"/>
    <n v="738.19974150075211"/>
    <n v="5"/>
    <n v="10"/>
    <n v="3321.8988367533848"/>
    <n v="2920"/>
    <n v="401.89883675338478"/>
    <s v="Debit Card"/>
    <x v="0"/>
    <d v="2023-01-22T00:00:00"/>
    <n v="6"/>
    <n v="4"/>
    <x v="2"/>
  </r>
  <r>
    <s v="ORD00629"/>
    <d v="2023-01-13T00:00:00"/>
    <s v="CUST0208"/>
    <s v="Rohit"/>
    <s v="Hyderabad"/>
    <s v="Telangana"/>
    <x v="2"/>
    <x v="1"/>
    <s v="Women"/>
    <n v="1534"/>
    <n v="2104.4993283514114"/>
    <n v="4"/>
    <n v="5"/>
    <n v="7997.0974477353629"/>
    <n v="6136"/>
    <n v="1861.0974477353629"/>
    <s v="Debit Card"/>
    <x v="0"/>
    <d v="2023-01-22T00:00:00"/>
    <n v="3"/>
    <n v="4"/>
    <x v="0"/>
  </r>
  <r>
    <s v="ORD00664"/>
    <d v="2023-01-13T00:00:00"/>
    <s v="CUST0212"/>
    <s v="Nikhil"/>
    <s v="Mumbai"/>
    <s v="Maharashtra"/>
    <x v="4"/>
    <x v="1"/>
    <s v="Footwear"/>
    <n v="2769"/>
    <n v="4256.3822361166458"/>
    <n v="4"/>
    <n v="0"/>
    <n v="17025.528944466583"/>
    <n v="11076"/>
    <n v="5949.5289444665832"/>
    <s v="Credit Card"/>
    <x v="0"/>
    <d v="2023-01-21T00:00:00"/>
    <n v="1"/>
    <n v="4"/>
    <x v="0"/>
  </r>
  <r>
    <s v="ORD00791"/>
    <d v="2023-01-13T00:00:00"/>
    <s v="CUST0249"/>
    <s v="Swathi"/>
    <s v="Pune"/>
    <s v="Maharashtra"/>
    <x v="10"/>
    <x v="2"/>
    <s v="Mobile"/>
    <n v="69697"/>
    <n v="97625.535727349154"/>
    <n v="2"/>
    <n v="10"/>
    <n v="175725.96430922847"/>
    <n v="139394"/>
    <n v="36331.964309228468"/>
    <s v="Credit Card"/>
    <x v="0"/>
    <d v="2023-01-20T00:00:00"/>
    <n v="4"/>
    <n v="4"/>
    <x v="0"/>
  </r>
  <r>
    <s v="ORD00313"/>
    <d v="2023-01-14T00:00:00"/>
    <s v="CUST0114"/>
    <s v="Kiran"/>
    <s v="Delhi"/>
    <s v="Delhi"/>
    <x v="1"/>
    <x v="1"/>
    <s v="Men"/>
    <n v="748"/>
    <n v="829.43945020311901"/>
    <n v="2"/>
    <n v="5"/>
    <n v="1575.9349553859261"/>
    <n v="1496"/>
    <n v="79.93495538592606"/>
    <s v="Debit Card"/>
    <x v="0"/>
    <d v="2023-01-19T00:00:00"/>
    <n v="1"/>
    <n v="4"/>
    <x v="0"/>
  </r>
  <r>
    <s v="ORD00462"/>
    <d v="2023-01-14T00:00:00"/>
    <s v="CUST0048"/>
    <s v="Rohit"/>
    <s v="Hyderabad"/>
    <s v="Telangana"/>
    <x v="8"/>
    <x v="3"/>
    <s v="Fragrance"/>
    <n v="611"/>
    <n v="666.75911174101202"/>
    <n v="5"/>
    <n v="0"/>
    <n v="3333.7955587050601"/>
    <n v="3055"/>
    <n v="278.7955587050601"/>
    <s v="UPI"/>
    <x v="0"/>
    <d v="2023-01-21T00:00:00"/>
    <n v="4"/>
    <n v="4"/>
    <x v="0"/>
  </r>
  <r>
    <s v="ORD00307"/>
    <d v="2023-01-15T00:00:00"/>
    <s v="CUST0066"/>
    <s v="Rahul"/>
    <s v="Mumbai"/>
    <s v="Maharashtra"/>
    <x v="2"/>
    <x v="1"/>
    <s v="Women"/>
    <n v="1131"/>
    <n v="1489.0926375284837"/>
    <n v="1"/>
    <n v="10"/>
    <n v="1340.1833737756353"/>
    <n v="1131"/>
    <n v="209.18337377563535"/>
    <s v="Credit Card"/>
    <x v="1"/>
    <m/>
    <n v="8"/>
    <n v="4"/>
    <x v="1"/>
  </r>
  <r>
    <s v="ORD00536"/>
    <d v="2023-01-15T00:00:00"/>
    <s v="CUST0049"/>
    <s v="Sneha"/>
    <s v="Hyderabad"/>
    <s v="Telangana"/>
    <x v="6"/>
    <x v="1"/>
    <s v="Men"/>
    <n v="1349"/>
    <n v="1425.864993049375"/>
    <n v="4"/>
    <n v="0"/>
    <n v="5703.4599721975001"/>
    <n v="5396"/>
    <n v="307.45997219750006"/>
    <s v="COD"/>
    <x v="1"/>
    <m/>
    <n v="8"/>
    <n v="2"/>
    <x v="1"/>
  </r>
  <r>
    <s v="ORD00667"/>
    <d v="2023-01-15T00:00:00"/>
    <s v="CUST0150"/>
    <s v="Sneha"/>
    <s v="Mumbai"/>
    <s v="Maharashtra"/>
    <x v="2"/>
    <x v="1"/>
    <s v="Women"/>
    <n v="1908"/>
    <n v="3032.0515087782724"/>
    <n v="3"/>
    <n v="20"/>
    <n v="7276.9236210678537"/>
    <n v="5724"/>
    <n v="1552.9236210678537"/>
    <s v="COD"/>
    <x v="1"/>
    <m/>
    <n v="9"/>
    <n v="1"/>
    <x v="1"/>
  </r>
  <r>
    <s v="ORD00836"/>
    <d v="2023-01-15T00:00:00"/>
    <s v="CUST0244"/>
    <s v="Swathi"/>
    <s v="Mumbai"/>
    <s v="Maharashtra"/>
    <x v="3"/>
    <x v="2"/>
    <s v="Accessories"/>
    <n v="1577"/>
    <n v="2134.9895900888196"/>
    <n v="1"/>
    <n v="20"/>
    <n v="1707.9916720710557"/>
    <n v="1577"/>
    <n v="130.99167207105575"/>
    <s v="Debit Card"/>
    <x v="0"/>
    <d v="2023-01-22T00:00:00"/>
    <n v="1"/>
    <n v="5"/>
    <x v="0"/>
  </r>
  <r>
    <s v="ORD00971"/>
    <d v="2023-01-15T00:00:00"/>
    <s v="CUST0084"/>
    <s v="Vikram"/>
    <s v="Ahmedabad"/>
    <s v="Gujarat"/>
    <x v="0"/>
    <x v="0"/>
    <s v="Kitchen"/>
    <n v="6701"/>
    <n v="7042.2804820995379"/>
    <n v="2"/>
    <n v="10"/>
    <n v="12676.104867779168"/>
    <n v="13402"/>
    <n v="-725.89513222083224"/>
    <s v="COD"/>
    <x v="1"/>
    <m/>
    <n v="10"/>
    <n v="1"/>
    <x v="1"/>
  </r>
  <r>
    <s v="ORD00509"/>
    <d v="2023-01-16T00:00:00"/>
    <s v="CUST0121"/>
    <s v="Deepika"/>
    <s v="Chennai"/>
    <s v="Tamil Nadu"/>
    <x v="1"/>
    <x v="1"/>
    <s v="Men"/>
    <n v="381"/>
    <n v="671.32269934030285"/>
    <n v="1"/>
    <n v="15"/>
    <n v="570.62429443925737"/>
    <n v="381"/>
    <n v="189.62429443925737"/>
    <s v="Debit Card"/>
    <x v="1"/>
    <m/>
    <n v="10"/>
    <n v="1"/>
    <x v="1"/>
  </r>
  <r>
    <s v="ORD00877"/>
    <d v="2023-01-16T00:00:00"/>
    <s v="CUST0182"/>
    <s v="Meena"/>
    <s v="Hyderabad"/>
    <s v="Telangana"/>
    <x v="7"/>
    <x v="3"/>
    <s v="Skincare"/>
    <n v="509"/>
    <n v="797.77915868044965"/>
    <n v="5"/>
    <n v="15"/>
    <n v="3390.5614243919108"/>
    <n v="2545"/>
    <n v="845.5614243919108"/>
    <s v="COD"/>
    <x v="1"/>
    <m/>
    <n v="7"/>
    <n v="2"/>
    <x v="1"/>
  </r>
  <r>
    <s v="ORD00202"/>
    <d v="2023-01-17T00:00:00"/>
    <s v="CUST0250"/>
    <s v="Rohit"/>
    <s v="Delhi"/>
    <s v="Delhi"/>
    <x v="9"/>
    <x v="2"/>
    <s v="TV"/>
    <n v="68759"/>
    <n v="75969.189526455986"/>
    <n v="3"/>
    <n v="20"/>
    <n v="182326.05486349436"/>
    <n v="206277"/>
    <n v="-23950.945136505645"/>
    <s v="COD"/>
    <x v="0"/>
    <d v="2023-01-22T00:00:00"/>
    <n v="1"/>
    <n v="4"/>
    <x v="0"/>
  </r>
  <r>
    <s v="ORD00433"/>
    <d v="2023-01-17T00:00:00"/>
    <s v="CUST0121"/>
    <s v="Anjali"/>
    <s v="Hyderabad"/>
    <s v="Telangana"/>
    <x v="2"/>
    <x v="1"/>
    <s v="Women"/>
    <n v="1397"/>
    <n v="2018.89476818763"/>
    <n v="4"/>
    <n v="20"/>
    <n v="6460.463258200416"/>
    <n v="5588"/>
    <n v="872.46325820041602"/>
    <s v="Credit Card"/>
    <x v="0"/>
    <d v="2023-01-23T00:00:00"/>
    <n v="3"/>
    <n v="4"/>
    <x v="0"/>
  </r>
  <r>
    <s v="ORD00568"/>
    <d v="2023-01-17T00:00:00"/>
    <s v="CUST0156"/>
    <s v="Swathi"/>
    <s v="Ahmedabad"/>
    <s v="Gujarat"/>
    <x v="6"/>
    <x v="1"/>
    <s v="Men"/>
    <n v="1183"/>
    <n v="1630.4628106193684"/>
    <n v="1"/>
    <n v="5"/>
    <n v="1548.9396700883999"/>
    <n v="1183"/>
    <n v="365.93967008839991"/>
    <s v="Credit Card"/>
    <x v="0"/>
    <d v="2023-01-27T00:00:00"/>
    <n v="7"/>
    <n v="4"/>
    <x v="2"/>
  </r>
  <r>
    <s v="ORD00774"/>
    <d v="2023-01-17T00:00:00"/>
    <s v="CUST0208"/>
    <s v="Divya"/>
    <s v="Chennai"/>
    <s v="Tamil Nadu"/>
    <x v="6"/>
    <x v="1"/>
    <s v="Men"/>
    <n v="1015"/>
    <n v="1627.4573622547507"/>
    <n v="3"/>
    <n v="0"/>
    <n v="4882.3720867642523"/>
    <n v="3045"/>
    <n v="1837.3720867642523"/>
    <s v="Credit Card"/>
    <x v="0"/>
    <d v="2023-01-27T00:00:00"/>
    <n v="5"/>
    <n v="3"/>
    <x v="0"/>
  </r>
  <r>
    <s v="ORD00810"/>
    <d v="2023-01-17T00:00:00"/>
    <s v="CUST0070"/>
    <s v="Ramesh"/>
    <s v="Bangalore"/>
    <s v="Karnataka"/>
    <x v="9"/>
    <x v="2"/>
    <s v="TV"/>
    <n v="44360"/>
    <n v="58318.186287860764"/>
    <n v="5"/>
    <n v="15"/>
    <n v="247852.29172340821"/>
    <n v="221800"/>
    <n v="26052.291723408212"/>
    <s v="Credit Card"/>
    <x v="1"/>
    <m/>
    <n v="9"/>
    <n v="1"/>
    <x v="1"/>
  </r>
  <r>
    <s v="ORD00207"/>
    <d v="2023-01-18T00:00:00"/>
    <s v="CUST0097"/>
    <s v="Amit"/>
    <s v="Pune"/>
    <s v="Maharashtra"/>
    <x v="6"/>
    <x v="1"/>
    <s v="Men"/>
    <n v="994"/>
    <n v="1054.032112616376"/>
    <n v="2"/>
    <n v="20"/>
    <n v="1686.4513801862017"/>
    <n v="1988"/>
    <n v="-301.54861981379827"/>
    <s v="COD"/>
    <x v="0"/>
    <d v="2023-01-26T00:00:00"/>
    <n v="5"/>
    <n v="3"/>
    <x v="0"/>
  </r>
  <r>
    <s v="ORD00258"/>
    <d v="2023-01-18T00:00:00"/>
    <s v="CUST0191"/>
    <s v="Vikram"/>
    <s v="Kolkata"/>
    <s v="West Bengal"/>
    <x v="4"/>
    <x v="1"/>
    <s v="Footwear"/>
    <n v="2678"/>
    <n v="3729.9193205708784"/>
    <n v="2"/>
    <n v="10"/>
    <n v="6713.8547770275809"/>
    <n v="5356"/>
    <n v="1357.8547770275809"/>
    <s v="UPI"/>
    <x v="0"/>
    <d v="2023-01-27T00:00:00"/>
    <n v="5"/>
    <n v="4"/>
    <x v="0"/>
  </r>
  <r>
    <s v="ORD01121"/>
    <d v="2023-01-18T00:00:00"/>
    <s v="CUST0264"/>
    <s v="Manoj"/>
    <s v="Delhi"/>
    <s v="Delhi"/>
    <x v="8"/>
    <x v="3"/>
    <s v="Fragrance"/>
    <n v="734"/>
    <n v="1067.7387482560935"/>
    <n v="2"/>
    <n v="20"/>
    <n v="1708.3819972097497"/>
    <n v="1468"/>
    <n v="240.38199720974967"/>
    <s v="COD"/>
    <x v="0"/>
    <d v="2023-01-29T00:00:00"/>
    <n v="6"/>
    <n v="3"/>
    <x v="0"/>
  </r>
  <r>
    <s v="ORD00310"/>
    <d v="2023-01-19T00:00:00"/>
    <s v="CUST0278"/>
    <s v="Neha"/>
    <s v="Chennai"/>
    <s v="Tamil Nadu"/>
    <x v="4"/>
    <x v="1"/>
    <s v="Footwear"/>
    <n v="2198"/>
    <n v="3431.8375262088502"/>
    <n v="5"/>
    <n v="10"/>
    <n v="15443.268867939829"/>
    <n v="10990"/>
    <n v="4453.2688679398289"/>
    <s v="Credit Card"/>
    <x v="0"/>
    <d v="2023-01-23T00:00:00"/>
    <n v="1"/>
    <n v="4"/>
    <x v="0"/>
  </r>
  <r>
    <s v="ORD01099"/>
    <d v="2023-01-19T00:00:00"/>
    <s v="CUST0215"/>
    <s v="Sneha"/>
    <s v="Bangalore"/>
    <s v="Karnataka"/>
    <x v="4"/>
    <x v="1"/>
    <s v="Footwear"/>
    <n v="1657"/>
    <n v="1901.8339633670835"/>
    <n v="1"/>
    <n v="15"/>
    <n v="1616.558868862021"/>
    <n v="1657"/>
    <n v="-40.441131137979028"/>
    <s v="UPI"/>
    <x v="1"/>
    <m/>
    <n v="9"/>
    <n v="1"/>
    <x v="1"/>
  </r>
  <r>
    <s v="ORD01147"/>
    <d v="2023-01-19T00:00:00"/>
    <s v="CUST0034"/>
    <s v="Arjun"/>
    <s v="Kolkata"/>
    <s v="West Bengal"/>
    <x v="11"/>
    <x v="2"/>
    <s v="Computers"/>
    <n v="34258"/>
    <n v="35215.841598169543"/>
    <n v="1"/>
    <n v="15"/>
    <n v="29933.465358444111"/>
    <n v="34258"/>
    <n v="-4324.5346415558888"/>
    <s v="COD"/>
    <x v="0"/>
    <d v="2023-01-28T00:00:00"/>
    <n v="4"/>
    <n v="3"/>
    <x v="0"/>
  </r>
  <r>
    <s v="ORD00446"/>
    <d v="2023-01-20T00:00:00"/>
    <s v="CUST0289"/>
    <s v="Suresh"/>
    <s v="Bangalore"/>
    <s v="Karnataka"/>
    <x v="0"/>
    <x v="0"/>
    <s v="Kitchen"/>
    <n v="6136"/>
    <n v="7840.4567621287106"/>
    <n v="3"/>
    <n v="20"/>
    <n v="18817.096229108905"/>
    <n v="18408"/>
    <n v="409.09622910890539"/>
    <s v="UPI"/>
    <x v="0"/>
    <d v="2023-01-30T00:00:00"/>
    <n v="6"/>
    <n v="3"/>
    <x v="0"/>
  </r>
  <r>
    <s v="ORD00479"/>
    <d v="2023-01-20T00:00:00"/>
    <s v="CUST0225"/>
    <s v="Divya"/>
    <s v="Bangalore"/>
    <s v="Karnataka"/>
    <x v="7"/>
    <x v="3"/>
    <s v="Skincare"/>
    <n v="309"/>
    <n v="350.20774549898516"/>
    <n v="2"/>
    <n v="5"/>
    <n v="665.39471644807179"/>
    <n v="618"/>
    <n v="47.39471644807179"/>
    <s v="Debit Card"/>
    <x v="0"/>
    <d v="2023-01-29T00:00:00"/>
    <n v="5"/>
    <n v="4"/>
    <x v="0"/>
  </r>
  <r>
    <s v="ORD00624"/>
    <d v="2023-01-20T00:00:00"/>
    <s v="CUST0239"/>
    <s v="Pooja"/>
    <s v="Ahmedabad"/>
    <s v="Gujarat"/>
    <x v="7"/>
    <x v="3"/>
    <s v="Skincare"/>
    <n v="417"/>
    <n v="454.85067983468082"/>
    <n v="2"/>
    <n v="5"/>
    <n v="864.21629168589357"/>
    <n v="834"/>
    <n v="30.216291685893566"/>
    <s v="Credit Card"/>
    <x v="1"/>
    <m/>
    <n v="8"/>
    <n v="2"/>
    <x v="1"/>
  </r>
  <r>
    <s v="ORD00883"/>
    <d v="2023-01-20T00:00:00"/>
    <s v="CUST0291"/>
    <s v="Deepika"/>
    <s v="Pune"/>
    <s v="Maharashtra"/>
    <x v="5"/>
    <x v="0"/>
    <s v="Furniture"/>
    <n v="40581"/>
    <n v="63368.196993956568"/>
    <n v="3"/>
    <n v="15"/>
    <n v="161588.90233458925"/>
    <n v="121743"/>
    <n v="39845.902334589249"/>
    <s v="Credit Card"/>
    <x v="1"/>
    <m/>
    <n v="9"/>
    <n v="1"/>
    <x v="1"/>
  </r>
  <r>
    <s v="ORD00290"/>
    <d v="2023-01-21T00:00:00"/>
    <s v="CUST0167"/>
    <s v="Meena"/>
    <s v="Kolkata"/>
    <s v="West Bengal"/>
    <x v="2"/>
    <x v="1"/>
    <s v="Women"/>
    <n v="1856"/>
    <n v="2644.9998000424366"/>
    <n v="2"/>
    <n v="20"/>
    <n v="4231.9996800678991"/>
    <n v="3712"/>
    <n v="519.99968006789913"/>
    <s v="Debit Card"/>
    <x v="0"/>
    <d v="2023-01-31T00:00:00"/>
    <n v="6"/>
    <n v="2"/>
    <x v="0"/>
  </r>
  <r>
    <s v="ORD00421"/>
    <d v="2023-01-21T00:00:00"/>
    <s v="CUST0257"/>
    <s v="Neha"/>
    <s v="Mumbai"/>
    <s v="Maharashtra"/>
    <x v="6"/>
    <x v="1"/>
    <s v="Men"/>
    <n v="1102"/>
    <n v="1233.5813827866255"/>
    <n v="2"/>
    <n v="0"/>
    <n v="2467.1627655732509"/>
    <n v="2204"/>
    <n v="263.16276557325091"/>
    <s v="Debit Card"/>
    <x v="0"/>
    <d v="2023-01-29T00:00:00"/>
    <n v="5"/>
    <n v="2"/>
    <x v="0"/>
  </r>
  <r>
    <s v="ORD01126"/>
    <d v="2023-01-22T00:00:00"/>
    <s v="CUST0001"/>
    <s v="Meena"/>
    <s v="Kolkata"/>
    <s v="West Bengal"/>
    <x v="8"/>
    <x v="3"/>
    <s v="Fragrance"/>
    <n v="947"/>
    <n v="1455.7020799066488"/>
    <n v="5"/>
    <n v="10"/>
    <n v="6550.6593595799195"/>
    <n v="4735"/>
    <n v="1815.6593595799195"/>
    <s v="COD"/>
    <x v="0"/>
    <d v="2023-01-31T00:00:00"/>
    <n v="5"/>
    <n v="4"/>
    <x v="0"/>
  </r>
  <r>
    <s v="ORD00241"/>
    <d v="2023-01-23T00:00:00"/>
    <s v="CUST0285"/>
    <s v="Rohit"/>
    <s v="Pune"/>
    <s v="Maharashtra"/>
    <x v="4"/>
    <x v="1"/>
    <s v="Footwear"/>
    <n v="1443"/>
    <n v="2385.5567808093497"/>
    <n v="4"/>
    <n v="0"/>
    <n v="9542.2271232373987"/>
    <n v="5772"/>
    <n v="3770.2271232373987"/>
    <s v="UPI"/>
    <x v="0"/>
    <d v="2023-02-03T00:00:00"/>
    <n v="6"/>
    <n v="2"/>
    <x v="0"/>
  </r>
  <r>
    <s v="ORD00267"/>
    <d v="2023-01-23T00:00:00"/>
    <s v="CUST0114"/>
    <s v="Nikhil"/>
    <s v="Mumbai"/>
    <s v="Maharashtra"/>
    <x v="11"/>
    <x v="2"/>
    <s v="Computers"/>
    <n v="41686"/>
    <n v="58852.79834539006"/>
    <n v="5"/>
    <n v="5"/>
    <n v="279550.79214060277"/>
    <n v="208430"/>
    <n v="71120.792140602774"/>
    <s v="Credit Card"/>
    <x v="0"/>
    <d v="2023-02-03T00:00:00"/>
    <n v="4"/>
    <n v="4"/>
    <x v="0"/>
  </r>
  <r>
    <s v="ORD00543"/>
    <d v="2023-01-23T00:00:00"/>
    <s v="CUST0031"/>
    <s v="Priya"/>
    <s v="Kolkata"/>
    <s v="West Bengal"/>
    <x v="3"/>
    <x v="2"/>
    <s v="Accessories"/>
    <n v="1186"/>
    <n v="2095.6786265502096"/>
    <n v="5"/>
    <n v="15"/>
    <n v="8906.6341628383907"/>
    <n v="5930"/>
    <n v="2976.6341628383907"/>
    <s v="UPI"/>
    <x v="1"/>
    <m/>
    <n v="10"/>
    <n v="1"/>
    <x v="1"/>
  </r>
  <r>
    <s v="ORD00600"/>
    <d v="2023-01-23T00:00:00"/>
    <s v="CUST0054"/>
    <s v="Rohit"/>
    <s v="Mumbai"/>
    <s v="Maharashtra"/>
    <x v="8"/>
    <x v="3"/>
    <s v="Fragrance"/>
    <n v="723"/>
    <n v="1081.6977255269592"/>
    <n v="5"/>
    <n v="5"/>
    <n v="5138.0641962530563"/>
    <n v="3615"/>
    <n v="1523.0641962530563"/>
    <s v="Debit Card"/>
    <x v="0"/>
    <d v="2023-02-02T00:00:00"/>
    <n v="6"/>
    <n v="2"/>
    <x v="0"/>
  </r>
  <r>
    <s v="ORD01175"/>
    <d v="2023-01-24T00:00:00"/>
    <s v="CUST0164"/>
    <s v="Suresh"/>
    <s v="Kolkata"/>
    <s v="West Bengal"/>
    <x v="8"/>
    <x v="3"/>
    <s v="Fragrance"/>
    <n v="544"/>
    <n v="815.51646740640092"/>
    <n v="3"/>
    <n v="15"/>
    <n v="2079.5669918863223"/>
    <n v="1632"/>
    <n v="447.56699188632228"/>
    <s v="COD"/>
    <x v="0"/>
    <d v="2023-02-01T00:00:00"/>
    <n v="4"/>
    <n v="2"/>
    <x v="0"/>
  </r>
  <r>
    <s v="ORD00012"/>
    <d v="2023-01-25T00:00:00"/>
    <s v="CUST0015"/>
    <s v="Arjun"/>
    <s v="Ahmedabad"/>
    <s v="Gujarat"/>
    <x v="3"/>
    <x v="2"/>
    <s v="Accessories"/>
    <n v="979"/>
    <n v="1111.5803945359166"/>
    <n v="5"/>
    <n v="0"/>
    <n v="5557.9019726795832"/>
    <n v="4895"/>
    <n v="662.9019726795832"/>
    <s v="UPI"/>
    <x v="1"/>
    <m/>
    <n v="8"/>
    <n v="3"/>
    <x v="1"/>
  </r>
  <r>
    <s v="ORD00265"/>
    <d v="2023-01-25T00:00:00"/>
    <s v="CUST0287"/>
    <s v="Neha"/>
    <s v="Mumbai"/>
    <s v="Maharashtra"/>
    <x v="10"/>
    <x v="2"/>
    <s v="Mobile"/>
    <n v="71901"/>
    <n v="73990.04884530975"/>
    <n v="3"/>
    <n v="0"/>
    <n v="221970.14653592923"/>
    <n v="215703"/>
    <n v="6267.1465359292342"/>
    <s v="Debit Card"/>
    <x v="0"/>
    <d v="2023-01-30T00:00:00"/>
    <n v="1"/>
    <n v="5"/>
    <x v="0"/>
  </r>
  <r>
    <s v="ORD00435"/>
    <d v="2023-01-25T00:00:00"/>
    <s v="CUST0124"/>
    <s v="Vikram"/>
    <s v="Bangalore"/>
    <s v="Karnataka"/>
    <x v="5"/>
    <x v="0"/>
    <s v="Furniture"/>
    <n v="23281"/>
    <n v="30173.560422211754"/>
    <n v="1"/>
    <n v="10"/>
    <n v="27156.20437999058"/>
    <n v="23281"/>
    <n v="3875.2043799905805"/>
    <s v="COD"/>
    <x v="1"/>
    <m/>
    <n v="9"/>
    <n v="1"/>
    <x v="1"/>
  </r>
  <r>
    <s v="ORD00678"/>
    <d v="2023-01-25T00:00:00"/>
    <s v="CUST0183"/>
    <s v="Kavya"/>
    <s v="Mumbai"/>
    <s v="Maharashtra"/>
    <x v="3"/>
    <x v="2"/>
    <s v="Accessories"/>
    <n v="1803"/>
    <n v="3042.4848081011373"/>
    <n v="2"/>
    <n v="5"/>
    <n v="5780.7211353921602"/>
    <n v="3606"/>
    <n v="2174.7211353921602"/>
    <s v="Debit Card"/>
    <x v="1"/>
    <m/>
    <n v="10"/>
    <n v="1"/>
    <x v="1"/>
  </r>
  <r>
    <s v="ORD00869"/>
    <d v="2023-01-25T00:00:00"/>
    <s v="CUST0045"/>
    <s v="Nikhil"/>
    <s v="Chennai"/>
    <s v="Tamil Nadu"/>
    <x v="6"/>
    <x v="1"/>
    <s v="Men"/>
    <n v="1492"/>
    <n v="1734.8306776285315"/>
    <n v="3"/>
    <n v="10"/>
    <n v="4684.0428295970351"/>
    <n v="4476"/>
    <n v="208.04282959703505"/>
    <s v="Credit Card"/>
    <x v="0"/>
    <d v="2023-02-06T00:00:00"/>
    <n v="8"/>
    <n v="4"/>
    <x v="2"/>
  </r>
  <r>
    <s v="ORD01073"/>
    <d v="2023-01-25T00:00:00"/>
    <s v="CUST0131"/>
    <s v="Rahul"/>
    <s v="Hyderabad"/>
    <s v="Telangana"/>
    <x v="7"/>
    <x v="3"/>
    <s v="Skincare"/>
    <n v="514"/>
    <n v="863.92382727888514"/>
    <n v="1"/>
    <n v="10"/>
    <n v="777.53144455099664"/>
    <n v="514"/>
    <n v="263.53144455099664"/>
    <s v="COD"/>
    <x v="0"/>
    <d v="2023-02-03T00:00:00"/>
    <n v="4"/>
    <n v="2"/>
    <x v="0"/>
  </r>
  <r>
    <s v="ORD00097"/>
    <d v="2023-01-26T00:00:00"/>
    <s v="CUST0216"/>
    <s v="Swathi"/>
    <s v="Pune"/>
    <s v="Maharashtra"/>
    <x v="8"/>
    <x v="3"/>
    <s v="Fragrance"/>
    <n v="678"/>
    <n v="910.62039290265852"/>
    <n v="5"/>
    <n v="5"/>
    <n v="4325.4468662876279"/>
    <n v="3390"/>
    <n v="935.44686628762793"/>
    <s v="Credit Card"/>
    <x v="1"/>
    <m/>
    <n v="7"/>
    <n v="4"/>
    <x v="1"/>
  </r>
  <r>
    <s v="ORD00889"/>
    <d v="2023-01-26T00:00:00"/>
    <s v="CUST0132"/>
    <s v="Neha"/>
    <s v="Bangalore"/>
    <s v="Karnataka"/>
    <x v="11"/>
    <x v="2"/>
    <s v="Computers"/>
    <n v="31117"/>
    <n v="53014.664425501869"/>
    <n v="3"/>
    <n v="10"/>
    <n v="143139.59394885506"/>
    <n v="93351"/>
    <n v="49788.593948855065"/>
    <s v="Credit Card"/>
    <x v="1"/>
    <m/>
    <n v="7"/>
    <n v="4"/>
    <x v="1"/>
  </r>
  <r>
    <s v="ORD00626"/>
    <d v="2023-01-27T00:00:00"/>
    <s v="CUST0057"/>
    <s v="Nikhil"/>
    <s v="Hyderabad"/>
    <s v="Telangana"/>
    <x v="11"/>
    <x v="2"/>
    <s v="Computers"/>
    <n v="45428"/>
    <n v="66121.672318255325"/>
    <n v="1"/>
    <n v="10"/>
    <n v="59509.505086429795"/>
    <n v="45428"/>
    <n v="14081.505086429795"/>
    <s v="UPI"/>
    <x v="1"/>
    <m/>
    <n v="10"/>
    <n v="1"/>
    <x v="1"/>
  </r>
  <r>
    <s v="ORD00736"/>
    <d v="2023-01-27T00:00:00"/>
    <s v="CUST0025"/>
    <s v="Anjali"/>
    <s v="Pune"/>
    <s v="Maharashtra"/>
    <x v="7"/>
    <x v="3"/>
    <s v="Skincare"/>
    <n v="209"/>
    <n v="350.79626185652967"/>
    <n v="2"/>
    <n v="15"/>
    <n v="596.35364515610047"/>
    <n v="418"/>
    <n v="178.35364515610047"/>
    <s v="COD"/>
    <x v="0"/>
    <d v="2023-02-07T00:00:00"/>
    <n v="6"/>
    <n v="2"/>
    <x v="0"/>
  </r>
  <r>
    <s v="ORD00906"/>
    <d v="2023-01-27T00:00:00"/>
    <s v="CUST0054"/>
    <s v="Neha"/>
    <s v="Hyderabad"/>
    <s v="Telangana"/>
    <x v="9"/>
    <x v="2"/>
    <s v="TV"/>
    <n v="25798"/>
    <n v="28104.20097259419"/>
    <n v="1"/>
    <n v="20"/>
    <n v="22483.360778075352"/>
    <n v="25798"/>
    <n v="-3314.6392219246482"/>
    <s v="UPI"/>
    <x v="0"/>
    <d v="2023-02-05T00:00:00"/>
    <n v="4"/>
    <n v="2"/>
    <x v="0"/>
  </r>
  <r>
    <s v="ORD01101"/>
    <d v="2023-01-27T00:00:00"/>
    <s v="CUST0185"/>
    <s v="Kiran"/>
    <s v="Hyderabad"/>
    <s v="Telangana"/>
    <x v="7"/>
    <x v="3"/>
    <s v="Skincare"/>
    <n v="299"/>
    <n v="339.40116877075627"/>
    <n v="1"/>
    <n v="5"/>
    <n v="322.43111033221845"/>
    <n v="299"/>
    <n v="23.431110332218452"/>
    <s v="Credit Card"/>
    <x v="1"/>
    <m/>
    <n v="10"/>
    <n v="1"/>
    <x v="1"/>
  </r>
  <r>
    <s v="ORD00057"/>
    <d v="2023-01-28T00:00:00"/>
    <s v="CUST0243"/>
    <s v="Divya"/>
    <s v="Pune"/>
    <s v="Maharashtra"/>
    <x v="8"/>
    <x v="3"/>
    <s v="Fragrance"/>
    <n v="857"/>
    <n v="1104.0597813089828"/>
    <n v="2"/>
    <n v="10"/>
    <n v="1987.3076063561691"/>
    <n v="1714"/>
    <n v="273.30760635616912"/>
    <s v="Debit Card"/>
    <x v="0"/>
    <d v="2023-02-03T00:00:00"/>
    <n v="2"/>
    <n v="5"/>
    <x v="0"/>
  </r>
  <r>
    <s v="ORD01051"/>
    <d v="2023-01-29T00:00:00"/>
    <s v="CUST0120"/>
    <s v="Amit"/>
    <s v="Delhi"/>
    <s v="Delhi"/>
    <x v="6"/>
    <x v="1"/>
    <s v="Men"/>
    <n v="945"/>
    <n v="1080.6695628898763"/>
    <n v="2"/>
    <n v="10"/>
    <n v="1945.2052132017773"/>
    <n v="1890"/>
    <n v="55.205213201777269"/>
    <s v="UPI"/>
    <x v="1"/>
    <m/>
    <n v="10"/>
    <n v="1"/>
    <x v="1"/>
  </r>
  <r>
    <s v="ORD00842"/>
    <d v="2023-01-30T00:00:00"/>
    <s v="CUST0031"/>
    <s v="Deepika"/>
    <s v="Mumbai"/>
    <s v="Maharashtra"/>
    <x v="4"/>
    <x v="1"/>
    <s v="Footwear"/>
    <n v="2666"/>
    <n v="4039.9621003479783"/>
    <n v="4"/>
    <n v="0"/>
    <n v="16159.848401391913"/>
    <n v="10664"/>
    <n v="5495.8484013919133"/>
    <s v="UPI"/>
    <x v="1"/>
    <m/>
    <n v="9"/>
    <n v="1"/>
    <x v="1"/>
  </r>
  <r>
    <s v="ORD01063"/>
    <d v="2023-01-30T00:00:00"/>
    <s v="CUST0024"/>
    <s v="Kiran"/>
    <s v="Mumbai"/>
    <s v="Maharashtra"/>
    <x v="7"/>
    <x v="3"/>
    <s v="Skincare"/>
    <n v="582"/>
    <n v="785.33755736920818"/>
    <n v="4"/>
    <n v="0"/>
    <n v="3141.3502294768327"/>
    <n v="2328"/>
    <n v="813.35022947683274"/>
    <s v="Debit Card"/>
    <x v="1"/>
    <m/>
    <n v="7"/>
    <n v="4"/>
    <x v="1"/>
  </r>
  <r>
    <s v="ORD00255"/>
    <d v="2023-01-31T00:00:00"/>
    <s v="CUST0010"/>
    <s v="Nikhil"/>
    <s v="Bangalore"/>
    <s v="Karnataka"/>
    <x v="11"/>
    <x v="2"/>
    <s v="Computers"/>
    <n v="40808"/>
    <n v="70155.431348076556"/>
    <n v="4"/>
    <n v="0"/>
    <n v="280621.72539230622"/>
    <n v="163232"/>
    <n v="117389.72539230622"/>
    <s v="UPI"/>
    <x v="1"/>
    <m/>
    <n v="9"/>
    <n v="1"/>
    <x v="1"/>
  </r>
  <r>
    <s v="ORD00027"/>
    <d v="2023-02-01T00:00:00"/>
    <s v="CUST0286"/>
    <s v="Neha"/>
    <s v="Hyderabad"/>
    <s v="Telangana"/>
    <x v="0"/>
    <x v="0"/>
    <s v="Kitchen"/>
    <n v="3464"/>
    <n v="5180.0659152495682"/>
    <n v="4"/>
    <n v="10"/>
    <n v="18648.237294898445"/>
    <n v="13856"/>
    <n v="4792.2372948984448"/>
    <s v="COD"/>
    <x v="0"/>
    <d v="2023-02-09T00:00:00"/>
    <n v="1"/>
    <n v="5"/>
    <x v="0"/>
  </r>
  <r>
    <s v="ORD00442"/>
    <d v="2023-02-01T00:00:00"/>
    <s v="CUST0009"/>
    <s v="Deepika"/>
    <s v="Bangalore"/>
    <s v="Karnataka"/>
    <x v="5"/>
    <x v="0"/>
    <s v="Furniture"/>
    <n v="26453"/>
    <n v="46272.756057965053"/>
    <n v="1"/>
    <n v="5"/>
    <n v="43959.118255066795"/>
    <n v="26453"/>
    <n v="17506.118255066795"/>
    <s v="Debit Card"/>
    <x v="0"/>
    <d v="2023-02-08T00:00:00"/>
    <n v="1"/>
    <n v="5"/>
    <x v="0"/>
  </r>
  <r>
    <s v="ORD00619"/>
    <d v="2023-02-01T00:00:00"/>
    <s v="CUST0209"/>
    <s v="Pooja"/>
    <s v="Delhi"/>
    <s v="Delhi"/>
    <x v="2"/>
    <x v="1"/>
    <s v="Women"/>
    <n v="1648"/>
    <n v="2593.6724761198561"/>
    <n v="1"/>
    <n v="10"/>
    <n v="2334.3052285078707"/>
    <n v="1648"/>
    <n v="686.30522850787065"/>
    <s v="UPI"/>
    <x v="0"/>
    <d v="2023-02-14T00:00:00"/>
    <n v="6"/>
    <n v="4"/>
    <x v="2"/>
  </r>
  <r>
    <s v="ORD00785"/>
    <d v="2023-02-01T00:00:00"/>
    <s v="CUST0082"/>
    <s v="Amit"/>
    <s v="Delhi"/>
    <s v="Delhi"/>
    <x v="2"/>
    <x v="1"/>
    <s v="Women"/>
    <n v="1853"/>
    <n v="1864.2706225794461"/>
    <n v="4"/>
    <n v="10"/>
    <n v="6711.3742412860065"/>
    <n v="7412"/>
    <n v="-700.62575871399349"/>
    <s v="Credit Card"/>
    <x v="1"/>
    <m/>
    <n v="8"/>
    <n v="4"/>
    <x v="1"/>
  </r>
  <r>
    <s v="ORD00909"/>
    <d v="2023-02-01T00:00:00"/>
    <s v="CUST0246"/>
    <s v="Divya"/>
    <s v="Pune"/>
    <s v="Maharashtra"/>
    <x v="11"/>
    <x v="2"/>
    <s v="Computers"/>
    <n v="44124"/>
    <n v="44892.851152164985"/>
    <n v="2"/>
    <n v="20"/>
    <n v="71828.561843463976"/>
    <n v="88248"/>
    <n v="-16419.438156536024"/>
    <s v="COD"/>
    <x v="0"/>
    <d v="2023-02-14T00:00:00"/>
    <n v="6"/>
    <n v="2"/>
    <x v="0"/>
  </r>
  <r>
    <s v="ORD00992"/>
    <d v="2023-02-01T00:00:00"/>
    <s v="CUST0009"/>
    <s v="Neha"/>
    <s v="Hyderabad"/>
    <s v="Telangana"/>
    <x v="2"/>
    <x v="1"/>
    <s v="Women"/>
    <n v="698"/>
    <n v="1250.801917349102"/>
    <n v="1"/>
    <n v="15"/>
    <n v="1063.1816297467367"/>
    <n v="698"/>
    <n v="365.18162974673669"/>
    <s v="Credit Card"/>
    <x v="1"/>
    <m/>
    <n v="9"/>
    <n v="1"/>
    <x v="1"/>
  </r>
  <r>
    <s v="ORD01001"/>
    <d v="2023-02-01T00:00:00"/>
    <s v="CUST0202"/>
    <s v="Manoj"/>
    <s v="Kolkata"/>
    <s v="West Bengal"/>
    <x v="6"/>
    <x v="1"/>
    <s v="Men"/>
    <n v="1161"/>
    <n v="1946.655472088529"/>
    <n v="2"/>
    <n v="20"/>
    <n v="3114.6487553416464"/>
    <n v="2322"/>
    <n v="792.64875534164639"/>
    <s v="Debit Card"/>
    <x v="0"/>
    <d v="2023-02-12T00:00:00"/>
    <n v="6"/>
    <n v="4"/>
    <x v="2"/>
  </r>
  <r>
    <s v="ORD00096"/>
    <d v="2023-02-02T00:00:00"/>
    <s v="CUST0085"/>
    <s v="Suresh"/>
    <s v="Mumbai"/>
    <s v="Maharashtra"/>
    <x v="9"/>
    <x v="2"/>
    <s v="TV"/>
    <n v="48512"/>
    <n v="78496.947544577561"/>
    <n v="2"/>
    <n v="15"/>
    <n v="133444.81082578184"/>
    <n v="97024"/>
    <n v="36420.810825781839"/>
    <s v="Credit Card"/>
    <x v="1"/>
    <m/>
    <n v="10"/>
    <n v="1"/>
    <x v="1"/>
  </r>
  <r>
    <s v="ORD00570"/>
    <d v="2023-02-02T00:00:00"/>
    <s v="CUST0145"/>
    <s v="Swathi"/>
    <s v="Delhi"/>
    <s v="Delhi"/>
    <x v="8"/>
    <x v="3"/>
    <s v="Fragrance"/>
    <n v="801"/>
    <n v="1387.1424829511309"/>
    <n v="4"/>
    <n v="0"/>
    <n v="5548.5699318045235"/>
    <n v="3204"/>
    <n v="2344.5699318045235"/>
    <s v="COD"/>
    <x v="0"/>
    <d v="2023-02-12T00:00:00"/>
    <n v="6"/>
    <n v="2"/>
    <x v="0"/>
  </r>
  <r>
    <s v="ORD00613"/>
    <d v="2023-02-02T00:00:00"/>
    <s v="CUST0081"/>
    <s v="Neha"/>
    <s v="Delhi"/>
    <s v="Delhi"/>
    <x v="9"/>
    <x v="2"/>
    <s v="TV"/>
    <n v="76866"/>
    <n v="83397.466167244071"/>
    <n v="2"/>
    <n v="5"/>
    <n v="158455.18571776373"/>
    <n v="153732"/>
    <n v="4723.1857177637285"/>
    <s v="COD"/>
    <x v="0"/>
    <d v="2023-02-11T00:00:00"/>
    <n v="2"/>
    <n v="5"/>
    <x v="0"/>
  </r>
  <r>
    <s v="ORD00781"/>
    <d v="2023-02-02T00:00:00"/>
    <s v="CUST0133"/>
    <s v="Rohit"/>
    <s v="Kolkata"/>
    <s v="West Bengal"/>
    <x v="6"/>
    <x v="1"/>
    <s v="Men"/>
    <n v="845"/>
    <n v="1143.348386227183"/>
    <n v="3"/>
    <n v="5"/>
    <n v="3258.5429007474713"/>
    <n v="2535"/>
    <n v="723.54290074747132"/>
    <s v="Debit Card"/>
    <x v="0"/>
    <d v="2023-02-08T00:00:00"/>
    <n v="3"/>
    <n v="3"/>
    <x v="0"/>
  </r>
  <r>
    <s v="ORD00880"/>
    <d v="2023-02-02T00:00:00"/>
    <s v="CUST0133"/>
    <s v="Neha"/>
    <s v="Chennai"/>
    <s v="Tamil Nadu"/>
    <x v="0"/>
    <x v="0"/>
    <s v="Kitchen"/>
    <n v="4178"/>
    <n v="5738.0316821968627"/>
    <n v="4"/>
    <n v="10"/>
    <n v="20656.914055908706"/>
    <n v="16712"/>
    <n v="3944.9140559087064"/>
    <s v="COD"/>
    <x v="0"/>
    <d v="2023-02-12T00:00:00"/>
    <n v="3"/>
    <n v="2"/>
    <x v="0"/>
  </r>
  <r>
    <s v="ORD01169"/>
    <d v="2023-02-02T00:00:00"/>
    <s v="CUST0243"/>
    <s v="Deepika"/>
    <s v="Pune"/>
    <s v="Maharashtra"/>
    <x v="4"/>
    <x v="1"/>
    <s v="Footwear"/>
    <n v="2408"/>
    <n v="3055.7128191121651"/>
    <n v="4"/>
    <n v="20"/>
    <n v="9778.2810211589294"/>
    <n v="9632"/>
    <n v="146.28102115892943"/>
    <s v="Debit Card"/>
    <x v="1"/>
    <m/>
    <n v="8"/>
    <n v="2"/>
    <x v="1"/>
  </r>
  <r>
    <s v="ORD00247"/>
    <d v="2023-02-03T00:00:00"/>
    <s v="CUST0227"/>
    <s v="Rahul"/>
    <s v="Chennai"/>
    <s v="Tamil Nadu"/>
    <x v="2"/>
    <x v="1"/>
    <s v="Women"/>
    <n v="947"/>
    <n v="1565.133445375189"/>
    <n v="2"/>
    <n v="15"/>
    <n v="2660.7268571378213"/>
    <n v="1894"/>
    <n v="766.7268571378213"/>
    <s v="UPI"/>
    <x v="0"/>
    <d v="2023-02-11T00:00:00"/>
    <n v="4"/>
    <n v="3"/>
    <x v="0"/>
  </r>
  <r>
    <s v="ORD00555"/>
    <d v="2023-02-03T00:00:00"/>
    <s v="CUST0155"/>
    <s v="Rahul"/>
    <s v="Hyderabad"/>
    <s v="Telangana"/>
    <x v="3"/>
    <x v="2"/>
    <s v="Accessories"/>
    <n v="546"/>
    <n v="569.94878651665874"/>
    <n v="3"/>
    <n v="5"/>
    <n v="1624.3540415724772"/>
    <n v="1638"/>
    <n v="-13.645958427522828"/>
    <s v="UPI"/>
    <x v="1"/>
    <m/>
    <n v="10"/>
    <n v="1"/>
    <x v="1"/>
  </r>
  <r>
    <s v="ORD01035"/>
    <d v="2023-02-03T00:00:00"/>
    <s v="CUST0107"/>
    <s v="Kavya"/>
    <s v="Kolkata"/>
    <s v="West Bengal"/>
    <x v="9"/>
    <x v="2"/>
    <s v="TV"/>
    <n v="54914"/>
    <n v="84723.78246143047"/>
    <n v="4"/>
    <n v="0"/>
    <n v="338895.12984572188"/>
    <n v="219656"/>
    <n v="119239.12984572188"/>
    <s v="COD"/>
    <x v="0"/>
    <d v="2023-02-12T00:00:00"/>
    <n v="3"/>
    <n v="3"/>
    <x v="0"/>
  </r>
  <r>
    <s v="ORD00209"/>
    <d v="2023-02-04T00:00:00"/>
    <s v="CUST0260"/>
    <s v="Kiran"/>
    <s v="Chennai"/>
    <s v="Tamil Nadu"/>
    <x v="2"/>
    <x v="1"/>
    <s v="Women"/>
    <n v="911"/>
    <n v="1511.1999786412111"/>
    <n v="3"/>
    <n v="20"/>
    <n v="3626.8799487389074"/>
    <n v="2733"/>
    <n v="893.87994873890739"/>
    <s v="COD"/>
    <x v="0"/>
    <d v="2023-02-15T00:00:00"/>
    <n v="5"/>
    <n v="4"/>
    <x v="0"/>
  </r>
  <r>
    <s v="ORD00263"/>
    <d v="2023-02-04T00:00:00"/>
    <s v="CUST0011"/>
    <s v="Deepika"/>
    <s v="Delhi"/>
    <s v="Delhi"/>
    <x v="5"/>
    <x v="0"/>
    <s v="Furniture"/>
    <n v="42996"/>
    <n v="67590.125924891807"/>
    <n v="3"/>
    <n v="20"/>
    <n v="162216.30221974035"/>
    <n v="128988"/>
    <n v="33228.302219740348"/>
    <s v="Debit Card"/>
    <x v="0"/>
    <d v="2023-02-11T00:00:00"/>
    <n v="1"/>
    <n v="4"/>
    <x v="0"/>
  </r>
  <r>
    <s v="ORD00549"/>
    <d v="2023-02-04T00:00:00"/>
    <s v="CUST0052"/>
    <s v="Sneha"/>
    <s v="Pune"/>
    <s v="Maharashtra"/>
    <x v="4"/>
    <x v="1"/>
    <s v="Footwear"/>
    <n v="2205"/>
    <n v="3014.2853706076448"/>
    <n v="2"/>
    <n v="0"/>
    <n v="6028.5707412152897"/>
    <n v="4410"/>
    <n v="1618.5707412152897"/>
    <s v="UPI"/>
    <x v="0"/>
    <d v="2023-02-13T00:00:00"/>
    <n v="4"/>
    <n v="4"/>
    <x v="0"/>
  </r>
  <r>
    <s v="ORD00538"/>
    <d v="2023-02-05T00:00:00"/>
    <s v="CUST0014"/>
    <s v="Suresh"/>
    <s v="Hyderabad"/>
    <s v="Telangana"/>
    <x v="9"/>
    <x v="2"/>
    <s v="TV"/>
    <n v="74729"/>
    <n v="81429.721261928978"/>
    <n v="2"/>
    <n v="10"/>
    <n v="146573.49827147217"/>
    <n v="149458"/>
    <n v="-2884.50172852783"/>
    <s v="COD"/>
    <x v="1"/>
    <m/>
    <n v="7"/>
    <n v="2"/>
    <x v="1"/>
  </r>
  <r>
    <s v="ORD00768"/>
    <d v="2023-02-05T00:00:00"/>
    <s v="CUST0100"/>
    <s v="Kiran"/>
    <s v="Bangalore"/>
    <s v="Karnataka"/>
    <x v="9"/>
    <x v="2"/>
    <s v="TV"/>
    <n v="34700"/>
    <n v="49649.927849957567"/>
    <n v="5"/>
    <n v="10"/>
    <n v="223424.67532480907"/>
    <n v="173500"/>
    <n v="49924.675324809068"/>
    <s v="Credit Card"/>
    <x v="1"/>
    <m/>
    <n v="7"/>
    <n v="4"/>
    <x v="1"/>
  </r>
  <r>
    <s v="ORD00797"/>
    <d v="2023-02-05T00:00:00"/>
    <s v="CUST0178"/>
    <s v="Ramesh"/>
    <s v="Bangalore"/>
    <s v="Karnataka"/>
    <x v="10"/>
    <x v="2"/>
    <s v="Mobile"/>
    <n v="74029"/>
    <n v="86139.926332229938"/>
    <n v="4"/>
    <n v="10"/>
    <n v="310103.73479602777"/>
    <n v="296116"/>
    <n v="13987.734796027769"/>
    <s v="Credit Card"/>
    <x v="0"/>
    <d v="2023-02-17T00:00:00"/>
    <n v="5"/>
    <n v="3"/>
    <x v="0"/>
  </r>
  <r>
    <s v="ORD01130"/>
    <d v="2023-02-05T00:00:00"/>
    <s v="CUST0032"/>
    <s v="Kavya"/>
    <s v="Mumbai"/>
    <s v="Maharashtra"/>
    <x v="2"/>
    <x v="1"/>
    <s v="Women"/>
    <n v="1812"/>
    <n v="2021.8290292315389"/>
    <n v="4"/>
    <n v="20"/>
    <n v="6469.8528935409249"/>
    <n v="7248"/>
    <n v="-778.14710645907508"/>
    <s v="COD"/>
    <x v="0"/>
    <d v="2023-02-17T00:00:00"/>
    <n v="5"/>
    <n v="3"/>
    <x v="0"/>
  </r>
  <r>
    <s v="ORD01181"/>
    <d v="2023-02-05T00:00:00"/>
    <s v="CUST0265"/>
    <s v="Rahul"/>
    <s v="Hyderabad"/>
    <s v="Telangana"/>
    <x v="1"/>
    <x v="1"/>
    <s v="Men"/>
    <n v="594"/>
    <n v="1053.1842836372707"/>
    <n v="4"/>
    <n v="10"/>
    <n v="3791.4634210941745"/>
    <n v="2376"/>
    <n v="1415.4634210941745"/>
    <s v="Debit Card"/>
    <x v="0"/>
    <d v="2023-02-15T00:00:00"/>
    <n v="5"/>
    <n v="4"/>
    <x v="0"/>
  </r>
  <r>
    <s v="ORD00665"/>
    <d v="2023-02-06T00:00:00"/>
    <s v="CUST0024"/>
    <s v="Nikhil"/>
    <s v="Ahmedabad"/>
    <s v="Gujarat"/>
    <x v="11"/>
    <x v="2"/>
    <s v="Computers"/>
    <n v="32091"/>
    <n v="54613.750396159616"/>
    <n v="4"/>
    <n v="20"/>
    <n v="174764.00126771079"/>
    <n v="128364"/>
    <n v="46400.001267710788"/>
    <s v="UPI"/>
    <x v="0"/>
    <d v="2023-02-13T00:00:00"/>
    <n v="1"/>
    <n v="4"/>
    <x v="0"/>
  </r>
  <r>
    <s v="ORD00771"/>
    <d v="2023-02-06T00:00:00"/>
    <s v="CUST0135"/>
    <s v="Kiran"/>
    <s v="Pune"/>
    <s v="Maharashtra"/>
    <x v="1"/>
    <x v="1"/>
    <s v="Men"/>
    <n v="297"/>
    <n v="407.57759421271982"/>
    <n v="3"/>
    <n v="10"/>
    <n v="1100.4595043743436"/>
    <n v="891"/>
    <n v="209.45950437434362"/>
    <s v="UPI"/>
    <x v="0"/>
    <d v="2023-02-11T00:00:00"/>
    <n v="1"/>
    <n v="4"/>
    <x v="0"/>
  </r>
  <r>
    <s v="ORD01018"/>
    <d v="2023-02-06T00:00:00"/>
    <s v="CUST0148"/>
    <s v="Rahul"/>
    <s v="Ahmedabad"/>
    <s v="Gujarat"/>
    <x v="7"/>
    <x v="3"/>
    <s v="Skincare"/>
    <n v="468"/>
    <n v="832.92138596336576"/>
    <n v="4"/>
    <n v="15"/>
    <n v="2831.9327122754435"/>
    <n v="1872"/>
    <n v="959.93271227544346"/>
    <s v="Debit Card"/>
    <x v="0"/>
    <d v="2023-02-15T00:00:00"/>
    <n v="5"/>
    <n v="4"/>
    <x v="0"/>
  </r>
  <r>
    <s v="ORD01028"/>
    <d v="2023-02-07T00:00:00"/>
    <s v="CUST0132"/>
    <s v="Manoj"/>
    <s v="Delhi"/>
    <s v="Delhi"/>
    <x v="0"/>
    <x v="0"/>
    <s v="Kitchen"/>
    <n v="3714"/>
    <n v="4551.2906821979204"/>
    <n v="5"/>
    <n v="15"/>
    <n v="19342.98539934116"/>
    <n v="18570"/>
    <n v="772.98539934115979"/>
    <s v="COD"/>
    <x v="0"/>
    <d v="2023-02-16T00:00:00"/>
    <n v="6"/>
    <n v="4"/>
    <x v="2"/>
  </r>
  <r>
    <s v="ORD01021"/>
    <d v="2023-02-08T00:00:00"/>
    <s v="CUST0170"/>
    <s v="Priya"/>
    <s v="Bangalore"/>
    <s v="Karnataka"/>
    <x v="7"/>
    <x v="3"/>
    <s v="Skincare"/>
    <n v="397"/>
    <n v="572.12878879232562"/>
    <n v="5"/>
    <n v="20"/>
    <n v="2288.5151551693025"/>
    <n v="1985"/>
    <n v="303.51515516930249"/>
    <s v="Credit Card"/>
    <x v="0"/>
    <d v="2023-02-14T00:00:00"/>
    <n v="2"/>
    <n v="5"/>
    <x v="0"/>
  </r>
  <r>
    <s v="ORD00030"/>
    <d v="2023-02-09T00:00:00"/>
    <s v="CUST0215"/>
    <s v="Kavya"/>
    <s v="Bangalore"/>
    <s v="Karnataka"/>
    <x v="11"/>
    <x v="2"/>
    <s v="Computers"/>
    <n v="43794"/>
    <n v="74252.918321333404"/>
    <n v="1"/>
    <n v="15"/>
    <n v="63114.980573133391"/>
    <n v="43794"/>
    <n v="19320.980573133391"/>
    <s v="UPI"/>
    <x v="1"/>
    <m/>
    <n v="8"/>
    <n v="2"/>
    <x v="1"/>
  </r>
  <r>
    <s v="ORD00524"/>
    <d v="2023-02-09T00:00:00"/>
    <s v="CUST0253"/>
    <s v="Pooja"/>
    <s v="Kolkata"/>
    <s v="West Bengal"/>
    <x v="2"/>
    <x v="1"/>
    <s v="Women"/>
    <n v="1542"/>
    <n v="2266.7217556568239"/>
    <n v="4"/>
    <n v="15"/>
    <n v="7706.8539692332015"/>
    <n v="6168"/>
    <n v="1538.8539692332015"/>
    <s v="UPI"/>
    <x v="0"/>
    <d v="2023-02-16T00:00:00"/>
    <n v="3"/>
    <n v="2"/>
    <x v="0"/>
  </r>
  <r>
    <s v="ORD00617"/>
    <d v="2023-02-09T00:00:00"/>
    <s v="CUST0135"/>
    <s v="Manoj"/>
    <s v="Chennai"/>
    <s v="Tamil Nadu"/>
    <x v="5"/>
    <x v="0"/>
    <s v="Furniture"/>
    <n v="26135"/>
    <n v="29285.801398144398"/>
    <n v="4"/>
    <n v="20"/>
    <n v="93714.564474062077"/>
    <n v="104540"/>
    <n v="-10825.435525937923"/>
    <s v="Debit Card"/>
    <x v="1"/>
    <m/>
    <n v="9"/>
    <n v="1"/>
    <x v="1"/>
  </r>
  <r>
    <s v="ORD00725"/>
    <d v="2023-02-09T00:00:00"/>
    <s v="CUST0135"/>
    <s v="Suresh"/>
    <s v="Delhi"/>
    <s v="Delhi"/>
    <x v="1"/>
    <x v="1"/>
    <s v="Men"/>
    <n v="714"/>
    <n v="743.7373976590593"/>
    <n v="3"/>
    <n v="5"/>
    <n v="2119.6515833283188"/>
    <n v="2142"/>
    <n v="-22.348416671681207"/>
    <s v="UPI"/>
    <x v="1"/>
    <m/>
    <n v="9"/>
    <n v="1"/>
    <x v="1"/>
  </r>
  <r>
    <s v="ORD00862"/>
    <d v="2023-02-09T00:00:00"/>
    <s v="CUST0265"/>
    <s v="Vikram"/>
    <s v="Kolkata"/>
    <s v="West Bengal"/>
    <x v="8"/>
    <x v="3"/>
    <s v="Fragrance"/>
    <n v="1000"/>
    <n v="1339.6483746807935"/>
    <n v="5"/>
    <n v="5"/>
    <n v="6363.3297797337691"/>
    <n v="5000"/>
    <n v="1363.3297797337691"/>
    <s v="UPI"/>
    <x v="0"/>
    <d v="2023-02-17T00:00:00"/>
    <n v="5"/>
    <n v="3"/>
    <x v="0"/>
  </r>
  <r>
    <s v="ORD00936"/>
    <d v="2023-02-10T00:00:00"/>
    <s v="CUST0082"/>
    <s v="Neha"/>
    <s v="Bangalore"/>
    <s v="Karnataka"/>
    <x v="9"/>
    <x v="2"/>
    <s v="TV"/>
    <n v="73285"/>
    <n v="108532.72123058156"/>
    <n v="2"/>
    <n v="15"/>
    <n v="184505.62609198864"/>
    <n v="146570"/>
    <n v="37935.626091988641"/>
    <s v="Credit Card"/>
    <x v="0"/>
    <d v="2023-02-14T00:00:00"/>
    <n v="1"/>
    <n v="4"/>
    <x v="0"/>
  </r>
  <r>
    <s v="ORD01119"/>
    <d v="2023-02-10T00:00:00"/>
    <s v="CUST0242"/>
    <s v="Pooja"/>
    <s v="Chennai"/>
    <s v="Tamil Nadu"/>
    <x v="8"/>
    <x v="3"/>
    <s v="Fragrance"/>
    <n v="770"/>
    <n v="909.02191790975746"/>
    <n v="3"/>
    <n v="10"/>
    <n v="2454.3591783563452"/>
    <n v="2310"/>
    <n v="144.35917835634518"/>
    <s v="COD"/>
    <x v="1"/>
    <m/>
    <n v="9"/>
    <n v="1"/>
    <x v="1"/>
  </r>
  <r>
    <s v="ORD00100"/>
    <d v="2023-02-11T00:00:00"/>
    <s v="CUST0125"/>
    <s v="Priya"/>
    <s v="Delhi"/>
    <s v="Delhi"/>
    <x v="3"/>
    <x v="2"/>
    <s v="Accessories"/>
    <n v="789"/>
    <n v="1175.2058336177429"/>
    <n v="2"/>
    <n v="10"/>
    <n v="2115.3705005119373"/>
    <n v="1578"/>
    <n v="537.37050051193728"/>
    <s v="UPI"/>
    <x v="1"/>
    <m/>
    <n v="10"/>
    <n v="1"/>
    <x v="1"/>
  </r>
  <r>
    <s v="ORD00205"/>
    <d v="2023-02-11T00:00:00"/>
    <s v="CUST0114"/>
    <s v="Rahul"/>
    <s v="Mumbai"/>
    <s v="Maharashtra"/>
    <x v="5"/>
    <x v="0"/>
    <s v="Furniture"/>
    <n v="26159"/>
    <n v="42623.485328226721"/>
    <n v="4"/>
    <n v="20"/>
    <n v="136395.15305032552"/>
    <n v="104636"/>
    <n v="31759.15305032552"/>
    <s v="UPI"/>
    <x v="0"/>
    <d v="2023-02-18T00:00:00"/>
    <n v="3"/>
    <n v="2"/>
    <x v="0"/>
  </r>
  <r>
    <s v="ORD00436"/>
    <d v="2023-02-12T00:00:00"/>
    <s v="CUST0180"/>
    <s v="Suresh"/>
    <s v="Mumbai"/>
    <s v="Maharashtra"/>
    <x v="1"/>
    <x v="1"/>
    <s v="Men"/>
    <n v="469"/>
    <n v="795.75903488405788"/>
    <n v="2"/>
    <n v="20"/>
    <n v="1273.2144558144928"/>
    <n v="938"/>
    <n v="335.21445581449279"/>
    <s v="Debit Card"/>
    <x v="1"/>
    <m/>
    <n v="8"/>
    <n v="4"/>
    <x v="1"/>
  </r>
  <r>
    <s v="ORD01196"/>
    <d v="2023-02-12T00:00:00"/>
    <s v="CUST0242"/>
    <s v="Kiran"/>
    <s v="Hyderabad"/>
    <s v="Telangana"/>
    <x v="3"/>
    <x v="2"/>
    <s v="Accessories"/>
    <n v="1249"/>
    <n v="1784.345697594513"/>
    <n v="4"/>
    <n v="20"/>
    <n v="5709.9062323024418"/>
    <n v="4996"/>
    <n v="713.90623230244182"/>
    <s v="Debit Card"/>
    <x v="1"/>
    <m/>
    <n v="9"/>
    <n v="1"/>
    <x v="1"/>
  </r>
  <r>
    <s v="ORD00495"/>
    <d v="2023-02-13T00:00:00"/>
    <s v="CUST0088"/>
    <s v="Nikhil"/>
    <s v="Delhi"/>
    <s v="Delhi"/>
    <x v="5"/>
    <x v="0"/>
    <s v="Furniture"/>
    <n v="51555"/>
    <n v="62478.509745242962"/>
    <n v="3"/>
    <n v="10"/>
    <n v="168691.97631215601"/>
    <n v="154665"/>
    <n v="14026.97631215601"/>
    <s v="UPI"/>
    <x v="1"/>
    <m/>
    <n v="10"/>
    <n v="1"/>
    <x v="1"/>
  </r>
  <r>
    <s v="ORD00430"/>
    <d v="2023-02-15T00:00:00"/>
    <s v="CUST0023"/>
    <s v="Pooja"/>
    <s v="Ahmedabad"/>
    <s v="Gujarat"/>
    <x v="2"/>
    <x v="1"/>
    <s v="Women"/>
    <n v="1077"/>
    <n v="1790.8185397763493"/>
    <n v="5"/>
    <n v="15"/>
    <n v="7610.9787940494843"/>
    <n v="5385"/>
    <n v="2225.9787940494843"/>
    <s v="COD"/>
    <x v="0"/>
    <d v="2023-02-26T00:00:00"/>
    <n v="6"/>
    <n v="3"/>
    <x v="0"/>
  </r>
  <r>
    <s v="ORD00627"/>
    <d v="2023-02-15T00:00:00"/>
    <s v="CUST0015"/>
    <s v="Deepika"/>
    <s v="Pune"/>
    <s v="Maharashtra"/>
    <x v="3"/>
    <x v="2"/>
    <s v="Accessories"/>
    <n v="777"/>
    <n v="816.19471231586704"/>
    <n v="5"/>
    <n v="10"/>
    <n v="3672.8762054214017"/>
    <n v="3885"/>
    <n v="-212.12379457859834"/>
    <s v="UPI"/>
    <x v="0"/>
    <d v="2023-02-26T00:00:00"/>
    <n v="4"/>
    <n v="2"/>
    <x v="0"/>
  </r>
  <r>
    <s v="ORD00062"/>
    <d v="2023-02-16T00:00:00"/>
    <s v="CUST0080"/>
    <s v="Arjun"/>
    <s v="Delhi"/>
    <s v="Delhi"/>
    <x v="3"/>
    <x v="2"/>
    <s v="Accessories"/>
    <n v="1208"/>
    <n v="1419.1593338668415"/>
    <n v="3"/>
    <n v="0"/>
    <n v="4257.4780016005243"/>
    <n v="3624"/>
    <n v="633.47800160052429"/>
    <s v="UPI"/>
    <x v="1"/>
    <m/>
    <n v="7"/>
    <n v="3"/>
    <x v="1"/>
  </r>
  <r>
    <s v="ORD00225"/>
    <d v="2023-02-17T00:00:00"/>
    <s v="CUST0285"/>
    <s v="Amit"/>
    <s v="Kolkata"/>
    <s v="West Bengal"/>
    <x v="3"/>
    <x v="2"/>
    <s v="Accessories"/>
    <n v="872"/>
    <n v="1131.2403290584484"/>
    <n v="5"/>
    <n v="5"/>
    <n v="5373.3915630276297"/>
    <n v="4360"/>
    <n v="1013.3915630276297"/>
    <s v="COD"/>
    <x v="0"/>
    <d v="2023-02-26T00:00:00"/>
    <n v="4"/>
    <n v="2"/>
    <x v="0"/>
  </r>
  <r>
    <s v="ORD00658"/>
    <d v="2023-02-17T00:00:00"/>
    <s v="CUST0196"/>
    <s v="Ramesh"/>
    <s v="Hyderabad"/>
    <s v="Telangana"/>
    <x v="2"/>
    <x v="1"/>
    <s v="Women"/>
    <n v="1420"/>
    <n v="2273.2407602593603"/>
    <n v="2"/>
    <n v="10"/>
    <n v="4091.8333684668487"/>
    <n v="2840"/>
    <n v="1251.8333684668487"/>
    <s v="Credit Card"/>
    <x v="0"/>
    <d v="2023-02-24T00:00:00"/>
    <n v="1"/>
    <n v="5"/>
    <x v="0"/>
  </r>
  <r>
    <s v="ORD00996"/>
    <d v="2023-02-17T00:00:00"/>
    <s v="CUST0119"/>
    <s v="Amit"/>
    <s v="Hyderabad"/>
    <s v="Telangana"/>
    <x v="10"/>
    <x v="2"/>
    <s v="Mobile"/>
    <n v="76509"/>
    <n v="112627.86080587389"/>
    <n v="1"/>
    <n v="20"/>
    <n v="90102.288644699118"/>
    <n v="76509"/>
    <n v="13593.288644699118"/>
    <s v="UPI"/>
    <x v="0"/>
    <d v="2023-02-26T00:00:00"/>
    <n v="6"/>
    <n v="2"/>
    <x v="0"/>
  </r>
  <r>
    <s v="ORD00040"/>
    <d v="2023-02-18T00:00:00"/>
    <s v="CUST0198"/>
    <s v="Pooja"/>
    <s v="Mumbai"/>
    <s v="Maharashtra"/>
    <x v="9"/>
    <x v="2"/>
    <s v="TV"/>
    <n v="39440"/>
    <n v="52449.228493406423"/>
    <n v="4"/>
    <n v="0"/>
    <n v="209796.91397362569"/>
    <n v="157760"/>
    <n v="52036.913973625691"/>
    <s v="Credit Card"/>
    <x v="0"/>
    <d v="2023-02-25T00:00:00"/>
    <n v="1"/>
    <n v="5"/>
    <x v="0"/>
  </r>
  <r>
    <s v="ORD00240"/>
    <d v="2023-02-18T00:00:00"/>
    <s v="CUST0132"/>
    <s v="Pooja"/>
    <s v="Kolkata"/>
    <s v="West Bengal"/>
    <x v="5"/>
    <x v="0"/>
    <s v="Furniture"/>
    <n v="26258"/>
    <n v="26769.279503314203"/>
    <n v="5"/>
    <n v="15"/>
    <n v="113769.43788908535"/>
    <n v="131290"/>
    <n v="-17520.562110914645"/>
    <s v="Credit Card"/>
    <x v="0"/>
    <d v="2023-02-26T00:00:00"/>
    <n v="2"/>
    <n v="5"/>
    <x v="0"/>
  </r>
  <r>
    <s v="ORD00608"/>
    <d v="2023-02-18T00:00:00"/>
    <s v="CUST0138"/>
    <s v="Swathi"/>
    <s v="Delhi"/>
    <s v="Delhi"/>
    <x v="9"/>
    <x v="2"/>
    <s v="TV"/>
    <n v="50489"/>
    <n v="60576.219469921722"/>
    <n v="3"/>
    <n v="10"/>
    <n v="163555.79256878866"/>
    <n v="151467"/>
    <n v="12088.79256878866"/>
    <s v="Credit Card"/>
    <x v="0"/>
    <d v="2023-02-28T00:00:00"/>
    <n v="7"/>
    <n v="2"/>
    <x v="0"/>
  </r>
  <r>
    <s v="ORD00273"/>
    <d v="2023-02-19T00:00:00"/>
    <s v="CUST0067"/>
    <s v="Vikram"/>
    <s v="Ahmedabad"/>
    <s v="Gujarat"/>
    <x v="9"/>
    <x v="2"/>
    <s v="TV"/>
    <n v="77617"/>
    <n v="109371.77968021312"/>
    <n v="2"/>
    <n v="5"/>
    <n v="207806.38139240493"/>
    <n v="155234"/>
    <n v="52572.381392404932"/>
    <s v="UPI"/>
    <x v="1"/>
    <m/>
    <n v="9"/>
    <n v="1"/>
    <x v="1"/>
  </r>
  <r>
    <s v="ORD00298"/>
    <d v="2023-02-19T00:00:00"/>
    <s v="CUST0147"/>
    <s v="Pooja"/>
    <s v="Hyderabad"/>
    <s v="Telangana"/>
    <x v="4"/>
    <x v="1"/>
    <s v="Footwear"/>
    <n v="955"/>
    <n v="1121.4390960931364"/>
    <n v="3"/>
    <n v="20"/>
    <n v="2691.4538306235277"/>
    <n v="2865"/>
    <n v="-173.54616937647233"/>
    <s v="COD"/>
    <x v="0"/>
    <d v="2023-02-28T00:00:00"/>
    <n v="3"/>
    <n v="4"/>
    <x v="0"/>
  </r>
  <r>
    <s v="ORD00780"/>
    <d v="2023-02-19T00:00:00"/>
    <s v="CUST0188"/>
    <s v="Nikhil"/>
    <s v="Hyderabad"/>
    <s v="Telangana"/>
    <x v="8"/>
    <x v="3"/>
    <s v="Fragrance"/>
    <n v="804"/>
    <n v="852.70463548862813"/>
    <n v="1"/>
    <n v="5"/>
    <n v="810.06940371419671"/>
    <n v="804"/>
    <n v="6.0694037141967101"/>
    <s v="UPI"/>
    <x v="1"/>
    <m/>
    <n v="10"/>
    <n v="1"/>
    <x v="1"/>
  </r>
  <r>
    <s v="ORD00794"/>
    <d v="2023-02-19T00:00:00"/>
    <s v="CUST0037"/>
    <s v="Sneha"/>
    <s v="Pune"/>
    <s v="Maharashtra"/>
    <x v="5"/>
    <x v="0"/>
    <s v="Furniture"/>
    <n v="55844"/>
    <n v="69100.445107869949"/>
    <n v="4"/>
    <n v="10"/>
    <n v="248761.60238833181"/>
    <n v="223376"/>
    <n v="25385.602388331812"/>
    <s v="Debit Card"/>
    <x v="0"/>
    <d v="2023-02-26T00:00:00"/>
    <n v="4"/>
    <n v="4"/>
    <x v="0"/>
  </r>
  <r>
    <s v="ORD00808"/>
    <d v="2023-02-19T00:00:00"/>
    <s v="CUST0124"/>
    <s v="Kiran"/>
    <s v="Mumbai"/>
    <s v="Maharashtra"/>
    <x v="1"/>
    <x v="1"/>
    <s v="Men"/>
    <n v="631"/>
    <n v="808.85942320718311"/>
    <n v="3"/>
    <n v="15"/>
    <n v="2062.5915291783167"/>
    <n v="1893"/>
    <n v="169.5915291783167"/>
    <s v="COD"/>
    <x v="0"/>
    <d v="2023-02-28T00:00:00"/>
    <n v="2"/>
    <n v="4"/>
    <x v="0"/>
  </r>
  <r>
    <s v="ORD00849"/>
    <d v="2023-02-19T00:00:00"/>
    <s v="CUST0014"/>
    <s v="Ramesh"/>
    <s v="Pune"/>
    <s v="Maharashtra"/>
    <x v="5"/>
    <x v="0"/>
    <s v="Furniture"/>
    <n v="28529"/>
    <n v="36133.259211652832"/>
    <n v="3"/>
    <n v="0"/>
    <n v="108399.7776349585"/>
    <n v="85587"/>
    <n v="22812.777634958504"/>
    <s v="Credit Card"/>
    <x v="1"/>
    <m/>
    <n v="8"/>
    <n v="4"/>
    <x v="1"/>
  </r>
  <r>
    <s v="ORD00871"/>
    <d v="2023-02-19T00:00:00"/>
    <s v="CUST0158"/>
    <s v="Amit"/>
    <s v="Kolkata"/>
    <s v="West Bengal"/>
    <x v="0"/>
    <x v="0"/>
    <s v="Kitchen"/>
    <n v="4583"/>
    <n v="5118.5830232758244"/>
    <n v="1"/>
    <n v="10"/>
    <n v="4606.7247209482421"/>
    <n v="4583"/>
    <n v="23.724720948242066"/>
    <s v="UPI"/>
    <x v="0"/>
    <d v="2023-02-25T00:00:00"/>
    <n v="1"/>
    <n v="5"/>
    <x v="0"/>
  </r>
  <r>
    <s v="ORD00913"/>
    <d v="2023-02-19T00:00:00"/>
    <s v="CUST0193"/>
    <s v="Sneha"/>
    <s v="Hyderabad"/>
    <s v="Telangana"/>
    <x v="7"/>
    <x v="3"/>
    <s v="Skincare"/>
    <n v="282"/>
    <n v="438.93181488203004"/>
    <n v="5"/>
    <n v="0"/>
    <n v="2194.6590744101504"/>
    <n v="1410"/>
    <n v="784.65907441015042"/>
    <s v="UPI"/>
    <x v="1"/>
    <m/>
    <n v="7"/>
    <n v="3"/>
    <x v="1"/>
  </r>
  <r>
    <s v="ORD01014"/>
    <d v="2023-02-19T00:00:00"/>
    <s v="CUST0292"/>
    <s v="Arjun"/>
    <s v="Mumbai"/>
    <s v="Maharashtra"/>
    <x v="4"/>
    <x v="1"/>
    <s v="Footwear"/>
    <n v="1067"/>
    <n v="1851.4426375066116"/>
    <n v="4"/>
    <n v="10"/>
    <n v="6665.1934950238019"/>
    <n v="4268"/>
    <n v="2397.1934950238019"/>
    <s v="COD"/>
    <x v="1"/>
    <m/>
    <n v="8"/>
    <n v="4"/>
    <x v="1"/>
  </r>
  <r>
    <s v="ORD00141"/>
    <d v="2023-02-20T00:00:00"/>
    <s v="CUST0105"/>
    <s v="Anjali"/>
    <s v="Mumbai"/>
    <s v="Maharashtra"/>
    <x v="7"/>
    <x v="3"/>
    <s v="Skincare"/>
    <n v="306"/>
    <n v="476.24066786932258"/>
    <n v="5"/>
    <n v="20"/>
    <n v="1904.9626714772903"/>
    <n v="1530"/>
    <n v="374.96267147729031"/>
    <s v="Credit Card"/>
    <x v="0"/>
    <d v="2023-03-03T00:00:00"/>
    <n v="6"/>
    <n v="2"/>
    <x v="0"/>
  </r>
  <r>
    <s v="ORD00174"/>
    <d v="2023-02-20T00:00:00"/>
    <s v="CUST0148"/>
    <s v="Deepika"/>
    <s v="Delhi"/>
    <s v="Delhi"/>
    <x v="1"/>
    <x v="1"/>
    <s v="Men"/>
    <n v="246"/>
    <n v="414.15294032115656"/>
    <n v="3"/>
    <n v="0"/>
    <n v="1242.4588209634696"/>
    <n v="738"/>
    <n v="504.45882096346963"/>
    <s v="COD"/>
    <x v="0"/>
    <d v="2023-03-03T00:00:00"/>
    <n v="4"/>
    <n v="4"/>
    <x v="0"/>
  </r>
  <r>
    <s v="ORD00935"/>
    <d v="2023-02-20T00:00:00"/>
    <s v="CUST0081"/>
    <s v="Suresh"/>
    <s v="Pune"/>
    <s v="Maharashtra"/>
    <x v="2"/>
    <x v="1"/>
    <s v="Women"/>
    <n v="1493"/>
    <n v="2301.0761722391908"/>
    <n v="1"/>
    <n v="15"/>
    <n v="1955.9147464033122"/>
    <n v="1493"/>
    <n v="462.91474640331217"/>
    <s v="Credit Card"/>
    <x v="1"/>
    <m/>
    <n v="8"/>
    <n v="2"/>
    <x v="1"/>
  </r>
  <r>
    <s v="ORD01037"/>
    <d v="2023-02-20T00:00:00"/>
    <s v="CUST0039"/>
    <s v="Vikram"/>
    <s v="Hyderabad"/>
    <s v="Telangana"/>
    <x v="10"/>
    <x v="2"/>
    <s v="Mobile"/>
    <n v="67386"/>
    <n v="72391.012570907231"/>
    <n v="1"/>
    <n v="10"/>
    <n v="65151.911313816512"/>
    <n v="67386"/>
    <n v="-2234.0886861834879"/>
    <s v="UPI"/>
    <x v="0"/>
    <d v="2023-03-01T00:00:00"/>
    <n v="5"/>
    <n v="3"/>
    <x v="0"/>
  </r>
  <r>
    <s v="ORD00043"/>
    <d v="2023-02-21T00:00:00"/>
    <s v="CUST0072"/>
    <s v="Meena"/>
    <s v="Kolkata"/>
    <s v="West Bengal"/>
    <x v="10"/>
    <x v="2"/>
    <s v="Mobile"/>
    <n v="77079"/>
    <n v="90661.289321102493"/>
    <n v="2"/>
    <n v="0"/>
    <n v="181322.57864220499"/>
    <n v="154158"/>
    <n v="27164.578642204986"/>
    <s v="Debit Card"/>
    <x v="0"/>
    <d v="2023-03-01T00:00:00"/>
    <n v="5"/>
    <n v="4"/>
    <x v="0"/>
  </r>
  <r>
    <s v="ORD00356"/>
    <d v="2023-02-21T00:00:00"/>
    <s v="CUST0040"/>
    <s v="Sneha"/>
    <s v="Pune"/>
    <s v="Maharashtra"/>
    <x v="9"/>
    <x v="2"/>
    <s v="TV"/>
    <n v="58225"/>
    <n v="90477.374495048993"/>
    <n v="3"/>
    <n v="10"/>
    <n v="244288.91113663226"/>
    <n v="174675"/>
    <n v="69613.911136632261"/>
    <s v="Credit Card"/>
    <x v="1"/>
    <m/>
    <n v="7"/>
    <n v="2"/>
    <x v="1"/>
  </r>
  <r>
    <s v="ORD00416"/>
    <d v="2023-02-21T00:00:00"/>
    <s v="CUST0176"/>
    <s v="Rohit"/>
    <s v="Mumbai"/>
    <s v="Maharashtra"/>
    <x v="1"/>
    <x v="1"/>
    <s v="Men"/>
    <n v="730"/>
    <n v="994.45824218895234"/>
    <n v="5"/>
    <n v="20"/>
    <n v="3977.8329687558094"/>
    <n v="3650"/>
    <n v="327.83296875580936"/>
    <s v="UPI"/>
    <x v="0"/>
    <d v="2023-03-06T00:00:00"/>
    <n v="6"/>
    <n v="3"/>
    <x v="0"/>
  </r>
  <r>
    <s v="ORD00503"/>
    <d v="2023-02-21T00:00:00"/>
    <s v="CUST0110"/>
    <s v="Neha"/>
    <s v="Mumbai"/>
    <s v="Maharashtra"/>
    <x v="11"/>
    <x v="2"/>
    <s v="Computers"/>
    <n v="46414"/>
    <n v="56769.911443108424"/>
    <n v="2"/>
    <n v="20"/>
    <n v="90831.858308973489"/>
    <n v="92828"/>
    <n v="-1996.1416910265107"/>
    <s v="UPI"/>
    <x v="1"/>
    <m/>
    <n v="7"/>
    <n v="2"/>
    <x v="1"/>
  </r>
  <r>
    <s v="ORD00550"/>
    <d v="2023-02-21T00:00:00"/>
    <s v="CUST0022"/>
    <s v="Kiran"/>
    <s v="Kolkata"/>
    <s v="West Bengal"/>
    <x v="8"/>
    <x v="3"/>
    <s v="Fragrance"/>
    <n v="958"/>
    <n v="1356.9600365921294"/>
    <n v="3"/>
    <n v="5"/>
    <n v="3867.3361042875686"/>
    <n v="2874"/>
    <n v="993.33610428756856"/>
    <s v="Debit Card"/>
    <x v="0"/>
    <d v="2023-03-01T00:00:00"/>
    <n v="3"/>
    <n v="2"/>
    <x v="0"/>
  </r>
  <r>
    <s v="ORD00618"/>
    <d v="2023-02-21T00:00:00"/>
    <s v="CUST0123"/>
    <s v="Divya"/>
    <s v="Pune"/>
    <s v="Maharashtra"/>
    <x v="7"/>
    <x v="3"/>
    <s v="Skincare"/>
    <n v="506"/>
    <n v="673.45220802903395"/>
    <n v="3"/>
    <n v="5"/>
    <n v="1919.3387928827467"/>
    <n v="1518"/>
    <n v="401.3387928827467"/>
    <s v="Credit Card"/>
    <x v="0"/>
    <d v="2023-02-28T00:00:00"/>
    <n v="2"/>
    <n v="5"/>
    <x v="0"/>
  </r>
  <r>
    <s v="ORD01165"/>
    <d v="2023-02-21T00:00:00"/>
    <s v="CUST0147"/>
    <s v="Rahul"/>
    <s v="Pune"/>
    <s v="Maharashtra"/>
    <x v="9"/>
    <x v="2"/>
    <s v="TV"/>
    <n v="73661"/>
    <n v="123123.05700262479"/>
    <n v="4"/>
    <n v="20"/>
    <n v="393993.78240839933"/>
    <n v="294644"/>
    <n v="99349.782408399333"/>
    <s v="UPI"/>
    <x v="0"/>
    <d v="2023-03-01T00:00:00"/>
    <n v="2"/>
    <n v="4"/>
    <x v="0"/>
  </r>
  <r>
    <s v="ORD00004"/>
    <d v="2023-02-22T00:00:00"/>
    <s v="CUST0213"/>
    <s v="Kiran"/>
    <s v="Hyderabad"/>
    <s v="Telangana"/>
    <x v="8"/>
    <x v="3"/>
    <s v="Fragrance"/>
    <n v="832"/>
    <n v="1264.4972727692916"/>
    <n v="2"/>
    <n v="15"/>
    <n v="2149.6453637077957"/>
    <n v="1664"/>
    <n v="485.6453637077957"/>
    <s v="Debit Card"/>
    <x v="1"/>
    <m/>
    <n v="9"/>
    <n v="1"/>
    <x v="1"/>
  </r>
  <r>
    <s v="ORD00284"/>
    <d v="2023-02-22T00:00:00"/>
    <s v="CUST0052"/>
    <s v="Ramesh"/>
    <s v="Kolkata"/>
    <s v="West Bengal"/>
    <x v="1"/>
    <x v="1"/>
    <s v="Men"/>
    <n v="408"/>
    <n v="508.16599282852468"/>
    <n v="4"/>
    <n v="15"/>
    <n v="1727.7643756169839"/>
    <n v="1632"/>
    <n v="95.764375616983898"/>
    <s v="Debit Card"/>
    <x v="0"/>
    <d v="2023-03-02T00:00:00"/>
    <n v="2"/>
    <n v="5"/>
    <x v="0"/>
  </r>
  <r>
    <s v="ORD00516"/>
    <d v="2023-02-22T00:00:00"/>
    <s v="CUST0106"/>
    <s v="Amit"/>
    <s v="Hyderabad"/>
    <s v="Telangana"/>
    <x v="7"/>
    <x v="3"/>
    <s v="Skincare"/>
    <n v="354"/>
    <n v="508.96242277967565"/>
    <n v="5"/>
    <n v="15"/>
    <n v="2163.0902968136215"/>
    <n v="1770"/>
    <n v="393.09029681362153"/>
    <s v="Credit Card"/>
    <x v="1"/>
    <m/>
    <n v="7"/>
    <n v="3"/>
    <x v="1"/>
  </r>
  <r>
    <s v="ORD00985"/>
    <d v="2023-02-22T00:00:00"/>
    <s v="CUST0115"/>
    <s v="Anjali"/>
    <s v="Kolkata"/>
    <s v="West Bengal"/>
    <x v="4"/>
    <x v="1"/>
    <s v="Footwear"/>
    <n v="2324"/>
    <n v="3709.6925238574117"/>
    <n v="5"/>
    <n v="0"/>
    <n v="18548.46261928706"/>
    <n v="11620"/>
    <n v="6928.4626192870601"/>
    <s v="COD"/>
    <x v="0"/>
    <d v="2023-03-05T00:00:00"/>
    <n v="5"/>
    <n v="3"/>
    <x v="0"/>
  </r>
  <r>
    <s v="ORD01056"/>
    <d v="2023-02-22T00:00:00"/>
    <s v="CUST0039"/>
    <s v="Priya"/>
    <s v="Bangalore"/>
    <s v="Karnataka"/>
    <x v="1"/>
    <x v="1"/>
    <s v="Men"/>
    <n v="724"/>
    <n v="1059.8787098006783"/>
    <n v="4"/>
    <n v="20"/>
    <n v="3391.6118713621709"/>
    <n v="2896"/>
    <n v="495.61187136217086"/>
    <s v="COD"/>
    <x v="1"/>
    <m/>
    <n v="10"/>
    <n v="1"/>
    <x v="1"/>
  </r>
  <r>
    <s v="ORD00038"/>
    <d v="2023-02-23T00:00:00"/>
    <s v="CUST0171"/>
    <s v="Rahul"/>
    <s v="Bangalore"/>
    <s v="Karnataka"/>
    <x v="9"/>
    <x v="2"/>
    <s v="TV"/>
    <n v="27851"/>
    <n v="28408.467165492457"/>
    <n v="1"/>
    <n v="20"/>
    <n v="22726.773732393965"/>
    <n v="27851"/>
    <n v="-5124.2262676060345"/>
    <s v="Debit Card"/>
    <x v="0"/>
    <d v="2023-03-05T00:00:00"/>
    <n v="3"/>
    <n v="2"/>
    <x v="0"/>
  </r>
  <r>
    <s v="ORD01092"/>
    <d v="2023-02-23T00:00:00"/>
    <s v="CUST0169"/>
    <s v="Meena"/>
    <s v="Pune"/>
    <s v="Maharashtra"/>
    <x v="8"/>
    <x v="3"/>
    <s v="Fragrance"/>
    <n v="720"/>
    <n v="1099.6128483371622"/>
    <n v="1"/>
    <n v="20"/>
    <n v="879.69027866972976"/>
    <n v="720"/>
    <n v="159.69027866972976"/>
    <s v="UPI"/>
    <x v="0"/>
    <d v="2023-03-02T00:00:00"/>
    <n v="1"/>
    <n v="4"/>
    <x v="0"/>
  </r>
  <r>
    <s v="ORD01120"/>
    <d v="2023-02-23T00:00:00"/>
    <s v="CUST0071"/>
    <s v="Manoj"/>
    <s v="Chennai"/>
    <s v="Tamil Nadu"/>
    <x v="8"/>
    <x v="3"/>
    <s v="Fragrance"/>
    <n v="960"/>
    <n v="1418.6003438150765"/>
    <n v="4"/>
    <n v="10"/>
    <n v="5106.9612377342755"/>
    <n v="3840"/>
    <n v="1266.9612377342755"/>
    <s v="Debit Card"/>
    <x v="0"/>
    <d v="2023-03-02T00:00:00"/>
    <n v="4"/>
    <n v="4"/>
    <x v="0"/>
  </r>
  <r>
    <s v="ORD00501"/>
    <d v="2023-02-24T00:00:00"/>
    <s v="CUST0056"/>
    <s v="Priya"/>
    <s v="Delhi"/>
    <s v="Delhi"/>
    <x v="0"/>
    <x v="0"/>
    <s v="Kitchen"/>
    <n v="5422"/>
    <n v="8439.0895454747097"/>
    <n v="2"/>
    <n v="20"/>
    <n v="13502.543272759536"/>
    <n v="10844"/>
    <n v="2658.5432727595362"/>
    <s v="Debit Card"/>
    <x v="1"/>
    <m/>
    <n v="7"/>
    <n v="2"/>
    <x v="1"/>
  </r>
  <r>
    <s v="ORD00522"/>
    <d v="2023-02-24T00:00:00"/>
    <s v="CUST0197"/>
    <s v="Manoj"/>
    <s v="Chennai"/>
    <s v="Tamil Nadu"/>
    <x v="2"/>
    <x v="1"/>
    <s v="Women"/>
    <n v="594"/>
    <n v="674.60636184583745"/>
    <n v="5"/>
    <n v="10"/>
    <n v="3035.7286283062685"/>
    <n v="2970"/>
    <n v="65.728628306268547"/>
    <s v="COD"/>
    <x v="0"/>
    <d v="2023-03-05T00:00:00"/>
    <n v="4"/>
    <n v="4"/>
    <x v="0"/>
  </r>
  <r>
    <s v="ORD01105"/>
    <d v="2023-02-24T00:00:00"/>
    <s v="CUST0048"/>
    <s v="Rohit"/>
    <s v="Delhi"/>
    <s v="Delhi"/>
    <x v="4"/>
    <x v="1"/>
    <s v="Footwear"/>
    <n v="2021"/>
    <n v="2482.5839236089564"/>
    <n v="5"/>
    <n v="5"/>
    <n v="11792.273637142542"/>
    <n v="10105"/>
    <n v="1687.2736371425417"/>
    <s v="UPI"/>
    <x v="0"/>
    <d v="2023-03-06T00:00:00"/>
    <n v="3"/>
    <n v="4"/>
    <x v="0"/>
  </r>
  <r>
    <s v="ORD00487"/>
    <d v="2023-02-25T00:00:00"/>
    <s v="CUST0272"/>
    <s v="Neha"/>
    <s v="Bangalore"/>
    <s v="Karnataka"/>
    <x v="9"/>
    <x v="2"/>
    <s v="TV"/>
    <n v="72295"/>
    <n v="102451.15116274587"/>
    <n v="2"/>
    <n v="20"/>
    <n v="163921.84186039341"/>
    <n v="144590"/>
    <n v="19331.841860393411"/>
    <s v="COD"/>
    <x v="1"/>
    <m/>
    <n v="7"/>
    <n v="4"/>
    <x v="1"/>
  </r>
  <r>
    <s v="ORD01027"/>
    <d v="2023-02-26T00:00:00"/>
    <s v="CUST0261"/>
    <s v="Amit"/>
    <s v="Bangalore"/>
    <s v="Karnataka"/>
    <x v="10"/>
    <x v="2"/>
    <s v="Mobile"/>
    <n v="88493"/>
    <n v="143762.49709348328"/>
    <n v="1"/>
    <n v="20"/>
    <n v="115009.99767478663"/>
    <n v="88493"/>
    <n v="26516.997674786631"/>
    <s v="UPI"/>
    <x v="0"/>
    <d v="2023-03-07T00:00:00"/>
    <n v="3"/>
    <n v="4"/>
    <x v="0"/>
  </r>
  <r>
    <s v="ORD00134"/>
    <d v="2023-02-27T00:00:00"/>
    <s v="CUST0159"/>
    <s v="Amit"/>
    <s v="Hyderabad"/>
    <s v="Telangana"/>
    <x v="8"/>
    <x v="3"/>
    <s v="Fragrance"/>
    <n v="520"/>
    <n v="781.19496415193896"/>
    <n v="5"/>
    <n v="20"/>
    <n v="3124.7798566077563"/>
    <n v="2600"/>
    <n v="524.7798566077563"/>
    <s v="Debit Card"/>
    <x v="0"/>
    <d v="2023-03-12T00:00:00"/>
    <n v="6"/>
    <n v="2"/>
    <x v="0"/>
  </r>
  <r>
    <s v="ORD00732"/>
    <d v="2023-02-27T00:00:00"/>
    <s v="CUST0056"/>
    <s v="Divya"/>
    <s v="Ahmedabad"/>
    <s v="Gujarat"/>
    <x v="11"/>
    <x v="2"/>
    <s v="Computers"/>
    <n v="32012"/>
    <n v="33006.577972471918"/>
    <n v="2"/>
    <n v="15"/>
    <n v="56111.182553202256"/>
    <n v="64024"/>
    <n v="-7912.8174467977442"/>
    <s v="COD"/>
    <x v="0"/>
    <d v="2023-03-08T00:00:00"/>
    <n v="2"/>
    <n v="4"/>
    <x v="0"/>
  </r>
  <r>
    <s v="ORD00775"/>
    <d v="2023-02-27T00:00:00"/>
    <s v="CUST0148"/>
    <s v="Rohit"/>
    <s v="Pune"/>
    <s v="Maharashtra"/>
    <x v="3"/>
    <x v="2"/>
    <s v="Accessories"/>
    <n v="1360"/>
    <n v="1821.1750553990062"/>
    <n v="2"/>
    <n v="0"/>
    <n v="3642.3501107980123"/>
    <n v="2720"/>
    <n v="922.35011079801234"/>
    <s v="UPI"/>
    <x v="0"/>
    <d v="2023-03-08T00:00:00"/>
    <n v="6"/>
    <n v="4"/>
    <x v="2"/>
  </r>
  <r>
    <s v="ORD00987"/>
    <d v="2023-02-27T00:00:00"/>
    <s v="CUST0240"/>
    <s v="Arjun"/>
    <s v="Ahmedabad"/>
    <s v="Gujarat"/>
    <x v="9"/>
    <x v="2"/>
    <s v="TV"/>
    <n v="41816"/>
    <n v="54271.54448015165"/>
    <n v="4"/>
    <n v="15"/>
    <n v="184523.25123251561"/>
    <n v="167264"/>
    <n v="17259.251232515613"/>
    <s v="Debit Card"/>
    <x v="1"/>
    <m/>
    <n v="8"/>
    <n v="4"/>
    <x v="1"/>
  </r>
  <r>
    <s v="ORD01171"/>
    <d v="2023-02-27T00:00:00"/>
    <s v="CUST0113"/>
    <s v="Arjun"/>
    <s v="Delhi"/>
    <s v="Delhi"/>
    <x v="5"/>
    <x v="0"/>
    <s v="Furniture"/>
    <n v="28996"/>
    <n v="37197.252689979563"/>
    <n v="1"/>
    <n v="20"/>
    <n v="29757.802151983651"/>
    <n v="28996"/>
    <n v="761.80215198365113"/>
    <s v="Credit Card"/>
    <x v="1"/>
    <m/>
    <n v="9"/>
    <n v="1"/>
    <x v="1"/>
  </r>
  <r>
    <s v="ORD00059"/>
    <d v="2023-02-28T00:00:00"/>
    <s v="CUST0118"/>
    <s v="Nikhil"/>
    <s v="Kolkata"/>
    <s v="West Bengal"/>
    <x v="9"/>
    <x v="2"/>
    <s v="TV"/>
    <n v="46835"/>
    <n v="56145.984303454017"/>
    <n v="5"/>
    <n v="0"/>
    <n v="280729.92151727009"/>
    <n v="234175"/>
    <n v="46554.921517270093"/>
    <s v="Debit Card"/>
    <x v="0"/>
    <d v="2023-03-08T00:00:00"/>
    <n v="3"/>
    <n v="4"/>
    <x v="0"/>
  </r>
  <r>
    <s v="ORD00274"/>
    <d v="2023-02-28T00:00:00"/>
    <s v="CUST0255"/>
    <s v="Arjun"/>
    <s v="Chennai"/>
    <s v="Tamil Nadu"/>
    <x v="7"/>
    <x v="3"/>
    <s v="Skincare"/>
    <n v="266"/>
    <n v="465.39413789488958"/>
    <n v="2"/>
    <n v="0"/>
    <n v="930.78827578977916"/>
    <n v="532"/>
    <n v="398.78827578977916"/>
    <s v="UPI"/>
    <x v="0"/>
    <d v="2023-03-04T00:00:00"/>
    <n v="1"/>
    <n v="4"/>
    <x v="0"/>
  </r>
  <r>
    <s v="ORD00668"/>
    <d v="2023-02-28T00:00:00"/>
    <s v="CUST0141"/>
    <s v="Manoj"/>
    <s v="Ahmedabad"/>
    <s v="Gujarat"/>
    <x v="1"/>
    <x v="1"/>
    <s v="Men"/>
    <n v="683"/>
    <n v="822.92995135146339"/>
    <n v="1"/>
    <n v="20"/>
    <n v="658.34396108117073"/>
    <n v="683"/>
    <n v="-24.656038918829267"/>
    <s v="Credit Card"/>
    <x v="0"/>
    <d v="2023-03-05T00:00:00"/>
    <n v="2"/>
    <n v="4"/>
    <x v="0"/>
  </r>
  <r>
    <s v="ORD01024"/>
    <d v="2023-03-01T00:00:00"/>
    <s v="CUST0281"/>
    <s v="Kavya"/>
    <s v="Mumbai"/>
    <s v="Maharashtra"/>
    <x v="6"/>
    <x v="1"/>
    <s v="Men"/>
    <n v="850"/>
    <n v="1291.6149071325563"/>
    <n v="1"/>
    <n v="0"/>
    <n v="1291.6149071325563"/>
    <n v="850"/>
    <n v="441.61490713255625"/>
    <s v="UPI"/>
    <x v="1"/>
    <m/>
    <n v="8"/>
    <n v="2"/>
    <x v="1"/>
  </r>
  <r>
    <s v="ORD01150"/>
    <d v="2023-03-01T00:00:00"/>
    <s v="CUST0056"/>
    <s v="Suresh"/>
    <s v="Kolkata"/>
    <s v="West Bengal"/>
    <x v="9"/>
    <x v="2"/>
    <s v="TV"/>
    <n v="24232"/>
    <n v="36653.233536030231"/>
    <n v="3"/>
    <n v="20"/>
    <n v="87967.760486472573"/>
    <n v="72696"/>
    <n v="15271.760486472573"/>
    <s v="UPI"/>
    <x v="0"/>
    <d v="2023-03-14T00:00:00"/>
    <n v="6"/>
    <n v="4"/>
    <x v="2"/>
  </r>
  <r>
    <s v="ORD00983"/>
    <d v="2023-03-02T00:00:00"/>
    <s v="CUST0295"/>
    <s v="Kavya"/>
    <s v="Bangalore"/>
    <s v="Karnataka"/>
    <x v="10"/>
    <x v="2"/>
    <s v="Mobile"/>
    <n v="59913"/>
    <n v="87571.341961880578"/>
    <n v="2"/>
    <n v="15"/>
    <n v="148871.28133519698"/>
    <n v="119826"/>
    <n v="29045.281335196982"/>
    <s v="COD"/>
    <x v="0"/>
    <d v="2023-03-11T00:00:00"/>
    <n v="2"/>
    <n v="4"/>
    <x v="0"/>
  </r>
  <r>
    <s v="ORD01102"/>
    <d v="2023-03-02T00:00:00"/>
    <s v="CUST0065"/>
    <s v="Anjali"/>
    <s v="Kolkata"/>
    <s v="West Bengal"/>
    <x v="8"/>
    <x v="3"/>
    <s v="Fragrance"/>
    <n v="598"/>
    <n v="707.69727432934735"/>
    <n v="3"/>
    <n v="10"/>
    <n v="1910.782640689238"/>
    <n v="1794"/>
    <n v="116.78264068923795"/>
    <s v="COD"/>
    <x v="0"/>
    <d v="2023-03-14T00:00:00"/>
    <n v="6"/>
    <n v="2"/>
    <x v="0"/>
  </r>
  <r>
    <s v="ORD00222"/>
    <d v="2023-03-03T00:00:00"/>
    <s v="CUST0108"/>
    <s v="Pooja"/>
    <s v="Delhi"/>
    <s v="Delhi"/>
    <x v="6"/>
    <x v="1"/>
    <s v="Men"/>
    <n v="1475"/>
    <n v="1881.5745434442772"/>
    <n v="4"/>
    <n v="5"/>
    <n v="7149.9832650882527"/>
    <n v="5900"/>
    <n v="1249.9832650882527"/>
    <s v="COD"/>
    <x v="1"/>
    <m/>
    <n v="10"/>
    <n v="1"/>
    <x v="1"/>
  </r>
  <r>
    <s v="ORD00489"/>
    <d v="2023-03-03T00:00:00"/>
    <s v="CUST0109"/>
    <s v="Rahul"/>
    <s v="Kolkata"/>
    <s v="West Bengal"/>
    <x v="10"/>
    <x v="2"/>
    <s v="Mobile"/>
    <n v="63241"/>
    <n v="113005.352111299"/>
    <n v="4"/>
    <n v="15"/>
    <n v="384218.19717841659"/>
    <n v="252964"/>
    <n v="131254.19717841659"/>
    <s v="Debit Card"/>
    <x v="0"/>
    <d v="2023-03-09T00:00:00"/>
    <n v="2"/>
    <n v="5"/>
    <x v="0"/>
  </r>
  <r>
    <s v="ORD00641"/>
    <d v="2023-03-03T00:00:00"/>
    <s v="CUST0057"/>
    <s v="Pooja"/>
    <s v="Mumbai"/>
    <s v="Maharashtra"/>
    <x v="2"/>
    <x v="1"/>
    <s v="Women"/>
    <n v="995"/>
    <n v="1274.3029614142856"/>
    <n v="3"/>
    <n v="20"/>
    <n v="3058.3271073942856"/>
    <n v="2985"/>
    <n v="73.327107394285576"/>
    <s v="UPI"/>
    <x v="1"/>
    <m/>
    <n v="10"/>
    <n v="1"/>
    <x v="1"/>
  </r>
  <r>
    <s v="ORD00973"/>
    <d v="2023-03-03T00:00:00"/>
    <s v="CUST0240"/>
    <s v="Priya"/>
    <s v="Delhi"/>
    <s v="Delhi"/>
    <x v="11"/>
    <x v="2"/>
    <s v="Computers"/>
    <n v="30843"/>
    <n v="41635.554054948087"/>
    <n v="1"/>
    <n v="20"/>
    <n v="33308.443243958471"/>
    <n v="30843"/>
    <n v="2465.4432439584707"/>
    <s v="UPI"/>
    <x v="1"/>
    <m/>
    <n v="10"/>
    <n v="1"/>
    <x v="1"/>
  </r>
  <r>
    <s v="ORD00068"/>
    <d v="2023-03-04T00:00:00"/>
    <s v="CUST0017"/>
    <s v="Rahul"/>
    <s v="Bangalore"/>
    <s v="Karnataka"/>
    <x v="6"/>
    <x v="1"/>
    <s v="Men"/>
    <n v="1050"/>
    <n v="1212.2082172537107"/>
    <n v="4"/>
    <n v="20"/>
    <n v="3879.0662952118746"/>
    <n v="4200"/>
    <n v="-320.9337047881254"/>
    <s v="UPI"/>
    <x v="0"/>
    <d v="2023-03-11T00:00:00"/>
    <n v="1"/>
    <n v="5"/>
    <x v="0"/>
  </r>
  <r>
    <s v="ORD00726"/>
    <d v="2023-03-04T00:00:00"/>
    <s v="CUST0232"/>
    <s v="Deepika"/>
    <s v="Delhi"/>
    <s v="Delhi"/>
    <x v="8"/>
    <x v="3"/>
    <s v="Fragrance"/>
    <n v="608"/>
    <n v="767.51436440588304"/>
    <n v="4"/>
    <n v="20"/>
    <n v="2456.0459660988258"/>
    <n v="2432"/>
    <n v="24.045966098825829"/>
    <s v="Debit Card"/>
    <x v="0"/>
    <d v="2023-03-11T00:00:00"/>
    <n v="4"/>
    <n v="3"/>
    <x v="0"/>
  </r>
  <r>
    <s v="ORD01010"/>
    <d v="2023-03-04T00:00:00"/>
    <s v="CUST0200"/>
    <s v="Ramesh"/>
    <s v="Pune"/>
    <s v="Maharashtra"/>
    <x v="6"/>
    <x v="1"/>
    <s v="Men"/>
    <n v="1457"/>
    <n v="2020.4995167789189"/>
    <n v="5"/>
    <n v="15"/>
    <n v="8587.1229463104046"/>
    <n v="7285"/>
    <n v="1302.1229463104046"/>
    <s v="COD"/>
    <x v="0"/>
    <d v="2023-03-12T00:00:00"/>
    <n v="3"/>
    <n v="3"/>
    <x v="0"/>
  </r>
  <r>
    <s v="ORD00244"/>
    <d v="2023-03-05T00:00:00"/>
    <s v="CUST0181"/>
    <s v="Anjali"/>
    <s v="Ahmedabad"/>
    <s v="Gujarat"/>
    <x v="4"/>
    <x v="1"/>
    <s v="Footwear"/>
    <n v="1127"/>
    <n v="1406.1022469785282"/>
    <n v="4"/>
    <n v="0"/>
    <n v="5624.4089879141129"/>
    <n v="4508"/>
    <n v="1116.4089879141129"/>
    <s v="Debit Card"/>
    <x v="0"/>
    <d v="2023-03-13T00:00:00"/>
    <n v="3"/>
    <n v="2"/>
    <x v="0"/>
  </r>
  <r>
    <s v="ORD00459"/>
    <d v="2023-03-05T00:00:00"/>
    <s v="CUST0285"/>
    <s v="Priya"/>
    <s v="Bangalore"/>
    <s v="Karnataka"/>
    <x v="7"/>
    <x v="3"/>
    <s v="Skincare"/>
    <n v="470"/>
    <n v="805.73725737677398"/>
    <n v="3"/>
    <n v="15"/>
    <n v="2054.6300063107738"/>
    <n v="1410"/>
    <n v="644.63000631077375"/>
    <s v="COD"/>
    <x v="0"/>
    <d v="2023-03-14T00:00:00"/>
    <n v="6"/>
    <n v="2"/>
    <x v="0"/>
  </r>
  <r>
    <s v="ORD00962"/>
    <d v="2023-03-05T00:00:00"/>
    <s v="CUST0105"/>
    <s v="Kiran"/>
    <s v="Bangalore"/>
    <s v="Karnataka"/>
    <x v="6"/>
    <x v="1"/>
    <s v="Men"/>
    <n v="885"/>
    <n v="1210.7427053067777"/>
    <n v="3"/>
    <n v="0"/>
    <n v="3632.228115920333"/>
    <n v="2655"/>
    <n v="977.22811592033304"/>
    <s v="COD"/>
    <x v="1"/>
    <m/>
    <n v="10"/>
    <n v="1"/>
    <x v="1"/>
  </r>
  <r>
    <s v="ORD00972"/>
    <d v="2023-03-05T00:00:00"/>
    <s v="CUST0209"/>
    <s v="Ramesh"/>
    <s v="Delhi"/>
    <s v="Delhi"/>
    <x v="0"/>
    <x v="0"/>
    <s v="Kitchen"/>
    <n v="4332"/>
    <n v="7446.7542152506585"/>
    <n v="2"/>
    <n v="20"/>
    <n v="11914.806744401054"/>
    <n v="8664"/>
    <n v="3250.8067444010539"/>
    <s v="UPI"/>
    <x v="0"/>
    <d v="2023-03-10T00:00:00"/>
    <n v="1"/>
    <n v="4"/>
    <x v="0"/>
  </r>
  <r>
    <s v="ORD00126"/>
    <d v="2023-03-06T00:00:00"/>
    <s v="CUST0100"/>
    <s v="Rahul"/>
    <s v="Delhi"/>
    <s v="Delhi"/>
    <x v="1"/>
    <x v="1"/>
    <s v="Men"/>
    <n v="517"/>
    <n v="773.441822690197"/>
    <n v="3"/>
    <n v="15"/>
    <n v="1972.2766478600022"/>
    <n v="1551"/>
    <n v="421.27664786000219"/>
    <s v="UPI"/>
    <x v="0"/>
    <d v="2023-03-16T00:00:00"/>
    <n v="7"/>
    <n v="3"/>
    <x v="0"/>
  </r>
  <r>
    <s v="ORD00657"/>
    <d v="2023-03-06T00:00:00"/>
    <s v="CUST0170"/>
    <s v="Rahul"/>
    <s v="Pune"/>
    <s v="Maharashtra"/>
    <x v="6"/>
    <x v="1"/>
    <s v="Men"/>
    <n v="1396"/>
    <n v="1646.2383496435682"/>
    <n v="2"/>
    <n v="15"/>
    <n v="2798.6051943940661"/>
    <n v="2792"/>
    <n v="6.6051943940660749"/>
    <s v="Debit Card"/>
    <x v="1"/>
    <m/>
    <n v="7"/>
    <n v="3"/>
    <x v="1"/>
  </r>
  <r>
    <s v="ORD00316"/>
    <d v="2023-03-07T00:00:00"/>
    <s v="CUST0295"/>
    <s v="Priya"/>
    <s v="Pune"/>
    <s v="Maharashtra"/>
    <x v="7"/>
    <x v="3"/>
    <s v="Skincare"/>
    <n v="314"/>
    <n v="426.8711562611536"/>
    <n v="1"/>
    <n v="0"/>
    <n v="426.8711562611536"/>
    <n v="314"/>
    <n v="112.8711562611536"/>
    <s v="Credit Card"/>
    <x v="1"/>
    <m/>
    <n v="10"/>
    <n v="1"/>
    <x v="1"/>
  </r>
  <r>
    <s v="ORD01122"/>
    <d v="2023-03-07T00:00:00"/>
    <s v="CUST0272"/>
    <s v="Rahul"/>
    <s v="Delhi"/>
    <s v="Delhi"/>
    <x v="7"/>
    <x v="3"/>
    <s v="Skincare"/>
    <n v="377"/>
    <n v="552.07945359592213"/>
    <n v="5"/>
    <n v="5"/>
    <n v="2622.3774045806299"/>
    <n v="1885"/>
    <n v="737.3774045806299"/>
    <s v="Debit Card"/>
    <x v="0"/>
    <d v="2023-03-13T00:00:00"/>
    <n v="1"/>
    <n v="5"/>
    <x v="0"/>
  </r>
  <r>
    <s v="ORD01168"/>
    <d v="2023-03-07T00:00:00"/>
    <s v="CUST0295"/>
    <s v="Sneha"/>
    <s v="Mumbai"/>
    <s v="Maharashtra"/>
    <x v="7"/>
    <x v="3"/>
    <s v="Skincare"/>
    <n v="545"/>
    <n v="756.0313129317102"/>
    <n v="1"/>
    <n v="15"/>
    <n v="642.62661599195371"/>
    <n v="545"/>
    <n v="97.626615991953713"/>
    <s v="Debit Card"/>
    <x v="1"/>
    <m/>
    <n v="7"/>
    <n v="3"/>
    <x v="1"/>
  </r>
  <r>
    <s v="ORD00398"/>
    <d v="2023-03-08T00:00:00"/>
    <s v="CUST0075"/>
    <s v="Pooja"/>
    <s v="Pune"/>
    <s v="Maharashtra"/>
    <x v="1"/>
    <x v="1"/>
    <s v="Men"/>
    <n v="535"/>
    <n v="938.12433853008019"/>
    <n v="3"/>
    <n v="0"/>
    <n v="2814.3730155902404"/>
    <n v="1605"/>
    <n v="1209.3730155902404"/>
    <s v="UPI"/>
    <x v="0"/>
    <d v="2023-03-16T00:00:00"/>
    <n v="3"/>
    <n v="3"/>
    <x v="0"/>
  </r>
  <r>
    <s v="ORD00596"/>
    <d v="2023-03-08T00:00:00"/>
    <s v="CUST0199"/>
    <s v="Nikhil"/>
    <s v="Hyderabad"/>
    <s v="Telangana"/>
    <x v="4"/>
    <x v="1"/>
    <s v="Footwear"/>
    <n v="1684"/>
    <n v="2654.2145691690685"/>
    <n v="4"/>
    <n v="20"/>
    <n v="8493.4866213410187"/>
    <n v="6736"/>
    <n v="1757.4866213410187"/>
    <s v="UPI"/>
    <x v="1"/>
    <m/>
    <n v="7"/>
    <n v="3"/>
    <x v="1"/>
  </r>
  <r>
    <s v="ORD00671"/>
    <d v="2023-03-08T00:00:00"/>
    <s v="CUST0252"/>
    <s v="Pooja"/>
    <s v="Pune"/>
    <s v="Maharashtra"/>
    <x v="5"/>
    <x v="0"/>
    <s v="Furniture"/>
    <n v="21117"/>
    <n v="37375.479464883225"/>
    <n v="1"/>
    <n v="5"/>
    <n v="35506.705491639063"/>
    <n v="21117"/>
    <n v="14389.705491639063"/>
    <s v="COD"/>
    <x v="0"/>
    <d v="2023-03-16T00:00:00"/>
    <n v="1"/>
    <n v="4"/>
    <x v="0"/>
  </r>
  <r>
    <s v="ORD01066"/>
    <d v="2023-03-08T00:00:00"/>
    <s v="CUST0204"/>
    <s v="Rohit"/>
    <s v="Bangalore"/>
    <s v="Karnataka"/>
    <x v="5"/>
    <x v="0"/>
    <s v="Furniture"/>
    <n v="56187"/>
    <n v="63410.252125907558"/>
    <n v="3"/>
    <n v="0"/>
    <n v="190230.75637772266"/>
    <n v="168561"/>
    <n v="21669.756377722661"/>
    <s v="Credit Card"/>
    <x v="0"/>
    <d v="2023-03-17T00:00:00"/>
    <n v="6"/>
    <n v="4"/>
    <x v="2"/>
  </r>
  <r>
    <s v="ORD00450"/>
    <d v="2023-03-09T00:00:00"/>
    <s v="CUST0187"/>
    <s v="Nikhil"/>
    <s v="Ahmedabad"/>
    <s v="Gujarat"/>
    <x v="9"/>
    <x v="2"/>
    <s v="TV"/>
    <n v="65871"/>
    <n v="77660.108115457901"/>
    <n v="4"/>
    <n v="5"/>
    <n v="295108.41083874"/>
    <n v="263484"/>
    <n v="31624.410838740005"/>
    <s v="UPI"/>
    <x v="0"/>
    <d v="2023-03-18T00:00:00"/>
    <n v="5"/>
    <n v="3"/>
    <x v="0"/>
  </r>
  <r>
    <s v="ORD00112"/>
    <d v="2023-03-10T00:00:00"/>
    <s v="CUST0021"/>
    <s v="Divya"/>
    <s v="Mumbai"/>
    <s v="Maharashtra"/>
    <x v="8"/>
    <x v="3"/>
    <s v="Fragrance"/>
    <n v="691"/>
    <n v="1193.5883952937404"/>
    <n v="1"/>
    <n v="5"/>
    <n v="1133.9089755290534"/>
    <n v="691"/>
    <n v="442.90897552905335"/>
    <s v="Debit Card"/>
    <x v="0"/>
    <d v="2023-03-14T00:00:00"/>
    <n v="1"/>
    <n v="5"/>
    <x v="0"/>
  </r>
  <r>
    <s v="ORD00431"/>
    <d v="2023-03-10T00:00:00"/>
    <s v="CUST0155"/>
    <s v="Nikhil"/>
    <s v="Kolkata"/>
    <s v="West Bengal"/>
    <x v="3"/>
    <x v="2"/>
    <s v="Accessories"/>
    <n v="1173"/>
    <n v="1224.4399899655427"/>
    <n v="2"/>
    <n v="10"/>
    <n v="2203.991981937977"/>
    <n v="2346"/>
    <n v="-142.00801806202298"/>
    <s v="UPI"/>
    <x v="1"/>
    <m/>
    <n v="7"/>
    <n v="3"/>
    <x v="1"/>
  </r>
  <r>
    <s v="ORD00902"/>
    <d v="2023-03-10T00:00:00"/>
    <s v="CUST0188"/>
    <s v="Manoj"/>
    <s v="Delhi"/>
    <s v="Delhi"/>
    <x v="10"/>
    <x v="2"/>
    <s v="Mobile"/>
    <n v="79546"/>
    <n v="103733.13340275078"/>
    <n v="1"/>
    <n v="0"/>
    <n v="103733.13340275078"/>
    <n v="79546"/>
    <n v="24187.133402750784"/>
    <s v="UPI"/>
    <x v="0"/>
    <d v="2023-03-16T00:00:00"/>
    <n v="3"/>
    <n v="4"/>
    <x v="0"/>
  </r>
  <r>
    <s v="ORD00357"/>
    <d v="2023-03-11T00:00:00"/>
    <s v="CUST0261"/>
    <s v="Sneha"/>
    <s v="Kolkata"/>
    <s v="West Bengal"/>
    <x v="4"/>
    <x v="1"/>
    <s v="Footwear"/>
    <n v="2727"/>
    <n v="4178.1008631756386"/>
    <n v="3"/>
    <n v="10"/>
    <n v="11280.872330574226"/>
    <n v="8181"/>
    <n v="3099.872330574226"/>
    <s v="Credit Card"/>
    <x v="0"/>
    <d v="2023-03-24T00:00:00"/>
    <n v="6"/>
    <n v="2"/>
    <x v="0"/>
  </r>
  <r>
    <s v="ORD00557"/>
    <d v="2023-03-11T00:00:00"/>
    <s v="CUST0210"/>
    <s v="Rohit"/>
    <s v="Bangalore"/>
    <s v="Karnataka"/>
    <x v="8"/>
    <x v="3"/>
    <s v="Fragrance"/>
    <n v="869"/>
    <n v="1478.1072670797266"/>
    <n v="4"/>
    <n v="15"/>
    <n v="5025.5647080710705"/>
    <n v="3476"/>
    <n v="1549.5647080710705"/>
    <s v="Credit Card"/>
    <x v="1"/>
    <m/>
    <n v="10"/>
    <n v="1"/>
    <x v="1"/>
  </r>
  <r>
    <s v="ORD00844"/>
    <d v="2023-03-11T00:00:00"/>
    <s v="CUST0073"/>
    <s v="Neha"/>
    <s v="Ahmedabad"/>
    <s v="Gujarat"/>
    <x v="10"/>
    <x v="2"/>
    <s v="Mobile"/>
    <n v="76477"/>
    <n v="82608.646304519789"/>
    <n v="3"/>
    <n v="20"/>
    <n v="198260.75113084749"/>
    <n v="229431"/>
    <n v="-31170.248869152507"/>
    <s v="UPI"/>
    <x v="0"/>
    <d v="2023-03-17T00:00:00"/>
    <n v="1"/>
    <n v="4"/>
    <x v="0"/>
  </r>
  <r>
    <s v="ORD00317"/>
    <d v="2023-03-12T00:00:00"/>
    <s v="CUST0101"/>
    <s v="Kiran"/>
    <s v="Mumbai"/>
    <s v="Maharashtra"/>
    <x v="6"/>
    <x v="1"/>
    <s v="Men"/>
    <n v="860"/>
    <n v="1229.5086205758"/>
    <n v="2"/>
    <n v="10"/>
    <n v="2213.11551703644"/>
    <n v="1720"/>
    <n v="493.11551703644"/>
    <s v="COD"/>
    <x v="0"/>
    <d v="2023-03-21T00:00:00"/>
    <n v="5"/>
    <n v="3"/>
    <x v="0"/>
  </r>
  <r>
    <s v="ORD00339"/>
    <d v="2023-03-12T00:00:00"/>
    <s v="CUST0178"/>
    <s v="Ramesh"/>
    <s v="Chennai"/>
    <s v="Tamil Nadu"/>
    <x v="6"/>
    <x v="1"/>
    <s v="Men"/>
    <n v="1410"/>
    <n v="1464.9859560508417"/>
    <n v="1"/>
    <n v="10"/>
    <n v="1318.4873604457575"/>
    <n v="1410"/>
    <n v="-91.512639554242469"/>
    <s v="Credit Card"/>
    <x v="1"/>
    <m/>
    <n v="8"/>
    <n v="2"/>
    <x v="1"/>
  </r>
  <r>
    <s v="ORD00349"/>
    <d v="2023-03-12T00:00:00"/>
    <s v="CUST0209"/>
    <s v="Meena"/>
    <s v="Hyderabad"/>
    <s v="Telangana"/>
    <x v="10"/>
    <x v="2"/>
    <s v="Mobile"/>
    <n v="51804"/>
    <n v="77973.341064298394"/>
    <n v="1"/>
    <n v="5"/>
    <n v="74074.674011083465"/>
    <n v="51804"/>
    <n v="22270.674011083465"/>
    <s v="COD"/>
    <x v="0"/>
    <d v="2023-03-22T00:00:00"/>
    <n v="6"/>
    <n v="2"/>
    <x v="0"/>
  </r>
  <r>
    <s v="ORD00587"/>
    <d v="2023-03-12T00:00:00"/>
    <s v="CUST0041"/>
    <s v="Rahul"/>
    <s v="Pune"/>
    <s v="Maharashtra"/>
    <x v="11"/>
    <x v="2"/>
    <s v="Computers"/>
    <n v="47478"/>
    <n v="53895.72308733112"/>
    <n v="1"/>
    <n v="5"/>
    <n v="51200.936932964563"/>
    <n v="47478"/>
    <n v="3722.9369329645633"/>
    <s v="UPI"/>
    <x v="0"/>
    <d v="2023-03-22T00:00:00"/>
    <n v="4"/>
    <n v="2"/>
    <x v="0"/>
  </r>
  <r>
    <s v="ORD00745"/>
    <d v="2023-03-12T00:00:00"/>
    <s v="CUST0262"/>
    <s v="Sneha"/>
    <s v="Chennai"/>
    <s v="Tamil Nadu"/>
    <x v="3"/>
    <x v="2"/>
    <s v="Accessories"/>
    <n v="1998"/>
    <n v="2801.7766645147999"/>
    <n v="2"/>
    <n v="5"/>
    <n v="5323.3756625781198"/>
    <n v="3996"/>
    <n v="1327.3756625781198"/>
    <s v="Credit Card"/>
    <x v="0"/>
    <d v="2023-03-18T00:00:00"/>
    <n v="1"/>
    <n v="4"/>
    <x v="0"/>
  </r>
  <r>
    <s v="ORD01154"/>
    <d v="2023-03-12T00:00:00"/>
    <s v="CUST0047"/>
    <s v="Rahul"/>
    <s v="Kolkata"/>
    <s v="West Bengal"/>
    <x v="3"/>
    <x v="2"/>
    <s v="Accessories"/>
    <n v="1187"/>
    <n v="1535.8026226173442"/>
    <n v="4"/>
    <n v="20"/>
    <n v="4914.5683923755023"/>
    <n v="4748"/>
    <n v="166.5683923755023"/>
    <s v="Credit Card"/>
    <x v="0"/>
    <d v="2023-03-17T00:00:00"/>
    <n v="2"/>
    <n v="5"/>
    <x v="0"/>
  </r>
  <r>
    <s v="ORD00088"/>
    <d v="2023-03-13T00:00:00"/>
    <s v="CUST0215"/>
    <s v="Divya"/>
    <s v="Chennai"/>
    <s v="Tamil Nadu"/>
    <x v="8"/>
    <x v="3"/>
    <s v="Fragrance"/>
    <n v="708"/>
    <n v="1055.3458638580867"/>
    <n v="5"/>
    <n v="15"/>
    <n v="4485.2199213968688"/>
    <n v="3540"/>
    <n v="945.21992139686881"/>
    <s v="UPI"/>
    <x v="0"/>
    <d v="2023-03-20T00:00:00"/>
    <n v="4"/>
    <n v="4"/>
    <x v="0"/>
  </r>
  <r>
    <s v="ORD00380"/>
    <d v="2023-03-13T00:00:00"/>
    <s v="CUST0139"/>
    <s v="Deepika"/>
    <s v="Bangalore"/>
    <s v="Karnataka"/>
    <x v="0"/>
    <x v="0"/>
    <s v="Kitchen"/>
    <n v="6306"/>
    <n v="7596.3227898495797"/>
    <n v="5"/>
    <n v="20"/>
    <n v="30385.291159398319"/>
    <n v="31530"/>
    <n v="-1144.708840601681"/>
    <s v="COD"/>
    <x v="0"/>
    <d v="2023-03-28T00:00:00"/>
    <n v="8"/>
    <n v="3"/>
    <x v="0"/>
  </r>
  <r>
    <s v="ORD00385"/>
    <d v="2023-03-13T00:00:00"/>
    <s v="CUST0148"/>
    <s v="Rohit"/>
    <s v="Kolkata"/>
    <s v="West Bengal"/>
    <x v="1"/>
    <x v="1"/>
    <s v="Men"/>
    <n v="523"/>
    <n v="938.21366451128233"/>
    <n v="3"/>
    <n v="15"/>
    <n v="2392.4448445037697"/>
    <n v="1569"/>
    <n v="823.44484450376967"/>
    <s v="UPI"/>
    <x v="0"/>
    <d v="2023-03-20T00:00:00"/>
    <n v="4"/>
    <n v="4"/>
    <x v="0"/>
  </r>
  <r>
    <s v="ORD00560"/>
    <d v="2023-03-13T00:00:00"/>
    <s v="CUST0069"/>
    <s v="Vikram"/>
    <s v="Hyderabad"/>
    <s v="Telangana"/>
    <x v="7"/>
    <x v="3"/>
    <s v="Skincare"/>
    <n v="487"/>
    <n v="827.43193831717019"/>
    <n v="1"/>
    <n v="20"/>
    <n v="661.94555065373618"/>
    <n v="487"/>
    <n v="174.94555065373618"/>
    <s v="COD"/>
    <x v="1"/>
    <m/>
    <n v="10"/>
    <n v="1"/>
    <x v="1"/>
  </r>
  <r>
    <s v="ORD01098"/>
    <d v="2023-03-13T00:00:00"/>
    <s v="CUST0252"/>
    <s v="Neha"/>
    <s v="Bangalore"/>
    <s v="Karnataka"/>
    <x v="5"/>
    <x v="0"/>
    <s v="Furniture"/>
    <n v="35222"/>
    <n v="55055.745772421658"/>
    <n v="3"/>
    <n v="15"/>
    <n v="140392.15171967522"/>
    <n v="105666"/>
    <n v="34726.151719675225"/>
    <s v="COD"/>
    <x v="0"/>
    <d v="2023-03-27T00:00:00"/>
    <n v="7"/>
    <n v="4"/>
    <x v="2"/>
  </r>
  <r>
    <s v="ORD00249"/>
    <d v="2023-03-14T00:00:00"/>
    <s v="CUST0265"/>
    <s v="Kavya"/>
    <s v="Pune"/>
    <s v="Maharashtra"/>
    <x v="3"/>
    <x v="2"/>
    <s v="Accessories"/>
    <n v="885"/>
    <n v="968.71984253043138"/>
    <n v="1"/>
    <n v="15"/>
    <n v="823.41186615086667"/>
    <n v="885"/>
    <n v="-61.588133849133328"/>
    <s v="Credit Card"/>
    <x v="0"/>
    <d v="2023-03-21T00:00:00"/>
    <n v="1"/>
    <n v="5"/>
    <x v="0"/>
  </r>
  <r>
    <s v="ORD00363"/>
    <d v="2023-03-14T00:00:00"/>
    <s v="CUST0198"/>
    <s v="Pooja"/>
    <s v="Ahmedabad"/>
    <s v="Gujarat"/>
    <x v="6"/>
    <x v="1"/>
    <s v="Men"/>
    <n v="1442"/>
    <n v="1899.3128752014275"/>
    <n v="2"/>
    <n v="0"/>
    <n v="3798.6257504028549"/>
    <n v="2884"/>
    <n v="914.62575040285492"/>
    <s v="Credit Card"/>
    <x v="0"/>
    <d v="2023-03-20T00:00:00"/>
    <n v="3"/>
    <n v="3"/>
    <x v="0"/>
  </r>
  <r>
    <s v="ORD00467"/>
    <d v="2023-03-14T00:00:00"/>
    <s v="CUST0019"/>
    <s v="Deepika"/>
    <s v="Mumbai"/>
    <s v="Maharashtra"/>
    <x v="5"/>
    <x v="0"/>
    <s v="Furniture"/>
    <n v="51729"/>
    <n v="62113.103508774446"/>
    <n v="1"/>
    <n v="10"/>
    <n v="55901.793157897002"/>
    <n v="51729"/>
    <n v="4172.7931578970019"/>
    <s v="UPI"/>
    <x v="0"/>
    <d v="2023-03-22T00:00:00"/>
    <n v="1"/>
    <n v="5"/>
    <x v="0"/>
  </r>
  <r>
    <s v="ORD00792"/>
    <d v="2023-03-14T00:00:00"/>
    <s v="CUST0121"/>
    <s v="Neha"/>
    <s v="Kolkata"/>
    <s v="West Bengal"/>
    <x v="11"/>
    <x v="2"/>
    <s v="Computers"/>
    <n v="33072"/>
    <n v="49171.723593234994"/>
    <n v="1"/>
    <n v="0"/>
    <n v="49171.723593234994"/>
    <n v="33072"/>
    <n v="16099.723593234994"/>
    <s v="Debit Card"/>
    <x v="0"/>
    <d v="2023-03-27T00:00:00"/>
    <n v="6"/>
    <n v="3"/>
    <x v="0"/>
  </r>
  <r>
    <s v="ORD00311"/>
    <d v="2023-03-15T00:00:00"/>
    <s v="CUST0154"/>
    <s v="Ramesh"/>
    <s v="Mumbai"/>
    <s v="Maharashtra"/>
    <x v="3"/>
    <x v="2"/>
    <s v="Accessories"/>
    <n v="1832"/>
    <n v="2287.1704800764128"/>
    <n v="2"/>
    <n v="15"/>
    <n v="3888.1898161299018"/>
    <n v="3664"/>
    <n v="224.18981612990183"/>
    <s v="Credit Card"/>
    <x v="1"/>
    <m/>
    <n v="10"/>
    <n v="1"/>
    <x v="1"/>
  </r>
  <r>
    <s v="ORD00386"/>
    <d v="2023-03-15T00:00:00"/>
    <s v="CUST0036"/>
    <s v="Pooja"/>
    <s v="Mumbai"/>
    <s v="Maharashtra"/>
    <x v="10"/>
    <x v="2"/>
    <s v="Mobile"/>
    <n v="74120"/>
    <n v="117863.49701731667"/>
    <n v="4"/>
    <n v="10"/>
    <n v="424308.58926233998"/>
    <n v="296480"/>
    <n v="127828.58926233998"/>
    <s v="Credit Card"/>
    <x v="1"/>
    <m/>
    <n v="9"/>
    <n v="1"/>
    <x v="1"/>
  </r>
  <r>
    <s v="ORD00594"/>
    <d v="2023-03-15T00:00:00"/>
    <s v="CUST0195"/>
    <s v="Anjali"/>
    <s v="Delhi"/>
    <s v="Delhi"/>
    <x v="0"/>
    <x v="0"/>
    <s v="Kitchen"/>
    <n v="3685"/>
    <n v="4706.6654063913766"/>
    <n v="1"/>
    <n v="20"/>
    <n v="3765.3323251131014"/>
    <n v="3685"/>
    <n v="80.332325113101433"/>
    <s v="UPI"/>
    <x v="1"/>
    <m/>
    <n v="9"/>
    <n v="1"/>
    <x v="1"/>
  </r>
  <r>
    <s v="ORD00694"/>
    <d v="2023-03-15T00:00:00"/>
    <s v="CUST0004"/>
    <s v="Priya"/>
    <s v="Mumbai"/>
    <s v="Maharashtra"/>
    <x v="4"/>
    <x v="1"/>
    <s v="Footwear"/>
    <n v="2293"/>
    <n v="3644.670558915479"/>
    <n v="3"/>
    <n v="0"/>
    <n v="10934.011676746437"/>
    <n v="6879"/>
    <n v="4055.0116767464369"/>
    <s v="Debit Card"/>
    <x v="1"/>
    <m/>
    <n v="9"/>
    <n v="1"/>
    <x v="1"/>
  </r>
  <r>
    <s v="ORD00700"/>
    <d v="2023-03-15T00:00:00"/>
    <s v="CUST0142"/>
    <s v="Neha"/>
    <s v="Mumbai"/>
    <s v="Maharashtra"/>
    <x v="0"/>
    <x v="0"/>
    <s v="Kitchen"/>
    <n v="6961"/>
    <n v="10350.482804299936"/>
    <n v="4"/>
    <n v="0"/>
    <n v="41401.931217199744"/>
    <n v="27844"/>
    <n v="13557.931217199744"/>
    <s v="UPI"/>
    <x v="0"/>
    <d v="2023-03-25T00:00:00"/>
    <n v="5"/>
    <n v="2"/>
    <x v="0"/>
  </r>
  <r>
    <s v="ORD00778"/>
    <d v="2023-03-15T00:00:00"/>
    <s v="CUST0032"/>
    <s v="Deepika"/>
    <s v="Pune"/>
    <s v="Maharashtra"/>
    <x v="6"/>
    <x v="1"/>
    <s v="Men"/>
    <n v="850"/>
    <n v="1491.0955131934077"/>
    <n v="2"/>
    <n v="0"/>
    <n v="2982.1910263868153"/>
    <n v="1700"/>
    <n v="1282.1910263868153"/>
    <s v="Credit Card"/>
    <x v="0"/>
    <d v="2023-03-25T00:00:00"/>
    <n v="3"/>
    <n v="4"/>
    <x v="0"/>
  </r>
  <r>
    <s v="ORD01069"/>
    <d v="2023-03-15T00:00:00"/>
    <s v="CUST0153"/>
    <s v="Arjun"/>
    <s v="Delhi"/>
    <s v="Delhi"/>
    <x v="6"/>
    <x v="1"/>
    <s v="Men"/>
    <n v="816"/>
    <n v="1014.6755183207433"/>
    <n v="1"/>
    <n v="0"/>
    <n v="1014.6755183207433"/>
    <n v="816"/>
    <n v="198.67551832074332"/>
    <s v="COD"/>
    <x v="0"/>
    <d v="2023-03-22T00:00:00"/>
    <n v="1"/>
    <n v="5"/>
    <x v="0"/>
  </r>
  <r>
    <s v="ORD00065"/>
    <d v="2023-03-16T00:00:00"/>
    <s v="CUST0090"/>
    <s v="Anjali"/>
    <s v="Ahmedabad"/>
    <s v="Gujarat"/>
    <x v="6"/>
    <x v="1"/>
    <s v="Men"/>
    <n v="1450"/>
    <n v="2060.2525819617299"/>
    <n v="1"/>
    <n v="15"/>
    <n v="1751.2146946674704"/>
    <n v="1450"/>
    <n v="301.21469466747044"/>
    <s v="UPI"/>
    <x v="1"/>
    <m/>
    <n v="7"/>
    <n v="4"/>
    <x v="1"/>
  </r>
  <r>
    <s v="ORD00920"/>
    <d v="2023-03-16T00:00:00"/>
    <s v="CUST0124"/>
    <s v="Rahul"/>
    <s v="Delhi"/>
    <s v="Delhi"/>
    <x v="8"/>
    <x v="3"/>
    <s v="Fragrance"/>
    <n v="576"/>
    <n v="713.11783164893734"/>
    <n v="5"/>
    <n v="0"/>
    <n v="3565.5891582446866"/>
    <n v="2880"/>
    <n v="685.58915824468659"/>
    <s v="UPI"/>
    <x v="0"/>
    <d v="2023-03-23T00:00:00"/>
    <n v="2"/>
    <n v="5"/>
    <x v="0"/>
  </r>
  <r>
    <s v="ORD00924"/>
    <d v="2023-03-16T00:00:00"/>
    <s v="CUST0220"/>
    <s v="Pooja"/>
    <s v="Delhi"/>
    <s v="Delhi"/>
    <x v="5"/>
    <x v="0"/>
    <s v="Furniture"/>
    <n v="51707"/>
    <n v="90370.402491188928"/>
    <n v="3"/>
    <n v="0"/>
    <n v="271111.20747356676"/>
    <n v="155121"/>
    <n v="115990.20747356676"/>
    <s v="COD"/>
    <x v="0"/>
    <d v="2023-03-26T00:00:00"/>
    <n v="4"/>
    <n v="3"/>
    <x v="0"/>
  </r>
  <r>
    <s v="ORD01045"/>
    <d v="2023-03-16T00:00:00"/>
    <s v="CUST0004"/>
    <s v="Kavya"/>
    <s v="Mumbai"/>
    <s v="Maharashtra"/>
    <x v="10"/>
    <x v="2"/>
    <s v="Mobile"/>
    <n v="52185"/>
    <n v="66139.411891089418"/>
    <n v="1"/>
    <n v="0"/>
    <n v="66139.411891089418"/>
    <n v="52185"/>
    <n v="13954.411891089418"/>
    <s v="UPI"/>
    <x v="1"/>
    <m/>
    <n v="10"/>
    <n v="1"/>
    <x v="1"/>
  </r>
  <r>
    <s v="ORD01100"/>
    <d v="2023-03-16T00:00:00"/>
    <s v="CUST0262"/>
    <s v="Pooja"/>
    <s v="Bangalore"/>
    <s v="Karnataka"/>
    <x v="9"/>
    <x v="2"/>
    <s v="TV"/>
    <n v="69472"/>
    <n v="81831.963672991013"/>
    <n v="1"/>
    <n v="10"/>
    <n v="73648.767305691916"/>
    <n v="69472"/>
    <n v="4176.7673056919157"/>
    <s v="Debit Card"/>
    <x v="1"/>
    <m/>
    <n v="8"/>
    <n v="4"/>
    <x v="1"/>
  </r>
  <r>
    <s v="ORD00032"/>
    <d v="2023-03-17T00:00:00"/>
    <s v="CUST0173"/>
    <s v="Neha"/>
    <s v="Mumbai"/>
    <s v="Maharashtra"/>
    <x v="11"/>
    <x v="2"/>
    <s v="Computers"/>
    <n v="35094"/>
    <n v="51869.028136194553"/>
    <n v="5"/>
    <n v="15"/>
    <n v="220443.36957882685"/>
    <n v="175470"/>
    <n v="44973.369578826852"/>
    <s v="Credit Card"/>
    <x v="0"/>
    <d v="2023-03-27T00:00:00"/>
    <n v="4"/>
    <n v="4"/>
    <x v="0"/>
  </r>
  <r>
    <s v="ORD00340"/>
    <d v="2023-03-17T00:00:00"/>
    <s v="CUST0165"/>
    <s v="Pooja"/>
    <s v="Kolkata"/>
    <s v="West Bengal"/>
    <x v="1"/>
    <x v="1"/>
    <s v="Men"/>
    <n v="480"/>
    <n v="536.2141785675758"/>
    <n v="2"/>
    <n v="0"/>
    <n v="1072.4283571351516"/>
    <n v="960"/>
    <n v="112.4283571351516"/>
    <s v="COD"/>
    <x v="0"/>
    <d v="2023-03-25T00:00:00"/>
    <n v="3"/>
    <n v="2"/>
    <x v="0"/>
  </r>
  <r>
    <s v="ORD00758"/>
    <d v="2023-03-18T00:00:00"/>
    <s v="CUST0232"/>
    <s v="Manoj"/>
    <s v="Bangalore"/>
    <s v="Karnataka"/>
    <x v="10"/>
    <x v="2"/>
    <s v="Mobile"/>
    <n v="66519"/>
    <n v="109841.41710085505"/>
    <n v="3"/>
    <n v="0"/>
    <n v="329524.25130256516"/>
    <n v="199557"/>
    <n v="129967.25130256516"/>
    <s v="UPI"/>
    <x v="0"/>
    <d v="2023-03-22T00:00:00"/>
    <n v="1"/>
    <n v="4"/>
    <x v="0"/>
  </r>
  <r>
    <s v="ORD01142"/>
    <d v="2023-03-18T00:00:00"/>
    <s v="CUST0058"/>
    <s v="Amit"/>
    <s v="Chennai"/>
    <s v="Tamil Nadu"/>
    <x v="11"/>
    <x v="2"/>
    <s v="Computers"/>
    <n v="41870"/>
    <n v="58576.824827329081"/>
    <n v="3"/>
    <n v="0"/>
    <n v="175730.47448198724"/>
    <n v="125610"/>
    <n v="50120.474481987243"/>
    <s v="COD"/>
    <x v="0"/>
    <d v="2023-03-31T00:00:00"/>
    <n v="8"/>
    <n v="2"/>
    <x v="0"/>
  </r>
  <r>
    <s v="ORD00689"/>
    <d v="2023-03-19T00:00:00"/>
    <s v="CUST0276"/>
    <s v="Sneha"/>
    <s v="Bangalore"/>
    <s v="Karnataka"/>
    <x v="3"/>
    <x v="2"/>
    <s v="Accessories"/>
    <n v="857"/>
    <n v="1434.1205943868072"/>
    <n v="3"/>
    <n v="20"/>
    <n v="3441.8894265283375"/>
    <n v="2571"/>
    <n v="870.88942652833748"/>
    <s v="Credit Card"/>
    <x v="0"/>
    <d v="2023-03-24T00:00:00"/>
    <n v="1"/>
    <n v="5"/>
    <x v="0"/>
  </r>
  <r>
    <s v="ORD00961"/>
    <d v="2023-03-19T00:00:00"/>
    <s v="CUST0003"/>
    <s v="Deepika"/>
    <s v="Ahmedabad"/>
    <s v="Gujarat"/>
    <x v="9"/>
    <x v="2"/>
    <s v="TV"/>
    <n v="50308"/>
    <n v="87778.549558582206"/>
    <n v="2"/>
    <n v="15"/>
    <n v="149223.53424958975"/>
    <n v="100616"/>
    <n v="48607.534249589749"/>
    <s v="UPI"/>
    <x v="0"/>
    <d v="2023-04-03T00:00:00"/>
    <n v="8"/>
    <n v="3"/>
    <x v="0"/>
  </r>
  <r>
    <s v="ORD00546"/>
    <d v="2023-03-20T00:00:00"/>
    <s v="CUST0061"/>
    <s v="Ramesh"/>
    <s v="Ahmedabad"/>
    <s v="Gujarat"/>
    <x v="2"/>
    <x v="1"/>
    <s v="Women"/>
    <n v="1548"/>
    <n v="2650.6304204863272"/>
    <n v="5"/>
    <n v="5"/>
    <n v="12590.494497310054"/>
    <n v="7740"/>
    <n v="4850.4944973100537"/>
    <s v="Debit Card"/>
    <x v="0"/>
    <d v="2023-03-26T00:00:00"/>
    <n v="1"/>
    <n v="5"/>
    <x v="0"/>
  </r>
  <r>
    <s v="ORD00691"/>
    <d v="2023-03-20T00:00:00"/>
    <s v="CUST0160"/>
    <s v="Nikhil"/>
    <s v="Mumbai"/>
    <s v="Maharashtra"/>
    <x v="3"/>
    <x v="2"/>
    <s v="Accessories"/>
    <n v="1731"/>
    <n v="3016.7349737794389"/>
    <n v="2"/>
    <n v="10"/>
    <n v="5430.1229528029899"/>
    <n v="3462"/>
    <n v="1968.1229528029899"/>
    <s v="UPI"/>
    <x v="0"/>
    <d v="2023-03-26T00:00:00"/>
    <n v="2"/>
    <n v="4"/>
    <x v="0"/>
  </r>
  <r>
    <s v="ORD00719"/>
    <d v="2023-03-20T00:00:00"/>
    <s v="CUST0199"/>
    <s v="Divya"/>
    <s v="Pune"/>
    <s v="Maharashtra"/>
    <x v="1"/>
    <x v="1"/>
    <s v="Men"/>
    <n v="410"/>
    <n v="701.30579036210349"/>
    <n v="3"/>
    <n v="0"/>
    <n v="2103.9173710863106"/>
    <n v="1230"/>
    <n v="873.9173710863106"/>
    <s v="UPI"/>
    <x v="1"/>
    <m/>
    <n v="8"/>
    <n v="4"/>
    <x v="1"/>
  </r>
  <r>
    <s v="ORD00513"/>
    <d v="2023-03-21T00:00:00"/>
    <s v="CUST0060"/>
    <s v="Nikhil"/>
    <s v="Bangalore"/>
    <s v="Karnataka"/>
    <x v="8"/>
    <x v="3"/>
    <s v="Fragrance"/>
    <n v="810"/>
    <n v="811.01729568867484"/>
    <n v="2"/>
    <n v="5"/>
    <n v="1540.9328618084821"/>
    <n v="1620"/>
    <n v="-79.06713819151787"/>
    <s v="COD"/>
    <x v="0"/>
    <d v="2023-03-27T00:00:00"/>
    <n v="2"/>
    <n v="5"/>
    <x v="0"/>
  </r>
  <r>
    <s v="ORD00741"/>
    <d v="2023-03-21T00:00:00"/>
    <s v="CUST0201"/>
    <s v="Amit"/>
    <s v="Hyderabad"/>
    <s v="Telangana"/>
    <x v="9"/>
    <x v="2"/>
    <s v="TV"/>
    <n v="26200"/>
    <n v="31560.415241546685"/>
    <n v="2"/>
    <n v="15"/>
    <n v="53652.70591062936"/>
    <n v="52400"/>
    <n v="1252.70591062936"/>
    <s v="Credit Card"/>
    <x v="1"/>
    <m/>
    <n v="10"/>
    <n v="1"/>
    <x v="1"/>
  </r>
  <r>
    <s v="ORD00933"/>
    <d v="2023-03-21T00:00:00"/>
    <s v="CUST0249"/>
    <s v="Pooja"/>
    <s v="Delhi"/>
    <s v="Delhi"/>
    <x v="5"/>
    <x v="0"/>
    <s v="Furniture"/>
    <n v="55708"/>
    <n v="67125.803066450477"/>
    <n v="2"/>
    <n v="5"/>
    <n v="127539.02582625589"/>
    <n v="111416"/>
    <n v="16123.025826255893"/>
    <s v="Credit Card"/>
    <x v="1"/>
    <m/>
    <n v="9"/>
    <n v="1"/>
    <x v="1"/>
  </r>
  <r>
    <s v="ORD00132"/>
    <d v="2023-03-22T00:00:00"/>
    <s v="CUST0056"/>
    <s v="Meena"/>
    <s v="Ahmedabad"/>
    <s v="Gujarat"/>
    <x v="0"/>
    <x v="0"/>
    <s v="Kitchen"/>
    <n v="6037"/>
    <n v="9149.2283763689684"/>
    <n v="1"/>
    <n v="0"/>
    <n v="9149.2283763689684"/>
    <n v="6037"/>
    <n v="3112.2283763689684"/>
    <s v="Credit Card"/>
    <x v="1"/>
    <m/>
    <n v="10"/>
    <n v="1"/>
    <x v="1"/>
  </r>
  <r>
    <s v="ORD00404"/>
    <d v="2023-03-22T00:00:00"/>
    <s v="CUST0235"/>
    <s v="Meena"/>
    <s v="Chennai"/>
    <s v="Tamil Nadu"/>
    <x v="3"/>
    <x v="2"/>
    <s v="Accessories"/>
    <n v="507"/>
    <n v="698.43012883772712"/>
    <n v="3"/>
    <n v="20"/>
    <n v="1676.2323092105451"/>
    <n v="1521"/>
    <n v="155.23230921054505"/>
    <s v="UPI"/>
    <x v="0"/>
    <d v="2023-03-28T00:00:00"/>
    <n v="1"/>
    <n v="5"/>
    <x v="0"/>
  </r>
  <r>
    <s v="ORD00974"/>
    <d v="2023-03-22T00:00:00"/>
    <s v="CUST0025"/>
    <s v="Meena"/>
    <s v="Delhi"/>
    <s v="Delhi"/>
    <x v="6"/>
    <x v="1"/>
    <s v="Men"/>
    <n v="1437"/>
    <n v="1805.5733822164932"/>
    <n v="4"/>
    <n v="15"/>
    <n v="6138.9494995360765"/>
    <n v="5748"/>
    <n v="390.94949953607647"/>
    <s v="UPI"/>
    <x v="0"/>
    <d v="2023-03-30T00:00:00"/>
    <n v="1"/>
    <n v="5"/>
    <x v="0"/>
  </r>
  <r>
    <s v="ORD00982"/>
    <d v="2023-03-22T00:00:00"/>
    <s v="CUST0015"/>
    <s v="Nikhil"/>
    <s v="Ahmedabad"/>
    <s v="Gujarat"/>
    <x v="2"/>
    <x v="1"/>
    <s v="Women"/>
    <n v="1568"/>
    <n v="2337.5615525572925"/>
    <n v="1"/>
    <n v="0"/>
    <n v="2337.5615525572925"/>
    <n v="1568"/>
    <n v="769.56155255729254"/>
    <s v="Credit Card"/>
    <x v="1"/>
    <m/>
    <n v="8"/>
    <n v="3"/>
    <x v="1"/>
  </r>
  <r>
    <s v="ORD01077"/>
    <d v="2023-03-22T00:00:00"/>
    <s v="CUST0255"/>
    <s v="Sneha"/>
    <s v="Pune"/>
    <s v="Maharashtra"/>
    <x v="1"/>
    <x v="1"/>
    <s v="Men"/>
    <n v="584"/>
    <n v="826.96894670032304"/>
    <n v="5"/>
    <n v="0"/>
    <n v="4134.8447335016153"/>
    <n v="2920"/>
    <n v="1214.8447335016153"/>
    <s v="Debit Card"/>
    <x v="0"/>
    <d v="2023-03-30T00:00:00"/>
    <n v="5"/>
    <n v="3"/>
    <x v="0"/>
  </r>
  <r>
    <s v="ORD00093"/>
    <d v="2023-03-23T00:00:00"/>
    <s v="CUST0289"/>
    <s v="Neha"/>
    <s v="Kolkata"/>
    <s v="West Bengal"/>
    <x v="4"/>
    <x v="1"/>
    <s v="Footwear"/>
    <n v="2147"/>
    <n v="2646.4636951374123"/>
    <n v="2"/>
    <n v="0"/>
    <n v="5292.9273902748246"/>
    <n v="4294"/>
    <n v="998.92739027482457"/>
    <s v="Credit Card"/>
    <x v="0"/>
    <d v="2023-03-29T00:00:00"/>
    <n v="1"/>
    <n v="4"/>
    <x v="0"/>
  </r>
  <r>
    <s v="ORD00603"/>
    <d v="2023-03-23T00:00:00"/>
    <s v="CUST0280"/>
    <s v="Nikhil"/>
    <s v="Ahmedabad"/>
    <s v="Gujarat"/>
    <x v="3"/>
    <x v="2"/>
    <s v="Accessories"/>
    <n v="740"/>
    <n v="1075.7251424969859"/>
    <n v="1"/>
    <n v="10"/>
    <n v="968.15262824728734"/>
    <n v="740"/>
    <n v="228.15262824728734"/>
    <s v="Debit Card"/>
    <x v="1"/>
    <m/>
    <n v="7"/>
    <n v="3"/>
    <x v="1"/>
  </r>
  <r>
    <s v="ORD00891"/>
    <d v="2023-03-23T00:00:00"/>
    <s v="CUST0106"/>
    <s v="Deepika"/>
    <s v="Delhi"/>
    <s v="Delhi"/>
    <x v="0"/>
    <x v="0"/>
    <s v="Kitchen"/>
    <n v="3317"/>
    <n v="4138.5993927462514"/>
    <n v="1"/>
    <n v="0"/>
    <n v="4138.5993927462514"/>
    <n v="3317"/>
    <n v="821.5993927462514"/>
    <s v="Debit Card"/>
    <x v="0"/>
    <d v="2023-04-05T00:00:00"/>
    <n v="6"/>
    <n v="2"/>
    <x v="0"/>
  </r>
  <r>
    <s v="ORD01136"/>
    <d v="2023-03-23T00:00:00"/>
    <s v="CUST0063"/>
    <s v="Divya"/>
    <s v="Mumbai"/>
    <s v="Maharashtra"/>
    <x v="5"/>
    <x v="0"/>
    <s v="Furniture"/>
    <n v="29210"/>
    <n v="31007.458570474213"/>
    <n v="2"/>
    <n v="5"/>
    <n v="58914.171283901"/>
    <n v="58420"/>
    <n v="494.1712839009997"/>
    <s v="Debit Card"/>
    <x v="0"/>
    <d v="2023-03-31T00:00:00"/>
    <n v="4"/>
    <n v="2"/>
    <x v="0"/>
  </r>
  <r>
    <s v="ORD00621"/>
    <d v="2023-03-24T00:00:00"/>
    <s v="CUST0044"/>
    <s v="Sneha"/>
    <s v="Pune"/>
    <s v="Maharashtra"/>
    <x v="8"/>
    <x v="3"/>
    <s v="Fragrance"/>
    <n v="654"/>
    <n v="1103.7972510329425"/>
    <n v="2"/>
    <n v="20"/>
    <n v="1766.0756016527082"/>
    <n v="1308"/>
    <n v="458.0756016527082"/>
    <s v="Debit Card"/>
    <x v="0"/>
    <d v="2023-04-03T00:00:00"/>
    <n v="6"/>
    <n v="4"/>
    <x v="2"/>
  </r>
  <r>
    <s v="ORD00946"/>
    <d v="2023-03-24T00:00:00"/>
    <s v="CUST0012"/>
    <s v="Suresh"/>
    <s v="Hyderabad"/>
    <s v="Telangana"/>
    <x v="2"/>
    <x v="1"/>
    <s v="Women"/>
    <n v="1774"/>
    <n v="2450.8526949143115"/>
    <n v="5"/>
    <n v="10"/>
    <n v="11028.837127114402"/>
    <n v="8870"/>
    <n v="2158.8371271144024"/>
    <s v="UPI"/>
    <x v="1"/>
    <m/>
    <n v="10"/>
    <n v="1"/>
    <x v="1"/>
  </r>
  <r>
    <s v="ORD01159"/>
    <d v="2023-03-24T00:00:00"/>
    <s v="CUST0244"/>
    <s v="Swathi"/>
    <s v="Bangalore"/>
    <s v="Karnataka"/>
    <x v="1"/>
    <x v="1"/>
    <s v="Men"/>
    <n v="554"/>
    <n v="818.37303066096365"/>
    <n v="5"/>
    <n v="15"/>
    <n v="3478.0853803090954"/>
    <n v="2770"/>
    <n v="708.0853803090954"/>
    <s v="Debit Card"/>
    <x v="0"/>
    <d v="2023-04-03T00:00:00"/>
    <n v="5"/>
    <n v="3"/>
    <x v="0"/>
  </r>
  <r>
    <s v="ORD00300"/>
    <d v="2023-03-25T00:00:00"/>
    <s v="CUST0101"/>
    <s v="Vikram"/>
    <s v="Kolkata"/>
    <s v="West Bengal"/>
    <x v="9"/>
    <x v="2"/>
    <s v="TV"/>
    <n v="35363"/>
    <n v="39494.582115325669"/>
    <n v="1"/>
    <n v="10"/>
    <n v="35545.123903793101"/>
    <n v="35363"/>
    <n v="182.12390379310091"/>
    <s v="Credit Card"/>
    <x v="1"/>
    <m/>
    <n v="10"/>
    <n v="1"/>
    <x v="1"/>
  </r>
  <r>
    <s v="ORD01055"/>
    <d v="2023-03-25T00:00:00"/>
    <s v="CUST0165"/>
    <s v="Ramesh"/>
    <s v="Hyderabad"/>
    <s v="Telangana"/>
    <x v="11"/>
    <x v="2"/>
    <s v="Computers"/>
    <n v="38160"/>
    <n v="50715.016535861359"/>
    <n v="5"/>
    <n v="15"/>
    <n v="215538.82027741076"/>
    <n v="190800"/>
    <n v="24738.820277410763"/>
    <s v="COD"/>
    <x v="1"/>
    <m/>
    <n v="8"/>
    <n v="4"/>
    <x v="1"/>
  </r>
  <r>
    <s v="ORD01188"/>
    <d v="2023-03-25T00:00:00"/>
    <s v="CUST0042"/>
    <s v="Ramesh"/>
    <s v="Bangalore"/>
    <s v="Karnataka"/>
    <x v="0"/>
    <x v="0"/>
    <s v="Kitchen"/>
    <n v="4683"/>
    <n v="4899.5077069293993"/>
    <n v="4"/>
    <n v="0"/>
    <n v="19598.030827717597"/>
    <n v="18732"/>
    <n v="866.03082771759728"/>
    <s v="COD"/>
    <x v="0"/>
    <d v="2023-04-01T00:00:00"/>
    <n v="3"/>
    <n v="4"/>
    <x v="0"/>
  </r>
  <r>
    <s v="ORD00146"/>
    <d v="2023-03-26T00:00:00"/>
    <s v="CUST0128"/>
    <s v="Rohit"/>
    <s v="Ahmedabad"/>
    <s v="Gujarat"/>
    <x v="7"/>
    <x v="3"/>
    <s v="Skincare"/>
    <n v="583"/>
    <n v="981.13013884248119"/>
    <n v="1"/>
    <n v="20"/>
    <n v="784.90411107398495"/>
    <n v="583"/>
    <n v="201.90411107398495"/>
    <s v="UPI"/>
    <x v="0"/>
    <d v="2023-04-04T00:00:00"/>
    <n v="4"/>
    <n v="2"/>
    <x v="0"/>
  </r>
  <r>
    <s v="ORD00679"/>
    <d v="2023-03-26T00:00:00"/>
    <s v="CUST0214"/>
    <s v="Neha"/>
    <s v="Ahmedabad"/>
    <s v="Gujarat"/>
    <x v="1"/>
    <x v="1"/>
    <s v="Men"/>
    <n v="351"/>
    <n v="407.55455250853061"/>
    <n v="1"/>
    <n v="5"/>
    <n v="387.17682488310408"/>
    <n v="351"/>
    <n v="36.176824883104075"/>
    <s v="UPI"/>
    <x v="1"/>
    <m/>
    <n v="10"/>
    <n v="1"/>
    <x v="1"/>
  </r>
  <r>
    <s v="ORD00807"/>
    <d v="2023-03-26T00:00:00"/>
    <s v="CUST0025"/>
    <s v="Meena"/>
    <s v="Mumbai"/>
    <s v="Maharashtra"/>
    <x v="1"/>
    <x v="1"/>
    <s v="Men"/>
    <n v="643"/>
    <n v="789.09557699982213"/>
    <n v="1"/>
    <n v="0"/>
    <n v="789.09557699982213"/>
    <n v="643"/>
    <n v="146.09557699982213"/>
    <s v="Credit Card"/>
    <x v="0"/>
    <d v="2023-04-01T00:00:00"/>
    <n v="2"/>
    <n v="4"/>
    <x v="0"/>
  </r>
  <r>
    <s v="ORD00966"/>
    <d v="2023-03-26T00:00:00"/>
    <s v="CUST0206"/>
    <s v="Arjun"/>
    <s v="Delhi"/>
    <s v="Delhi"/>
    <x v="5"/>
    <x v="0"/>
    <s v="Furniture"/>
    <n v="29646"/>
    <n v="45263.705026562136"/>
    <n v="4"/>
    <n v="20"/>
    <n v="144843.85608499884"/>
    <n v="118584"/>
    <n v="26259.856084998843"/>
    <s v="UPI"/>
    <x v="0"/>
    <d v="2023-04-04T00:00:00"/>
    <n v="4"/>
    <n v="2"/>
    <x v="0"/>
  </r>
  <r>
    <s v="ORD01003"/>
    <d v="2023-03-27T00:00:00"/>
    <s v="CUST0119"/>
    <s v="Kavya"/>
    <s v="Pune"/>
    <s v="Maharashtra"/>
    <x v="3"/>
    <x v="2"/>
    <s v="Accessories"/>
    <n v="611"/>
    <n v="1084.1463054246096"/>
    <n v="5"/>
    <n v="20"/>
    <n v="4336.5852216984385"/>
    <n v="3055"/>
    <n v="1281.5852216984385"/>
    <s v="Credit Card"/>
    <x v="0"/>
    <d v="2023-04-01T00:00:00"/>
    <n v="2"/>
    <n v="4"/>
    <x v="0"/>
  </r>
  <r>
    <s v="ORD01190"/>
    <d v="2023-03-27T00:00:00"/>
    <s v="CUST0282"/>
    <s v="Meena"/>
    <s v="Hyderabad"/>
    <s v="Telangana"/>
    <x v="7"/>
    <x v="3"/>
    <s v="Skincare"/>
    <n v="485"/>
    <n v="809.91798132643919"/>
    <n v="1"/>
    <n v="15"/>
    <n v="688.43028412747333"/>
    <n v="485"/>
    <n v="203.43028412747333"/>
    <s v="Credit Card"/>
    <x v="0"/>
    <d v="2023-04-05T00:00:00"/>
    <n v="5"/>
    <n v="2"/>
    <x v="0"/>
  </r>
  <r>
    <s v="ORD00259"/>
    <d v="2023-03-28T00:00:00"/>
    <s v="CUST0175"/>
    <s v="Kiran"/>
    <s v="Pune"/>
    <s v="Maharashtra"/>
    <x v="7"/>
    <x v="3"/>
    <s v="Skincare"/>
    <n v="252"/>
    <n v="368.43849749459952"/>
    <n v="3"/>
    <n v="15"/>
    <n v="939.51816861122882"/>
    <n v="756"/>
    <n v="183.51816861122882"/>
    <s v="UPI"/>
    <x v="1"/>
    <m/>
    <n v="9"/>
    <n v="1"/>
    <x v="1"/>
  </r>
  <r>
    <s v="ORD00454"/>
    <d v="2023-03-28T00:00:00"/>
    <s v="CUST0044"/>
    <s v="Suresh"/>
    <s v="Pune"/>
    <s v="Maharashtra"/>
    <x v="6"/>
    <x v="1"/>
    <s v="Men"/>
    <n v="1494"/>
    <n v="2042.5392352023493"/>
    <n v="2"/>
    <n v="5"/>
    <n v="3880.8245468844634"/>
    <n v="2988"/>
    <n v="892.82454688446342"/>
    <s v="UPI"/>
    <x v="0"/>
    <d v="2023-04-10T00:00:00"/>
    <n v="6"/>
    <n v="2"/>
    <x v="0"/>
  </r>
  <r>
    <s v="ORD00692"/>
    <d v="2023-03-29T00:00:00"/>
    <s v="CUST0072"/>
    <s v="Sneha"/>
    <s v="Chennai"/>
    <s v="Tamil Nadu"/>
    <x v="0"/>
    <x v="0"/>
    <s v="Kitchen"/>
    <n v="3026"/>
    <n v="3739.8020743684724"/>
    <n v="3"/>
    <n v="15"/>
    <n v="9536.4952896396044"/>
    <n v="9078"/>
    <n v="458.49528963960438"/>
    <s v="UPI"/>
    <x v="0"/>
    <d v="2023-04-09T00:00:00"/>
    <n v="4"/>
    <n v="2"/>
    <x v="0"/>
  </r>
  <r>
    <s v="ORD00168"/>
    <d v="2023-03-30T00:00:00"/>
    <s v="CUST0223"/>
    <s v="Rahul"/>
    <s v="Pune"/>
    <s v="Maharashtra"/>
    <x v="3"/>
    <x v="2"/>
    <s v="Accessories"/>
    <n v="878"/>
    <n v="1428.4816293207314"/>
    <n v="5"/>
    <n v="20"/>
    <n v="5713.9265172829255"/>
    <n v="4390"/>
    <n v="1323.9265172829255"/>
    <s v="Credit Card"/>
    <x v="0"/>
    <d v="2023-04-08T00:00:00"/>
    <n v="5"/>
    <n v="3"/>
    <x v="0"/>
  </r>
  <r>
    <s v="ORD00457"/>
    <d v="2023-03-30T00:00:00"/>
    <s v="CUST0088"/>
    <s v="Kavya"/>
    <s v="Ahmedabad"/>
    <s v="Gujarat"/>
    <x v="5"/>
    <x v="0"/>
    <s v="Furniture"/>
    <n v="40880"/>
    <n v="66925.014786963351"/>
    <n v="1"/>
    <n v="20"/>
    <n v="53540.011829570685"/>
    <n v="40880"/>
    <n v="12660.011829570685"/>
    <s v="UPI"/>
    <x v="0"/>
    <d v="2023-04-08T00:00:00"/>
    <n v="6"/>
    <n v="3"/>
    <x v="0"/>
  </r>
  <r>
    <s v="ORD00614"/>
    <d v="2023-03-30T00:00:00"/>
    <s v="CUST0278"/>
    <s v="Manoj"/>
    <s v="Hyderabad"/>
    <s v="Telangana"/>
    <x v="0"/>
    <x v="0"/>
    <s v="Kitchen"/>
    <n v="6965"/>
    <n v="11136.886605194008"/>
    <n v="4"/>
    <n v="15"/>
    <n v="37865.414457659623"/>
    <n v="27860"/>
    <n v="10005.414457659623"/>
    <s v="COD"/>
    <x v="1"/>
    <m/>
    <n v="7"/>
    <n v="2"/>
    <x v="1"/>
  </r>
  <r>
    <s v="ORD00720"/>
    <d v="2023-03-31T00:00:00"/>
    <s v="CUST0176"/>
    <s v="Rohit"/>
    <s v="Chennai"/>
    <s v="Tamil Nadu"/>
    <x v="4"/>
    <x v="1"/>
    <s v="Footwear"/>
    <n v="1343"/>
    <n v="1854.852457946992"/>
    <n v="4"/>
    <n v="20"/>
    <n v="5935.5278654303747"/>
    <n v="5372"/>
    <n v="563.52786543037473"/>
    <s v="UPI"/>
    <x v="1"/>
    <m/>
    <n v="9"/>
    <n v="1"/>
    <x v="1"/>
  </r>
  <r>
    <s v="ORD00798"/>
    <d v="2023-03-31T00:00:00"/>
    <s v="CUST0279"/>
    <s v="Suresh"/>
    <s v="Ahmedabad"/>
    <s v="Gujarat"/>
    <x v="4"/>
    <x v="1"/>
    <s v="Footwear"/>
    <n v="1325"/>
    <n v="1334.6337580381537"/>
    <n v="3"/>
    <n v="20"/>
    <n v="3203.1210192915692"/>
    <n v="3975"/>
    <n v="-771.87898070843084"/>
    <s v="UPI"/>
    <x v="0"/>
    <d v="2023-04-10T00:00:00"/>
    <n v="7"/>
    <n v="4"/>
    <x v="2"/>
  </r>
  <r>
    <s v="ORD00802"/>
    <d v="2023-03-31T00:00:00"/>
    <s v="CUST0118"/>
    <s v="Divya"/>
    <s v="Bangalore"/>
    <s v="Karnataka"/>
    <x v="10"/>
    <x v="2"/>
    <s v="Mobile"/>
    <n v="73640"/>
    <n v="132436.12942094725"/>
    <n v="3"/>
    <n v="10"/>
    <n v="357577.54943655757"/>
    <n v="220920"/>
    <n v="136657.54943655757"/>
    <s v="UPI"/>
    <x v="1"/>
    <m/>
    <n v="7"/>
    <n v="2"/>
    <x v="1"/>
  </r>
  <r>
    <s v="ORD00058"/>
    <d v="2023-04-01T00:00:00"/>
    <s v="CUST0005"/>
    <s v="Anjali"/>
    <s v="Delhi"/>
    <s v="Delhi"/>
    <x v="6"/>
    <x v="1"/>
    <s v="Men"/>
    <n v="1453"/>
    <n v="2460.905615714023"/>
    <n v="4"/>
    <n v="10"/>
    <n v="8859.260216570483"/>
    <n v="5812"/>
    <n v="3047.260216570483"/>
    <s v="Debit Card"/>
    <x v="0"/>
    <d v="2023-04-12T00:00:00"/>
    <n v="4"/>
    <n v="3"/>
    <x v="0"/>
  </r>
  <r>
    <s v="ORD00888"/>
    <d v="2023-04-01T00:00:00"/>
    <s v="CUST0082"/>
    <s v="Rahul"/>
    <s v="Kolkata"/>
    <s v="West Bengal"/>
    <x v="5"/>
    <x v="0"/>
    <s v="Furniture"/>
    <n v="49974"/>
    <n v="72678.39132907032"/>
    <n v="2"/>
    <n v="15"/>
    <n v="123553.26525941954"/>
    <n v="99948"/>
    <n v="23605.265259419539"/>
    <s v="Debit Card"/>
    <x v="0"/>
    <d v="2023-04-10T00:00:00"/>
    <n v="6"/>
    <n v="4"/>
    <x v="2"/>
  </r>
  <r>
    <s v="ORD00005"/>
    <d v="2023-04-02T00:00:00"/>
    <s v="CUST0175"/>
    <s v="Anjali"/>
    <s v="Bangalore"/>
    <s v="Karnataka"/>
    <x v="6"/>
    <x v="1"/>
    <s v="Men"/>
    <n v="845"/>
    <n v="923.23203957670898"/>
    <n v="1"/>
    <n v="0"/>
    <n v="923.23203957670898"/>
    <n v="845"/>
    <n v="78.232039576708985"/>
    <s v="Credit Card"/>
    <x v="0"/>
    <d v="2023-04-17T00:00:00"/>
    <n v="8"/>
    <n v="3"/>
    <x v="0"/>
  </r>
  <r>
    <s v="ORD00076"/>
    <d v="2023-04-02T00:00:00"/>
    <s v="CUST0160"/>
    <s v="Deepika"/>
    <s v="Kolkata"/>
    <s v="West Bengal"/>
    <x v="7"/>
    <x v="3"/>
    <s v="Skincare"/>
    <n v="566"/>
    <n v="860.53680766650757"/>
    <n v="2"/>
    <n v="0"/>
    <n v="1721.0736153330151"/>
    <n v="1132"/>
    <n v="589.07361533301514"/>
    <s v="UPI"/>
    <x v="0"/>
    <d v="2023-04-11T00:00:00"/>
    <n v="5"/>
    <n v="4"/>
    <x v="0"/>
  </r>
  <r>
    <s v="ORD00635"/>
    <d v="2023-04-02T00:00:00"/>
    <s v="CUST0274"/>
    <s v="Deepika"/>
    <s v="Kolkata"/>
    <s v="West Bengal"/>
    <x v="11"/>
    <x v="2"/>
    <s v="Computers"/>
    <n v="34081"/>
    <n v="46809.091706345847"/>
    <n v="2"/>
    <n v="0"/>
    <n v="93618.183412691695"/>
    <n v="68162"/>
    <n v="25456.183412691695"/>
    <s v="COD"/>
    <x v="1"/>
    <m/>
    <n v="10"/>
    <n v="1"/>
    <x v="1"/>
  </r>
  <r>
    <s v="ORD00243"/>
    <d v="2023-04-03T00:00:00"/>
    <s v="CUST0079"/>
    <s v="Meena"/>
    <s v="Hyderabad"/>
    <s v="Telangana"/>
    <x v="3"/>
    <x v="2"/>
    <s v="Accessories"/>
    <n v="1603"/>
    <n v="2085.2398939108684"/>
    <n v="2"/>
    <n v="0"/>
    <n v="4170.4797878217369"/>
    <n v="3206"/>
    <n v="964.47978782173686"/>
    <s v="Credit Card"/>
    <x v="1"/>
    <m/>
    <n v="9"/>
    <n v="1"/>
    <x v="1"/>
  </r>
  <r>
    <s v="ORD01057"/>
    <d v="2023-04-04T00:00:00"/>
    <s v="CUST0180"/>
    <s v="Kavya"/>
    <s v="Chennai"/>
    <s v="Tamil Nadu"/>
    <x v="10"/>
    <x v="2"/>
    <s v="Mobile"/>
    <n v="58281"/>
    <n v="77194.904657467821"/>
    <n v="4"/>
    <n v="5"/>
    <n v="293340.63769837772"/>
    <n v="233124"/>
    <n v="60216.637698377715"/>
    <s v="UPI"/>
    <x v="0"/>
    <d v="2023-04-17T00:00:00"/>
    <n v="7"/>
    <n v="4"/>
    <x v="2"/>
  </r>
  <r>
    <s v="ORD00840"/>
    <d v="2023-04-05T00:00:00"/>
    <s v="CUST0265"/>
    <s v="Priya"/>
    <s v="Delhi"/>
    <s v="Delhi"/>
    <x v="11"/>
    <x v="2"/>
    <s v="Computers"/>
    <n v="49827"/>
    <n v="84601.106048896094"/>
    <n v="4"/>
    <n v="0"/>
    <n v="338404.42419558438"/>
    <n v="199308"/>
    <n v="139096.42419558438"/>
    <s v="COD"/>
    <x v="0"/>
    <d v="2023-04-16T00:00:00"/>
    <n v="5"/>
    <n v="4"/>
    <x v="0"/>
  </r>
  <r>
    <s v="ORD00352"/>
    <d v="2023-04-06T00:00:00"/>
    <s v="CUST0099"/>
    <s v="Arjun"/>
    <s v="Chennai"/>
    <s v="Tamil Nadu"/>
    <x v="0"/>
    <x v="0"/>
    <s v="Kitchen"/>
    <n v="3008"/>
    <n v="4417.941908354971"/>
    <n v="1"/>
    <n v="20"/>
    <n v="3534.3535266839772"/>
    <n v="3008"/>
    <n v="526.35352668397718"/>
    <s v="Debit Card"/>
    <x v="1"/>
    <m/>
    <n v="10"/>
    <n v="1"/>
    <x v="1"/>
  </r>
  <r>
    <s v="ORD00391"/>
    <d v="2023-04-06T00:00:00"/>
    <s v="CUST0161"/>
    <s v="Kiran"/>
    <s v="Kolkata"/>
    <s v="West Bengal"/>
    <x v="3"/>
    <x v="2"/>
    <s v="Accessories"/>
    <n v="1403"/>
    <n v="2130.8351671217638"/>
    <n v="2"/>
    <n v="5"/>
    <n v="4048.5868175313508"/>
    <n v="2806"/>
    <n v="1242.5868175313508"/>
    <s v="COD"/>
    <x v="0"/>
    <d v="2023-04-14T00:00:00"/>
    <n v="3"/>
    <n v="4"/>
    <x v="0"/>
  </r>
  <r>
    <s v="ORD01114"/>
    <d v="2023-04-06T00:00:00"/>
    <s v="CUST0206"/>
    <s v="Sneha"/>
    <s v="Bangalore"/>
    <s v="Karnataka"/>
    <x v="5"/>
    <x v="0"/>
    <s v="Furniture"/>
    <n v="55151"/>
    <n v="86616.273372357624"/>
    <n v="3"/>
    <n v="10"/>
    <n v="233863.93810536558"/>
    <n v="165453"/>
    <n v="68410.938105365582"/>
    <s v="Credit Card"/>
    <x v="1"/>
    <m/>
    <n v="9"/>
    <n v="1"/>
    <x v="1"/>
  </r>
  <r>
    <s v="ORD00144"/>
    <d v="2023-04-07T00:00:00"/>
    <s v="CUST0152"/>
    <s v="Pooja"/>
    <s v="Bangalore"/>
    <s v="Karnataka"/>
    <x v="10"/>
    <x v="2"/>
    <s v="Mobile"/>
    <n v="84512"/>
    <n v="150867.80380037872"/>
    <n v="1"/>
    <n v="10"/>
    <n v="135781.02342034085"/>
    <n v="84512"/>
    <n v="51269.023420340847"/>
    <s v="UPI"/>
    <x v="0"/>
    <d v="2023-04-19T00:00:00"/>
    <n v="5"/>
    <n v="4"/>
    <x v="0"/>
  </r>
  <r>
    <s v="ORD00556"/>
    <d v="2023-04-07T00:00:00"/>
    <s v="CUST0085"/>
    <s v="Kavya"/>
    <s v="Mumbai"/>
    <s v="Maharashtra"/>
    <x v="4"/>
    <x v="1"/>
    <s v="Footwear"/>
    <n v="2366"/>
    <n v="4000.3013991622083"/>
    <n v="5"/>
    <n v="10"/>
    <n v="18001.356296229937"/>
    <n v="11830"/>
    <n v="6171.3562962299366"/>
    <s v="COD"/>
    <x v="1"/>
    <m/>
    <n v="7"/>
    <n v="3"/>
    <x v="1"/>
  </r>
  <r>
    <s v="ORD00824"/>
    <d v="2023-04-07T00:00:00"/>
    <s v="CUST0221"/>
    <s v="Manoj"/>
    <s v="Pune"/>
    <s v="Maharashtra"/>
    <x v="2"/>
    <x v="1"/>
    <s v="Women"/>
    <n v="631"/>
    <n v="1020.022016815927"/>
    <n v="1"/>
    <n v="0"/>
    <n v="1020.022016815927"/>
    <n v="631"/>
    <n v="389.02201681592703"/>
    <s v="Debit Card"/>
    <x v="0"/>
    <d v="2023-04-16T00:00:00"/>
    <n v="6"/>
    <n v="2"/>
    <x v="0"/>
  </r>
  <r>
    <s v="ORD00155"/>
    <d v="2023-04-08T00:00:00"/>
    <s v="CUST0164"/>
    <s v="Suresh"/>
    <s v="Pune"/>
    <s v="Maharashtra"/>
    <x v="9"/>
    <x v="2"/>
    <s v="TV"/>
    <n v="66546"/>
    <n v="84649.797214394071"/>
    <n v="3"/>
    <n v="10"/>
    <n v="228554.452478864"/>
    <n v="199638"/>
    <n v="28916.452478863997"/>
    <s v="COD"/>
    <x v="1"/>
    <m/>
    <n v="10"/>
    <n v="1"/>
    <x v="1"/>
  </r>
  <r>
    <s v="ORD00687"/>
    <d v="2023-04-08T00:00:00"/>
    <s v="CUST0232"/>
    <s v="Deepika"/>
    <s v="Ahmedabad"/>
    <s v="Gujarat"/>
    <x v="0"/>
    <x v="0"/>
    <s v="Kitchen"/>
    <n v="6737"/>
    <n v="8399.2516686272666"/>
    <n v="2"/>
    <n v="5"/>
    <n v="15958.578170391806"/>
    <n v="13474"/>
    <n v="2484.5781703918055"/>
    <s v="UPI"/>
    <x v="0"/>
    <d v="2023-04-17T00:00:00"/>
    <n v="5"/>
    <n v="3"/>
    <x v="0"/>
  </r>
  <r>
    <s v="ORD00801"/>
    <d v="2023-04-08T00:00:00"/>
    <s v="CUST0191"/>
    <s v="Priya"/>
    <s v="Bangalore"/>
    <s v="Karnataka"/>
    <x v="9"/>
    <x v="2"/>
    <s v="TV"/>
    <n v="74359"/>
    <n v="81502.969682151015"/>
    <n v="2"/>
    <n v="0"/>
    <n v="163005.93936430203"/>
    <n v="148718"/>
    <n v="14287.93936430203"/>
    <s v="COD"/>
    <x v="1"/>
    <m/>
    <n v="9"/>
    <n v="1"/>
    <x v="1"/>
  </r>
  <r>
    <s v="ORD01016"/>
    <d v="2023-04-08T00:00:00"/>
    <s v="CUST0215"/>
    <s v="Priya"/>
    <s v="Pune"/>
    <s v="Maharashtra"/>
    <x v="8"/>
    <x v="3"/>
    <s v="Fragrance"/>
    <n v="858"/>
    <n v="1492.2845891506047"/>
    <n v="1"/>
    <n v="10"/>
    <n v="1343.0561302355443"/>
    <n v="858"/>
    <n v="485.05613023554429"/>
    <s v="COD"/>
    <x v="0"/>
    <d v="2023-04-20T00:00:00"/>
    <n v="5"/>
    <n v="4"/>
    <x v="0"/>
  </r>
  <r>
    <s v="ORD00072"/>
    <d v="2023-04-09T00:00:00"/>
    <s v="CUST0120"/>
    <s v="Suresh"/>
    <s v="Kolkata"/>
    <s v="West Bengal"/>
    <x v="11"/>
    <x v="2"/>
    <s v="Computers"/>
    <n v="45290"/>
    <n v="52730.226423904001"/>
    <n v="2"/>
    <n v="5"/>
    <n v="100187.43020541759"/>
    <n v="90580"/>
    <n v="9607.4302054175932"/>
    <s v="UPI"/>
    <x v="0"/>
    <d v="2023-04-19T00:00:00"/>
    <n v="5"/>
    <n v="4"/>
    <x v="0"/>
  </r>
  <r>
    <s v="ORD00221"/>
    <d v="2023-04-09T00:00:00"/>
    <s v="CUST0010"/>
    <s v="Sneha"/>
    <s v="Kolkata"/>
    <s v="West Bengal"/>
    <x v="9"/>
    <x v="2"/>
    <s v="TV"/>
    <n v="32867"/>
    <n v="34101.262899215326"/>
    <n v="1"/>
    <n v="10"/>
    <n v="30691.136609293793"/>
    <n v="32867"/>
    <n v="-2175.8633907062067"/>
    <s v="UPI"/>
    <x v="1"/>
    <m/>
    <n v="7"/>
    <n v="3"/>
    <x v="1"/>
  </r>
  <r>
    <s v="ORD00428"/>
    <d v="2023-04-09T00:00:00"/>
    <s v="CUST0068"/>
    <s v="Kiran"/>
    <s v="Delhi"/>
    <s v="Delhi"/>
    <x v="6"/>
    <x v="1"/>
    <s v="Men"/>
    <n v="1244"/>
    <n v="1680.4009043518902"/>
    <n v="1"/>
    <n v="5"/>
    <n v="1596.3808591342956"/>
    <n v="1244"/>
    <n v="352.38085913429563"/>
    <s v="COD"/>
    <x v="0"/>
    <d v="2023-04-21T00:00:00"/>
    <n v="5"/>
    <n v="2"/>
    <x v="0"/>
  </r>
  <r>
    <s v="ORD00471"/>
    <d v="2023-04-09T00:00:00"/>
    <s v="CUST0241"/>
    <s v="Ramesh"/>
    <s v="Mumbai"/>
    <s v="Maharashtra"/>
    <x v="8"/>
    <x v="3"/>
    <s v="Fragrance"/>
    <n v="975"/>
    <n v="1161.1133372990935"/>
    <n v="2"/>
    <n v="0"/>
    <n v="2322.2266745981869"/>
    <n v="1950"/>
    <n v="372.22667459818695"/>
    <s v="Debit Card"/>
    <x v="1"/>
    <m/>
    <n v="8"/>
    <n v="3"/>
    <x v="1"/>
  </r>
  <r>
    <s v="ORD00790"/>
    <d v="2023-04-09T00:00:00"/>
    <s v="CUST0264"/>
    <s v="Divya"/>
    <s v="Kolkata"/>
    <s v="West Bengal"/>
    <x v="8"/>
    <x v="3"/>
    <s v="Fragrance"/>
    <n v="670"/>
    <n v="1005.5656436009672"/>
    <n v="5"/>
    <n v="20"/>
    <n v="4022.2625744038687"/>
    <n v="3350"/>
    <n v="672.26257440386871"/>
    <s v="Credit Card"/>
    <x v="0"/>
    <d v="2023-04-19T00:00:00"/>
    <n v="6"/>
    <n v="2"/>
    <x v="0"/>
  </r>
  <r>
    <s v="ORD01183"/>
    <d v="2023-04-09T00:00:00"/>
    <s v="CUST0080"/>
    <s v="Kiran"/>
    <s v="Bangalore"/>
    <s v="Karnataka"/>
    <x v="7"/>
    <x v="3"/>
    <s v="Skincare"/>
    <n v="323"/>
    <n v="453.6144392552726"/>
    <n v="2"/>
    <n v="0"/>
    <n v="907.2288785105452"/>
    <n v="646"/>
    <n v="261.2288785105452"/>
    <s v="UPI"/>
    <x v="0"/>
    <d v="2023-04-17T00:00:00"/>
    <n v="5"/>
    <n v="3"/>
    <x v="0"/>
  </r>
  <r>
    <s v="ORD00075"/>
    <d v="2023-04-10T00:00:00"/>
    <s v="CUST0018"/>
    <s v="Rohit"/>
    <s v="Chennai"/>
    <s v="Tamil Nadu"/>
    <x v="10"/>
    <x v="2"/>
    <s v="Mobile"/>
    <n v="88434"/>
    <n v="146789.49946899904"/>
    <n v="3"/>
    <n v="5"/>
    <n v="418350.07348664728"/>
    <n v="265302"/>
    <n v="153048.07348664728"/>
    <s v="Debit Card"/>
    <x v="0"/>
    <d v="2023-04-20T00:00:00"/>
    <n v="6"/>
    <n v="3"/>
    <x v="0"/>
  </r>
  <r>
    <s v="ORD00183"/>
    <d v="2023-04-10T00:00:00"/>
    <s v="CUST0222"/>
    <s v="Kiran"/>
    <s v="Delhi"/>
    <s v="Delhi"/>
    <x v="4"/>
    <x v="1"/>
    <s v="Footwear"/>
    <n v="1271"/>
    <n v="1609.0176104664779"/>
    <n v="1"/>
    <n v="5"/>
    <n v="1528.5667299431539"/>
    <n v="1271"/>
    <n v="257.56672994315386"/>
    <s v="COD"/>
    <x v="0"/>
    <d v="2023-04-18T00:00:00"/>
    <n v="5"/>
    <n v="2"/>
    <x v="0"/>
  </r>
  <r>
    <s v="ORD00292"/>
    <d v="2023-04-10T00:00:00"/>
    <s v="CUST0059"/>
    <s v="Manoj"/>
    <s v="Kolkata"/>
    <s v="West Bengal"/>
    <x v="11"/>
    <x v="2"/>
    <s v="Computers"/>
    <n v="44447"/>
    <n v="79413.255743301313"/>
    <n v="5"/>
    <n v="5"/>
    <n v="377212.96478068118"/>
    <n v="222235"/>
    <n v="154977.96478068118"/>
    <s v="UPI"/>
    <x v="0"/>
    <d v="2023-04-23T00:00:00"/>
    <n v="6"/>
    <n v="3"/>
    <x v="0"/>
  </r>
  <r>
    <s v="ORD00355"/>
    <d v="2023-04-10T00:00:00"/>
    <s v="CUST0140"/>
    <s v="Priya"/>
    <s v="Delhi"/>
    <s v="Delhi"/>
    <x v="5"/>
    <x v="0"/>
    <s v="Furniture"/>
    <n v="30270"/>
    <n v="42431.488015990428"/>
    <n v="4"/>
    <n v="0"/>
    <n v="169725.95206396171"/>
    <n v="121080"/>
    <n v="48645.952063961711"/>
    <s v="Debit Card"/>
    <x v="0"/>
    <d v="2023-04-21T00:00:00"/>
    <n v="8"/>
    <n v="4"/>
    <x v="2"/>
  </r>
  <r>
    <s v="ORD00371"/>
    <d v="2023-04-10T00:00:00"/>
    <s v="CUST0199"/>
    <s v="Rohit"/>
    <s v="Hyderabad"/>
    <s v="Telangana"/>
    <x v="5"/>
    <x v="0"/>
    <s v="Furniture"/>
    <n v="40679"/>
    <n v="57309.299110699794"/>
    <n v="3"/>
    <n v="20"/>
    <n v="137542.31786567951"/>
    <n v="122037"/>
    <n v="15505.317865679506"/>
    <s v="UPI"/>
    <x v="0"/>
    <d v="2023-04-18T00:00:00"/>
    <n v="4"/>
    <n v="4"/>
    <x v="0"/>
  </r>
  <r>
    <s v="ORD00738"/>
    <d v="2023-04-10T00:00:00"/>
    <s v="CUST0247"/>
    <s v="Rahul"/>
    <s v="Kolkata"/>
    <s v="West Bengal"/>
    <x v="2"/>
    <x v="1"/>
    <s v="Women"/>
    <n v="875"/>
    <n v="1417.1804042132276"/>
    <n v="1"/>
    <n v="5"/>
    <n v="1346.3213840025662"/>
    <n v="875"/>
    <n v="471.32138400256622"/>
    <s v="UPI"/>
    <x v="0"/>
    <d v="2023-04-15T00:00:00"/>
    <n v="1"/>
    <n v="5"/>
    <x v="0"/>
  </r>
  <r>
    <s v="ORD00336"/>
    <d v="2023-04-11T00:00:00"/>
    <s v="CUST0002"/>
    <s v="Swathi"/>
    <s v="Ahmedabad"/>
    <s v="Gujarat"/>
    <x v="3"/>
    <x v="2"/>
    <s v="Accessories"/>
    <n v="1654"/>
    <n v="2839.7128837578898"/>
    <n v="3"/>
    <n v="0"/>
    <n v="8519.1386512736699"/>
    <n v="4962"/>
    <n v="3557.1386512736699"/>
    <s v="COD"/>
    <x v="0"/>
    <d v="2023-04-18T00:00:00"/>
    <n v="4"/>
    <n v="2"/>
    <x v="0"/>
  </r>
  <r>
    <s v="ORD00751"/>
    <d v="2023-04-11T00:00:00"/>
    <s v="CUST0026"/>
    <s v="Vikram"/>
    <s v="Pune"/>
    <s v="Maharashtra"/>
    <x v="2"/>
    <x v="1"/>
    <s v="Women"/>
    <n v="1540"/>
    <n v="2528.0383000364723"/>
    <n v="5"/>
    <n v="20"/>
    <n v="10112.153200145891"/>
    <n v="7700"/>
    <n v="2412.1532001458909"/>
    <s v="UPI"/>
    <x v="0"/>
    <d v="2023-04-22T00:00:00"/>
    <n v="5"/>
    <n v="2"/>
    <x v="0"/>
  </r>
  <r>
    <s v="ORD00975"/>
    <d v="2023-04-11T00:00:00"/>
    <s v="CUST0033"/>
    <s v="Nikhil"/>
    <s v="Pune"/>
    <s v="Maharashtra"/>
    <x v="3"/>
    <x v="2"/>
    <s v="Accessories"/>
    <n v="1598"/>
    <n v="2831.9727489000702"/>
    <n v="4"/>
    <n v="20"/>
    <n v="9062.3127964802243"/>
    <n v="6392"/>
    <n v="2670.3127964802243"/>
    <s v="Debit Card"/>
    <x v="0"/>
    <d v="2023-04-19T00:00:00"/>
    <n v="2"/>
    <n v="4"/>
    <x v="0"/>
  </r>
  <r>
    <s v="ORD00729"/>
    <d v="2023-04-12T00:00:00"/>
    <s v="CUST0141"/>
    <s v="Rahul"/>
    <s v="Kolkata"/>
    <s v="West Bengal"/>
    <x v="2"/>
    <x v="1"/>
    <s v="Women"/>
    <n v="867"/>
    <n v="1163.5243744271472"/>
    <n v="1"/>
    <n v="15"/>
    <n v="988.9957182630751"/>
    <n v="867"/>
    <n v="121.9957182630751"/>
    <s v="UPI"/>
    <x v="0"/>
    <d v="2023-04-19T00:00:00"/>
    <n v="4"/>
    <n v="4"/>
    <x v="0"/>
  </r>
  <r>
    <s v="ORD00090"/>
    <d v="2023-04-13T00:00:00"/>
    <s v="CUST0197"/>
    <s v="Amit"/>
    <s v="Chennai"/>
    <s v="Tamil Nadu"/>
    <x v="0"/>
    <x v="0"/>
    <s v="Kitchen"/>
    <n v="6880"/>
    <n v="9207.9027365321635"/>
    <n v="2"/>
    <n v="10"/>
    <n v="16574.224925757895"/>
    <n v="13760"/>
    <n v="2814.2249257578951"/>
    <s v="UPI"/>
    <x v="0"/>
    <d v="2023-04-23T00:00:00"/>
    <n v="3"/>
    <n v="3"/>
    <x v="0"/>
  </r>
  <r>
    <s v="ORD00252"/>
    <d v="2023-04-13T00:00:00"/>
    <s v="CUST0287"/>
    <s v="Kiran"/>
    <s v="Kolkata"/>
    <s v="West Bengal"/>
    <x v="2"/>
    <x v="1"/>
    <s v="Women"/>
    <n v="1645"/>
    <n v="2213.8493347408876"/>
    <n v="2"/>
    <n v="0"/>
    <n v="4427.6986694817751"/>
    <n v="3290"/>
    <n v="1137.6986694817751"/>
    <s v="COD"/>
    <x v="1"/>
    <m/>
    <n v="7"/>
    <n v="2"/>
    <x v="1"/>
  </r>
  <r>
    <s v="ORD00931"/>
    <d v="2023-04-13T00:00:00"/>
    <s v="CUST0181"/>
    <s v="Arjun"/>
    <s v="Chennai"/>
    <s v="Tamil Nadu"/>
    <x v="7"/>
    <x v="3"/>
    <s v="Skincare"/>
    <n v="214"/>
    <n v="337.08204811798515"/>
    <n v="5"/>
    <n v="20"/>
    <n v="1348.3281924719406"/>
    <n v="1070"/>
    <n v="278.32819247194061"/>
    <s v="Debit Card"/>
    <x v="0"/>
    <d v="2023-04-19T00:00:00"/>
    <n v="1"/>
    <n v="5"/>
    <x v="0"/>
  </r>
  <r>
    <s v="ORD00120"/>
    <d v="2023-04-14T00:00:00"/>
    <s v="CUST0244"/>
    <s v="Amit"/>
    <s v="Hyderabad"/>
    <s v="Telangana"/>
    <x v="3"/>
    <x v="2"/>
    <s v="Accessories"/>
    <n v="1078"/>
    <n v="1364.7453257987352"/>
    <n v="1"/>
    <n v="15"/>
    <n v="1160.0335269289249"/>
    <n v="1078"/>
    <n v="82.033526928924857"/>
    <s v="COD"/>
    <x v="0"/>
    <d v="2023-04-25T00:00:00"/>
    <n v="4"/>
    <n v="3"/>
    <x v="0"/>
  </r>
  <r>
    <s v="ORD00575"/>
    <d v="2023-04-14T00:00:00"/>
    <s v="CUST0110"/>
    <s v="Suresh"/>
    <s v="Hyderabad"/>
    <s v="Telangana"/>
    <x v="1"/>
    <x v="1"/>
    <s v="Men"/>
    <n v="488"/>
    <n v="583.99182440841764"/>
    <n v="4"/>
    <n v="10"/>
    <n v="2102.3705678703036"/>
    <n v="1952"/>
    <n v="150.3705678703036"/>
    <s v="UPI"/>
    <x v="0"/>
    <d v="2023-04-23T00:00:00"/>
    <n v="3"/>
    <n v="2"/>
    <x v="0"/>
  </r>
  <r>
    <s v="ORD00788"/>
    <d v="2023-04-14T00:00:00"/>
    <s v="CUST0234"/>
    <s v="Divya"/>
    <s v="Kolkata"/>
    <s v="West Bengal"/>
    <x v="0"/>
    <x v="0"/>
    <s v="Kitchen"/>
    <n v="4091"/>
    <n v="5515.2283527587224"/>
    <n v="2"/>
    <n v="0"/>
    <n v="11030.456705517445"/>
    <n v="8182"/>
    <n v="2848.4567055174448"/>
    <s v="Credit Card"/>
    <x v="0"/>
    <d v="2023-04-22T00:00:00"/>
    <n v="2"/>
    <n v="4"/>
    <x v="0"/>
  </r>
  <r>
    <s v="ORD00958"/>
    <d v="2023-04-14T00:00:00"/>
    <s v="CUST0146"/>
    <s v="Priya"/>
    <s v="Pune"/>
    <s v="Maharashtra"/>
    <x v="2"/>
    <x v="1"/>
    <s v="Women"/>
    <n v="1951"/>
    <n v="2246.2741265771665"/>
    <n v="2"/>
    <n v="0"/>
    <n v="4492.548253154333"/>
    <n v="3902"/>
    <n v="590.548253154333"/>
    <s v="Credit Card"/>
    <x v="1"/>
    <m/>
    <n v="8"/>
    <n v="4"/>
    <x v="1"/>
  </r>
  <r>
    <s v="ORD00129"/>
    <d v="2023-04-16T00:00:00"/>
    <s v="CUST0069"/>
    <s v="Nikhil"/>
    <s v="Ahmedabad"/>
    <s v="Gujarat"/>
    <x v="3"/>
    <x v="2"/>
    <s v="Accessories"/>
    <n v="1425"/>
    <n v="2318.3673789770919"/>
    <n v="2"/>
    <n v="0"/>
    <n v="4636.7347579541838"/>
    <n v="2850"/>
    <n v="1786.7347579541838"/>
    <s v="Credit Card"/>
    <x v="1"/>
    <m/>
    <n v="10"/>
    <n v="1"/>
    <x v="1"/>
  </r>
  <r>
    <s v="ORD00481"/>
    <d v="2023-04-17T00:00:00"/>
    <s v="CUST0212"/>
    <s v="Kavya"/>
    <s v="Ahmedabad"/>
    <s v="Gujarat"/>
    <x v="4"/>
    <x v="1"/>
    <s v="Footwear"/>
    <n v="1118"/>
    <n v="1787.488056139651"/>
    <n v="3"/>
    <n v="15"/>
    <n v="4558.0945431561095"/>
    <n v="3354"/>
    <n v="1204.0945431561095"/>
    <s v="Credit Card"/>
    <x v="0"/>
    <d v="2023-04-25T00:00:00"/>
    <n v="1"/>
    <n v="5"/>
    <x v="0"/>
  </r>
  <r>
    <s v="ORD00564"/>
    <d v="2023-04-17T00:00:00"/>
    <s v="CUST0072"/>
    <s v="Manoj"/>
    <s v="Chennai"/>
    <s v="Tamil Nadu"/>
    <x v="7"/>
    <x v="3"/>
    <s v="Skincare"/>
    <n v="491"/>
    <n v="535.56211676367525"/>
    <n v="3"/>
    <n v="5"/>
    <n v="1526.3520327764743"/>
    <n v="1473"/>
    <n v="53.352032776474289"/>
    <s v="UPI"/>
    <x v="1"/>
    <m/>
    <n v="9"/>
    <n v="1"/>
    <x v="1"/>
  </r>
  <r>
    <s v="ORD00663"/>
    <d v="2023-04-17T00:00:00"/>
    <s v="CUST0021"/>
    <s v="Divya"/>
    <s v="Delhi"/>
    <s v="Delhi"/>
    <x v="3"/>
    <x v="2"/>
    <s v="Accessories"/>
    <n v="720"/>
    <n v="1168.4477106962991"/>
    <n v="4"/>
    <n v="15"/>
    <n v="3972.7222163674169"/>
    <n v="2880"/>
    <n v="1092.7222163674169"/>
    <s v="Debit Card"/>
    <x v="1"/>
    <m/>
    <n v="7"/>
    <n v="4"/>
    <x v="1"/>
  </r>
  <r>
    <s v="ORD00873"/>
    <d v="2023-04-17T00:00:00"/>
    <s v="CUST0022"/>
    <s v="Deepika"/>
    <s v="Kolkata"/>
    <s v="West Bengal"/>
    <x v="9"/>
    <x v="2"/>
    <s v="TV"/>
    <n v="54797"/>
    <n v="76975.326858904562"/>
    <n v="4"/>
    <n v="5"/>
    <n v="292506.2420638373"/>
    <n v="219188"/>
    <n v="73318.242063837301"/>
    <s v="Credit Card"/>
    <x v="0"/>
    <d v="2023-04-23T00:00:00"/>
    <n v="1"/>
    <n v="4"/>
    <x v="0"/>
  </r>
  <r>
    <s v="ORD01007"/>
    <d v="2023-04-17T00:00:00"/>
    <s v="CUST0039"/>
    <s v="Pooja"/>
    <s v="Bangalore"/>
    <s v="Karnataka"/>
    <x v="0"/>
    <x v="0"/>
    <s v="Kitchen"/>
    <n v="4134"/>
    <n v="5447.124809930936"/>
    <n v="3"/>
    <n v="15"/>
    <n v="13890.168265323886"/>
    <n v="12402"/>
    <n v="1488.1682653238859"/>
    <s v="COD"/>
    <x v="0"/>
    <d v="2023-04-27T00:00:00"/>
    <n v="6"/>
    <n v="4"/>
    <x v="2"/>
  </r>
  <r>
    <s v="ORD01125"/>
    <d v="2023-04-17T00:00:00"/>
    <s v="CUST0274"/>
    <s v="Divya"/>
    <s v="Hyderabad"/>
    <s v="Telangana"/>
    <x v="6"/>
    <x v="1"/>
    <s v="Men"/>
    <n v="1062"/>
    <n v="1155.7665206287518"/>
    <n v="3"/>
    <n v="5"/>
    <n v="3293.9345837919423"/>
    <n v="3186"/>
    <n v="107.93458379194226"/>
    <s v="Debit Card"/>
    <x v="0"/>
    <d v="2023-04-23T00:00:00"/>
    <n v="1"/>
    <n v="5"/>
    <x v="0"/>
  </r>
  <r>
    <s v="ORD00050"/>
    <d v="2023-04-18T00:00:00"/>
    <s v="CUST0023"/>
    <s v="Deepika"/>
    <s v="Mumbai"/>
    <s v="Maharashtra"/>
    <x v="5"/>
    <x v="0"/>
    <s v="Furniture"/>
    <n v="59043"/>
    <n v="90587.145494196433"/>
    <n v="3"/>
    <n v="15"/>
    <n v="230997.22101020088"/>
    <n v="177129"/>
    <n v="53868.221010200883"/>
    <s v="Credit Card"/>
    <x v="0"/>
    <d v="2023-04-28T00:00:00"/>
    <n v="3"/>
    <n v="2"/>
    <x v="0"/>
  </r>
  <r>
    <s v="ORD00558"/>
    <d v="2023-04-18T00:00:00"/>
    <s v="CUST0138"/>
    <s v="Anjali"/>
    <s v="Mumbai"/>
    <s v="Maharashtra"/>
    <x v="8"/>
    <x v="3"/>
    <s v="Fragrance"/>
    <n v="698"/>
    <n v="920.09363380259913"/>
    <n v="5"/>
    <n v="15"/>
    <n v="3910.3979436610462"/>
    <n v="3490"/>
    <n v="420.39794366104616"/>
    <s v="Debit Card"/>
    <x v="1"/>
    <m/>
    <n v="7"/>
    <n v="2"/>
    <x v="1"/>
  </r>
  <r>
    <s v="ORD00111"/>
    <d v="2023-04-19T00:00:00"/>
    <s v="CUST0159"/>
    <s v="Ramesh"/>
    <s v="Bangalore"/>
    <s v="Karnataka"/>
    <x v="10"/>
    <x v="2"/>
    <s v="Mobile"/>
    <n v="61323"/>
    <n v="103265.74734414084"/>
    <n v="4"/>
    <n v="20"/>
    <n v="330450.39150125068"/>
    <n v="245292"/>
    <n v="85158.391501250677"/>
    <s v="UPI"/>
    <x v="1"/>
    <m/>
    <n v="10"/>
    <n v="1"/>
    <x v="1"/>
  </r>
  <r>
    <s v="ORD00153"/>
    <d v="2023-04-19T00:00:00"/>
    <s v="CUST0003"/>
    <s v="Kiran"/>
    <s v="Mumbai"/>
    <s v="Maharashtra"/>
    <x v="11"/>
    <x v="2"/>
    <s v="Computers"/>
    <n v="47522"/>
    <n v="75174.255681868599"/>
    <n v="3"/>
    <n v="20"/>
    <n v="180418.21363648467"/>
    <n v="142566"/>
    <n v="37852.213636484666"/>
    <s v="Credit Card"/>
    <x v="0"/>
    <d v="2023-04-24T00:00:00"/>
    <n v="1"/>
    <n v="5"/>
    <x v="0"/>
  </r>
  <r>
    <s v="ORD00294"/>
    <d v="2023-04-19T00:00:00"/>
    <s v="CUST0112"/>
    <s v="Sneha"/>
    <s v="Ahmedabad"/>
    <s v="Gujarat"/>
    <x v="9"/>
    <x v="2"/>
    <s v="TV"/>
    <n v="39228"/>
    <n v="66911.257150573627"/>
    <n v="1"/>
    <n v="15"/>
    <n v="56874.568577987578"/>
    <n v="39228"/>
    <n v="17646.568577987578"/>
    <s v="Credit Card"/>
    <x v="0"/>
    <d v="2023-04-24T00:00:00"/>
    <n v="2"/>
    <n v="5"/>
    <x v="0"/>
  </r>
  <r>
    <s v="ORD01080"/>
    <d v="2023-04-19T00:00:00"/>
    <s v="CUST0100"/>
    <s v="Suresh"/>
    <s v="Chennai"/>
    <s v="Tamil Nadu"/>
    <x v="6"/>
    <x v="1"/>
    <s v="Men"/>
    <n v="1089"/>
    <n v="1201.9075768128"/>
    <n v="2"/>
    <n v="15"/>
    <n v="2043.2428805817599"/>
    <n v="2178"/>
    <n v="-134.75711941824011"/>
    <s v="UPI"/>
    <x v="0"/>
    <d v="2023-04-25T00:00:00"/>
    <n v="1"/>
    <n v="5"/>
    <x v="0"/>
  </r>
  <r>
    <s v="ORD00151"/>
    <d v="2023-04-20T00:00:00"/>
    <s v="CUST0153"/>
    <s v="Suresh"/>
    <s v="Pune"/>
    <s v="Maharashtra"/>
    <x v="0"/>
    <x v="0"/>
    <s v="Kitchen"/>
    <n v="3412"/>
    <n v="5648.643273629852"/>
    <n v="4"/>
    <n v="0"/>
    <n v="22594.573094519408"/>
    <n v="13648"/>
    <n v="8946.5730945194082"/>
    <s v="Debit Card"/>
    <x v="0"/>
    <d v="2023-04-29T00:00:00"/>
    <n v="5"/>
    <n v="3"/>
    <x v="0"/>
  </r>
  <r>
    <s v="ORD00419"/>
    <d v="2023-04-20T00:00:00"/>
    <s v="CUST0293"/>
    <s v="Rahul"/>
    <s v="Pune"/>
    <s v="Maharashtra"/>
    <x v="1"/>
    <x v="1"/>
    <s v="Men"/>
    <n v="705"/>
    <n v="1115.3253599070774"/>
    <n v="2"/>
    <n v="0"/>
    <n v="2230.6507198141549"/>
    <n v="1410"/>
    <n v="820.65071981415485"/>
    <s v="UPI"/>
    <x v="0"/>
    <d v="2023-04-30T00:00:00"/>
    <n v="5"/>
    <n v="3"/>
    <x v="0"/>
  </r>
  <r>
    <s v="ORD00483"/>
    <d v="2023-04-20T00:00:00"/>
    <s v="CUST0023"/>
    <s v="Nikhil"/>
    <s v="Mumbai"/>
    <s v="Maharashtra"/>
    <x v="0"/>
    <x v="0"/>
    <s v="Kitchen"/>
    <n v="6040"/>
    <n v="8009.3992726450451"/>
    <n v="5"/>
    <n v="15"/>
    <n v="34039.94690874144"/>
    <n v="30200"/>
    <n v="3839.94690874144"/>
    <s v="Debit Card"/>
    <x v="1"/>
    <m/>
    <n v="10"/>
    <n v="1"/>
    <x v="1"/>
  </r>
  <r>
    <s v="ORD00484"/>
    <d v="2023-04-20T00:00:00"/>
    <s v="CUST0188"/>
    <s v="Suresh"/>
    <s v="Mumbai"/>
    <s v="Maharashtra"/>
    <x v="0"/>
    <x v="0"/>
    <s v="Kitchen"/>
    <n v="3750"/>
    <n v="6748.8407709531639"/>
    <n v="1"/>
    <n v="15"/>
    <n v="5736.5146553101895"/>
    <n v="3750"/>
    <n v="1986.5146553101895"/>
    <s v="COD"/>
    <x v="0"/>
    <d v="2023-04-26T00:00:00"/>
    <n v="3"/>
    <n v="4"/>
    <x v="0"/>
  </r>
  <r>
    <s v="ORD00757"/>
    <d v="2023-04-20T00:00:00"/>
    <s v="CUST0089"/>
    <s v="Manoj"/>
    <s v="Delhi"/>
    <s v="Delhi"/>
    <x v="3"/>
    <x v="2"/>
    <s v="Accessories"/>
    <n v="571"/>
    <n v="869.32052247727768"/>
    <n v="2"/>
    <n v="0"/>
    <n v="1738.6410449545554"/>
    <n v="1142"/>
    <n v="596.64104495455535"/>
    <s v="Credit Card"/>
    <x v="1"/>
    <m/>
    <n v="9"/>
    <n v="1"/>
    <x v="1"/>
  </r>
  <r>
    <s v="ORD01112"/>
    <d v="2023-04-20T00:00:00"/>
    <s v="CUST0242"/>
    <s v="Sneha"/>
    <s v="Kolkata"/>
    <s v="West Bengal"/>
    <x v="5"/>
    <x v="0"/>
    <s v="Furniture"/>
    <n v="46344"/>
    <n v="64861.905000857165"/>
    <n v="4"/>
    <n v="0"/>
    <n v="259447.62000342866"/>
    <n v="185376"/>
    <n v="74071.620003428659"/>
    <s v="UPI"/>
    <x v="0"/>
    <d v="2023-04-27T00:00:00"/>
    <n v="2"/>
    <n v="4"/>
    <x v="0"/>
  </r>
  <r>
    <s v="ORD00268"/>
    <d v="2023-04-21T00:00:00"/>
    <s v="CUST0095"/>
    <s v="Kiran"/>
    <s v="Mumbai"/>
    <s v="Maharashtra"/>
    <x v="8"/>
    <x v="3"/>
    <s v="Fragrance"/>
    <n v="876"/>
    <n v="1130.1102057748751"/>
    <n v="2"/>
    <n v="0"/>
    <n v="2260.2204115497502"/>
    <n v="1752"/>
    <n v="508.22041154975022"/>
    <s v="Debit Card"/>
    <x v="0"/>
    <d v="2023-04-29T00:00:00"/>
    <n v="4"/>
    <n v="3"/>
    <x v="0"/>
  </r>
  <r>
    <s v="ORD00510"/>
    <d v="2023-04-21T00:00:00"/>
    <s v="CUST0205"/>
    <s v="Nikhil"/>
    <s v="Chennai"/>
    <s v="Tamil Nadu"/>
    <x v="7"/>
    <x v="3"/>
    <s v="Skincare"/>
    <n v="521"/>
    <n v="870.55819537078116"/>
    <n v="2"/>
    <n v="20"/>
    <n v="1392.89311259325"/>
    <n v="1042"/>
    <n v="350.89311259324995"/>
    <s v="UPI"/>
    <x v="1"/>
    <m/>
    <n v="9"/>
    <n v="1"/>
    <x v="1"/>
  </r>
  <r>
    <s v="ORD00897"/>
    <d v="2023-04-21T00:00:00"/>
    <s v="CUST0073"/>
    <s v="Kavya"/>
    <s v="Pune"/>
    <s v="Maharashtra"/>
    <x v="1"/>
    <x v="1"/>
    <s v="Men"/>
    <n v="629"/>
    <n v="882.64534464625922"/>
    <n v="4"/>
    <n v="0"/>
    <n v="3530.5813785850369"/>
    <n v="2516"/>
    <n v="1014.5813785850369"/>
    <s v="COD"/>
    <x v="0"/>
    <d v="2023-04-27T00:00:00"/>
    <n v="1"/>
    <n v="5"/>
    <x v="0"/>
  </r>
  <r>
    <s v="ORD00490"/>
    <d v="2023-04-22T00:00:00"/>
    <s v="CUST0248"/>
    <s v="Suresh"/>
    <s v="Mumbai"/>
    <s v="Maharashtra"/>
    <x v="2"/>
    <x v="1"/>
    <s v="Women"/>
    <n v="1419"/>
    <n v="2398.4349783242214"/>
    <n v="2"/>
    <n v="10"/>
    <n v="4317.1829609835986"/>
    <n v="2838"/>
    <n v="1479.1829609835986"/>
    <s v="Credit Card"/>
    <x v="0"/>
    <d v="2023-04-28T00:00:00"/>
    <n v="3"/>
    <n v="4"/>
    <x v="0"/>
  </r>
  <r>
    <s v="ORD00498"/>
    <d v="2023-04-22T00:00:00"/>
    <s v="CUST0259"/>
    <s v="Deepika"/>
    <s v="Mumbai"/>
    <s v="Maharashtra"/>
    <x v="9"/>
    <x v="2"/>
    <s v="TV"/>
    <n v="55928"/>
    <n v="77733.963748470676"/>
    <n v="3"/>
    <n v="15"/>
    <n v="198221.60755860023"/>
    <n v="167784"/>
    <n v="30437.607558600226"/>
    <s v="COD"/>
    <x v="0"/>
    <d v="2023-04-27T00:00:00"/>
    <n v="1"/>
    <n v="4"/>
    <x v="0"/>
  </r>
  <r>
    <s v="ORD00595"/>
    <d v="2023-04-22T00:00:00"/>
    <s v="CUST0018"/>
    <s v="Meena"/>
    <s v="Kolkata"/>
    <s v="West Bengal"/>
    <x v="8"/>
    <x v="3"/>
    <s v="Fragrance"/>
    <n v="936"/>
    <n v="1258.7548209762201"/>
    <n v="5"/>
    <n v="10"/>
    <n v="5664.3966943929909"/>
    <n v="4680"/>
    <n v="984.39669439299087"/>
    <s v="Debit Card"/>
    <x v="0"/>
    <d v="2023-04-30T00:00:00"/>
    <n v="5"/>
    <n v="3"/>
    <x v="0"/>
  </r>
  <r>
    <s v="ORD00755"/>
    <d v="2023-04-22T00:00:00"/>
    <s v="CUST0259"/>
    <s v="Swathi"/>
    <s v="Pune"/>
    <s v="Maharashtra"/>
    <x v="5"/>
    <x v="0"/>
    <s v="Furniture"/>
    <n v="36739"/>
    <n v="58952.12801910178"/>
    <n v="5"/>
    <n v="0"/>
    <n v="294760.64009550889"/>
    <n v="183695"/>
    <n v="111065.64009550889"/>
    <s v="Credit Card"/>
    <x v="1"/>
    <m/>
    <n v="8"/>
    <n v="4"/>
    <x v="1"/>
  </r>
  <r>
    <s v="ORD00010"/>
    <d v="2023-04-23T00:00:00"/>
    <s v="CUST0100"/>
    <s v="Priya"/>
    <s v="Mumbai"/>
    <s v="Maharashtra"/>
    <x v="1"/>
    <x v="1"/>
    <s v="Men"/>
    <n v="337"/>
    <n v="602.6737587992385"/>
    <n v="5"/>
    <n v="15"/>
    <n v="2561.3634748967634"/>
    <n v="1685"/>
    <n v="876.36347489676336"/>
    <s v="Debit Card"/>
    <x v="0"/>
    <d v="2023-05-01T00:00:00"/>
    <n v="1"/>
    <n v="4"/>
    <x v="0"/>
  </r>
  <r>
    <s v="ORD00253"/>
    <d v="2023-04-23T00:00:00"/>
    <s v="CUST0294"/>
    <s v="Deepika"/>
    <s v="Chennai"/>
    <s v="Tamil Nadu"/>
    <x v="5"/>
    <x v="0"/>
    <s v="Furniture"/>
    <n v="29615"/>
    <n v="41565.877160070107"/>
    <n v="2"/>
    <n v="10"/>
    <n v="74818.578888126198"/>
    <n v="59230"/>
    <n v="15588.578888126198"/>
    <s v="UPI"/>
    <x v="0"/>
    <d v="2023-04-30T00:00:00"/>
    <n v="3"/>
    <n v="2"/>
    <x v="0"/>
  </r>
  <r>
    <s v="ORD00288"/>
    <d v="2023-04-23T00:00:00"/>
    <s v="CUST0180"/>
    <s v="Deepika"/>
    <s v="Delhi"/>
    <s v="Delhi"/>
    <x v="11"/>
    <x v="2"/>
    <s v="Computers"/>
    <n v="45075"/>
    <n v="76442.857107522243"/>
    <n v="1"/>
    <n v="10"/>
    <n v="68798.571396770014"/>
    <n v="45075"/>
    <n v="23723.571396770014"/>
    <s v="UPI"/>
    <x v="1"/>
    <m/>
    <n v="8"/>
    <n v="3"/>
    <x v="1"/>
  </r>
  <r>
    <s v="ORD00200"/>
    <d v="2023-04-24T00:00:00"/>
    <s v="CUST0013"/>
    <s v="Arjun"/>
    <s v="Hyderabad"/>
    <s v="Telangana"/>
    <x v="0"/>
    <x v="0"/>
    <s v="Kitchen"/>
    <n v="5585"/>
    <n v="7054.9491765654966"/>
    <n v="3"/>
    <n v="0"/>
    <n v="21164.84752969649"/>
    <n v="16755"/>
    <n v="4409.8475296964898"/>
    <s v="Credit Card"/>
    <x v="0"/>
    <d v="2023-05-02T00:00:00"/>
    <n v="4"/>
    <n v="4"/>
    <x v="0"/>
  </r>
  <r>
    <s v="ORD00279"/>
    <d v="2023-04-24T00:00:00"/>
    <s v="CUST0293"/>
    <s v="Manoj"/>
    <s v="Mumbai"/>
    <s v="Maharashtra"/>
    <x v="11"/>
    <x v="2"/>
    <s v="Computers"/>
    <n v="31388"/>
    <n v="52795.92491637855"/>
    <n v="1"/>
    <n v="10"/>
    <n v="47516.332424740693"/>
    <n v="31388"/>
    <n v="16128.332424740693"/>
    <s v="COD"/>
    <x v="0"/>
    <d v="2023-05-02T00:00:00"/>
    <n v="2"/>
    <n v="5"/>
    <x v="0"/>
  </r>
  <r>
    <s v="ORD00948"/>
    <d v="2023-04-24T00:00:00"/>
    <s v="CUST0274"/>
    <s v="Neha"/>
    <s v="Mumbai"/>
    <s v="Maharashtra"/>
    <x v="3"/>
    <x v="2"/>
    <s v="Accessories"/>
    <n v="1869"/>
    <n v="2205.7153328953877"/>
    <n v="2"/>
    <n v="5"/>
    <n v="4190.8591325012367"/>
    <n v="3738"/>
    <n v="452.85913250123667"/>
    <s v="UPI"/>
    <x v="1"/>
    <m/>
    <n v="7"/>
    <n v="2"/>
    <x v="1"/>
  </r>
  <r>
    <s v="ORD01033"/>
    <d v="2023-04-24T00:00:00"/>
    <s v="CUST0197"/>
    <s v="Sneha"/>
    <s v="Hyderabad"/>
    <s v="Telangana"/>
    <x v="7"/>
    <x v="3"/>
    <s v="Skincare"/>
    <n v="488"/>
    <n v="684.37719317522055"/>
    <n v="1"/>
    <n v="5"/>
    <n v="650.15833351645949"/>
    <n v="488"/>
    <n v="162.15833351645949"/>
    <s v="COD"/>
    <x v="1"/>
    <m/>
    <n v="9"/>
    <n v="1"/>
    <x v="1"/>
  </r>
  <r>
    <s v="ORD00162"/>
    <d v="2023-04-25T00:00:00"/>
    <s v="CUST0026"/>
    <s v="Kiran"/>
    <s v="Delhi"/>
    <s v="Delhi"/>
    <x v="4"/>
    <x v="1"/>
    <s v="Footwear"/>
    <n v="830"/>
    <n v="1209.0685291275529"/>
    <n v="5"/>
    <n v="20"/>
    <n v="4836.2741165102116"/>
    <n v="4150"/>
    <n v="686.27411651021157"/>
    <s v="COD"/>
    <x v="0"/>
    <d v="2023-05-01T00:00:00"/>
    <n v="1"/>
    <n v="4"/>
    <x v="0"/>
  </r>
  <r>
    <s v="ORD00324"/>
    <d v="2023-04-25T00:00:00"/>
    <s v="CUST0198"/>
    <s v="Divya"/>
    <s v="Delhi"/>
    <s v="Delhi"/>
    <x v="7"/>
    <x v="3"/>
    <s v="Skincare"/>
    <n v="600"/>
    <n v="829.18442825965019"/>
    <n v="5"/>
    <n v="0"/>
    <n v="4145.9221412982506"/>
    <n v="3000"/>
    <n v="1145.9221412982506"/>
    <s v="Debit Card"/>
    <x v="1"/>
    <m/>
    <n v="8"/>
    <n v="4"/>
    <x v="1"/>
  </r>
  <r>
    <s v="ORD00585"/>
    <d v="2023-04-25T00:00:00"/>
    <s v="CUST0081"/>
    <s v="Arjun"/>
    <s v="Mumbai"/>
    <s v="Maharashtra"/>
    <x v="10"/>
    <x v="2"/>
    <s v="Mobile"/>
    <n v="81885"/>
    <n v="123111.30722157974"/>
    <n v="4"/>
    <n v="15"/>
    <n v="418578.44455337111"/>
    <n v="327540"/>
    <n v="91038.444553371111"/>
    <s v="Credit Card"/>
    <x v="0"/>
    <d v="2023-05-03T00:00:00"/>
    <n v="3"/>
    <n v="4"/>
    <x v="0"/>
  </r>
  <r>
    <s v="ORD00633"/>
    <d v="2023-04-25T00:00:00"/>
    <s v="CUST0207"/>
    <s v="Manoj"/>
    <s v="Delhi"/>
    <s v="Delhi"/>
    <x v="6"/>
    <x v="1"/>
    <s v="Men"/>
    <n v="1295"/>
    <n v="1958.2980976806687"/>
    <n v="4"/>
    <n v="10"/>
    <n v="7049.8731516504076"/>
    <n v="5180"/>
    <n v="1869.8731516504076"/>
    <s v="Credit Card"/>
    <x v="1"/>
    <m/>
    <n v="10"/>
    <n v="1"/>
    <x v="1"/>
  </r>
  <r>
    <s v="ORD01094"/>
    <d v="2023-04-25T00:00:00"/>
    <s v="CUST0074"/>
    <s v="Nikhil"/>
    <s v="Pune"/>
    <s v="Maharashtra"/>
    <x v="7"/>
    <x v="3"/>
    <s v="Skincare"/>
    <n v="594"/>
    <n v="692.96149447545736"/>
    <n v="5"/>
    <n v="10"/>
    <n v="3118.3267251395582"/>
    <n v="2970"/>
    <n v="148.32672513955822"/>
    <s v="Debit Card"/>
    <x v="0"/>
    <d v="2023-05-01T00:00:00"/>
    <n v="2"/>
    <n v="4"/>
    <x v="0"/>
  </r>
  <r>
    <s v="ORD00476"/>
    <d v="2023-04-26T00:00:00"/>
    <s v="CUST0011"/>
    <s v="Amit"/>
    <s v="Bangalore"/>
    <s v="Karnataka"/>
    <x v="7"/>
    <x v="3"/>
    <s v="Skincare"/>
    <n v="264"/>
    <n v="386.04939016830252"/>
    <n v="5"/>
    <n v="5"/>
    <n v="1833.7346032994369"/>
    <n v="1320"/>
    <n v="513.73460329943691"/>
    <s v="COD"/>
    <x v="0"/>
    <d v="2023-05-05T00:00:00"/>
    <n v="2"/>
    <n v="5"/>
    <x v="0"/>
  </r>
  <r>
    <s v="ORD00704"/>
    <d v="2023-04-26T00:00:00"/>
    <s v="CUST0163"/>
    <s v="Amit"/>
    <s v="Ahmedabad"/>
    <s v="Gujarat"/>
    <x v="11"/>
    <x v="2"/>
    <s v="Computers"/>
    <n v="33449"/>
    <n v="47573.932123061393"/>
    <n v="5"/>
    <n v="20"/>
    <n v="190295.72849224557"/>
    <n v="167245"/>
    <n v="23050.728492245573"/>
    <s v="Debit Card"/>
    <x v="0"/>
    <d v="2023-05-05T00:00:00"/>
    <n v="6"/>
    <n v="3"/>
    <x v="0"/>
  </r>
  <r>
    <s v="ORD00784"/>
    <d v="2023-04-26T00:00:00"/>
    <s v="CUST0272"/>
    <s v="Pooja"/>
    <s v="Pune"/>
    <s v="Maharashtra"/>
    <x v="6"/>
    <x v="1"/>
    <s v="Men"/>
    <n v="1194"/>
    <n v="2141.6462909074894"/>
    <n v="2"/>
    <n v="0"/>
    <n v="4283.2925818149788"/>
    <n v="2388"/>
    <n v="1895.2925818149788"/>
    <s v="Debit Card"/>
    <x v="0"/>
    <d v="2023-05-03T00:00:00"/>
    <n v="3"/>
    <n v="2"/>
    <x v="0"/>
  </r>
  <r>
    <s v="ORD01029"/>
    <d v="2023-04-26T00:00:00"/>
    <s v="CUST0142"/>
    <s v="Rohit"/>
    <s v="Pune"/>
    <s v="Maharashtra"/>
    <x v="8"/>
    <x v="3"/>
    <s v="Fragrance"/>
    <n v="996"/>
    <n v="1089.3371854195941"/>
    <n v="1"/>
    <n v="5"/>
    <n v="1034.8703261486144"/>
    <n v="996"/>
    <n v="38.870326148614367"/>
    <s v="Credit Card"/>
    <x v="0"/>
    <d v="2023-05-08T00:00:00"/>
    <n v="6"/>
    <n v="2"/>
    <x v="0"/>
  </r>
  <r>
    <s v="ORD00063"/>
    <d v="2023-04-27T00:00:00"/>
    <s v="CUST0243"/>
    <s v="Ramesh"/>
    <s v="Bangalore"/>
    <s v="Karnataka"/>
    <x v="9"/>
    <x v="2"/>
    <s v="TV"/>
    <n v="45543"/>
    <n v="72999.24870968044"/>
    <n v="5"/>
    <n v="20"/>
    <n v="291996.99483872176"/>
    <n v="227715"/>
    <n v="64281.994838721759"/>
    <s v="Credit Card"/>
    <x v="0"/>
    <d v="2023-05-04T00:00:00"/>
    <n v="2"/>
    <n v="4"/>
    <x v="0"/>
  </r>
  <r>
    <s v="ORD00070"/>
    <d v="2023-04-27T00:00:00"/>
    <s v="CUST0053"/>
    <s v="Meena"/>
    <s v="Kolkata"/>
    <s v="West Bengal"/>
    <x v="1"/>
    <x v="1"/>
    <s v="Men"/>
    <n v="630"/>
    <n v="1051.3228819137619"/>
    <n v="4"/>
    <n v="0"/>
    <n v="4205.2915276550475"/>
    <n v="2520"/>
    <n v="1685.2915276550475"/>
    <s v="Debit Card"/>
    <x v="0"/>
    <d v="2023-05-07T00:00:00"/>
    <n v="5"/>
    <n v="4"/>
    <x v="0"/>
  </r>
  <r>
    <s v="ORD00448"/>
    <d v="2023-04-27T00:00:00"/>
    <s v="CUST0239"/>
    <s v="Ramesh"/>
    <s v="Kolkata"/>
    <s v="West Bengal"/>
    <x v="11"/>
    <x v="2"/>
    <s v="Computers"/>
    <n v="36872"/>
    <n v="63075.056459400679"/>
    <n v="5"/>
    <n v="5"/>
    <n v="299606.51818215317"/>
    <n v="184360"/>
    <n v="115246.51818215317"/>
    <s v="Debit Card"/>
    <x v="0"/>
    <d v="2023-05-04T00:00:00"/>
    <n v="3"/>
    <n v="4"/>
    <x v="0"/>
  </r>
  <r>
    <s v="ORD00942"/>
    <d v="2023-04-27T00:00:00"/>
    <s v="CUST0055"/>
    <s v="Neha"/>
    <s v="Mumbai"/>
    <s v="Maharashtra"/>
    <x v="5"/>
    <x v="0"/>
    <s v="Furniture"/>
    <n v="40896"/>
    <n v="56155.583143897893"/>
    <n v="1"/>
    <n v="5"/>
    <n v="53347.803986702995"/>
    <n v="40896"/>
    <n v="12451.803986702995"/>
    <s v="COD"/>
    <x v="0"/>
    <d v="2023-05-06T00:00:00"/>
    <n v="4"/>
    <n v="2"/>
    <x v="0"/>
  </r>
  <r>
    <s v="ORD00950"/>
    <d v="2023-04-27T00:00:00"/>
    <s v="CUST0062"/>
    <s v="Priya"/>
    <s v="Chennai"/>
    <s v="Tamil Nadu"/>
    <x v="8"/>
    <x v="3"/>
    <s v="Fragrance"/>
    <n v="855"/>
    <n v="1057.9986121553511"/>
    <n v="3"/>
    <n v="10"/>
    <n v="2856.5962528194482"/>
    <n v="2565"/>
    <n v="291.59625281944818"/>
    <s v="Debit Card"/>
    <x v="0"/>
    <d v="2023-05-06T00:00:00"/>
    <n v="2"/>
    <n v="4"/>
    <x v="0"/>
  </r>
  <r>
    <s v="ORD01184"/>
    <d v="2023-04-27T00:00:00"/>
    <s v="CUST0234"/>
    <s v="Vikram"/>
    <s v="Delhi"/>
    <s v="Delhi"/>
    <x v="4"/>
    <x v="1"/>
    <s v="Footwear"/>
    <n v="2623"/>
    <n v="4569.6853708639601"/>
    <n v="1"/>
    <n v="20"/>
    <n v="3655.7482966911684"/>
    <n v="2623"/>
    <n v="1032.7482966911684"/>
    <s v="COD"/>
    <x v="1"/>
    <m/>
    <n v="9"/>
    <n v="1"/>
    <x v="1"/>
  </r>
  <r>
    <s v="ORD00350"/>
    <d v="2023-04-28T00:00:00"/>
    <s v="CUST0272"/>
    <s v="Ramesh"/>
    <s v="Hyderabad"/>
    <s v="Telangana"/>
    <x v="2"/>
    <x v="1"/>
    <s v="Women"/>
    <n v="781"/>
    <n v="1209.1958532168615"/>
    <n v="4"/>
    <n v="10"/>
    <n v="4353.1050715807014"/>
    <n v="3124"/>
    <n v="1229.1050715807014"/>
    <s v="UPI"/>
    <x v="1"/>
    <m/>
    <n v="7"/>
    <n v="4"/>
    <x v="1"/>
  </r>
  <r>
    <s v="ORD00478"/>
    <d v="2023-04-28T00:00:00"/>
    <s v="CUST0026"/>
    <s v="Kavya"/>
    <s v="Delhi"/>
    <s v="Delhi"/>
    <x v="10"/>
    <x v="2"/>
    <s v="Mobile"/>
    <n v="78390"/>
    <n v="86533.985716355353"/>
    <n v="1"/>
    <n v="10"/>
    <n v="77880.587144719815"/>
    <n v="78390"/>
    <n v="-509.41285528018489"/>
    <s v="UPI"/>
    <x v="1"/>
    <m/>
    <n v="8"/>
    <n v="2"/>
    <x v="1"/>
  </r>
  <r>
    <s v="ORD01070"/>
    <d v="2023-04-28T00:00:00"/>
    <s v="CUST0062"/>
    <s v="Arjun"/>
    <s v="Hyderabad"/>
    <s v="Telangana"/>
    <x v="2"/>
    <x v="1"/>
    <s v="Women"/>
    <n v="1183"/>
    <n v="1790.9112319502899"/>
    <n v="3"/>
    <n v="20"/>
    <n v="4298.1869566806954"/>
    <n v="3549"/>
    <n v="749.1869566806954"/>
    <s v="UPI"/>
    <x v="0"/>
    <d v="2023-05-13T00:00:00"/>
    <n v="8"/>
    <n v="2"/>
    <x v="0"/>
  </r>
  <r>
    <s v="ORD00347"/>
    <d v="2023-04-29T00:00:00"/>
    <s v="CUST0200"/>
    <s v="Kavya"/>
    <s v="Delhi"/>
    <s v="Delhi"/>
    <x v="5"/>
    <x v="0"/>
    <s v="Furniture"/>
    <n v="25178"/>
    <n v="25626.680330108549"/>
    <n v="2"/>
    <n v="10"/>
    <n v="46128.024594195391"/>
    <n v="50356"/>
    <n v="-4227.9754058046092"/>
    <s v="COD"/>
    <x v="0"/>
    <d v="2023-05-10T00:00:00"/>
    <n v="6"/>
    <n v="4"/>
    <x v="2"/>
  </r>
  <r>
    <s v="ORD00494"/>
    <d v="2023-04-29T00:00:00"/>
    <s v="CUST0227"/>
    <s v="Sneha"/>
    <s v="Hyderabad"/>
    <s v="Telangana"/>
    <x v="9"/>
    <x v="2"/>
    <s v="TV"/>
    <n v="45127"/>
    <n v="60038.810915684342"/>
    <n v="5"/>
    <n v="5"/>
    <n v="285184.35184950061"/>
    <n v="225635"/>
    <n v="59549.351849500614"/>
    <s v="Debit Card"/>
    <x v="0"/>
    <d v="2023-05-08T00:00:00"/>
    <n v="2"/>
    <n v="4"/>
    <x v="0"/>
  </r>
  <r>
    <s v="ORD00701"/>
    <d v="2023-04-29T00:00:00"/>
    <s v="CUST0264"/>
    <s v="Anjali"/>
    <s v="Kolkata"/>
    <s v="West Bengal"/>
    <x v="10"/>
    <x v="2"/>
    <s v="Mobile"/>
    <n v="79333"/>
    <n v="87555.917892563768"/>
    <n v="1"/>
    <n v="20"/>
    <n v="70044.73431405102"/>
    <n v="79333"/>
    <n v="-9288.2656859489798"/>
    <s v="Debit Card"/>
    <x v="1"/>
    <m/>
    <n v="10"/>
    <n v="1"/>
    <x v="1"/>
  </r>
  <r>
    <s v="ORD00814"/>
    <d v="2023-04-29T00:00:00"/>
    <s v="CUST0096"/>
    <s v="Rohit"/>
    <s v="Bangalore"/>
    <s v="Karnataka"/>
    <x v="0"/>
    <x v="0"/>
    <s v="Kitchen"/>
    <n v="6538"/>
    <n v="7176.2355280720531"/>
    <n v="4"/>
    <n v="10"/>
    <n v="25834.447901059393"/>
    <n v="26152"/>
    <n v="-317.55209894060681"/>
    <s v="COD"/>
    <x v="1"/>
    <m/>
    <n v="9"/>
    <n v="1"/>
    <x v="1"/>
  </r>
  <r>
    <s v="ORD00839"/>
    <d v="2023-04-29T00:00:00"/>
    <s v="CUST0044"/>
    <s v="Anjali"/>
    <s v="Pune"/>
    <s v="Maharashtra"/>
    <x v="7"/>
    <x v="3"/>
    <s v="Skincare"/>
    <n v="533"/>
    <n v="558.77598174839147"/>
    <n v="4"/>
    <n v="10"/>
    <n v="2011.5935342942093"/>
    <n v="2132"/>
    <n v="-120.40646570579065"/>
    <s v="Debit Card"/>
    <x v="0"/>
    <d v="2023-05-06T00:00:00"/>
    <n v="4"/>
    <n v="2"/>
    <x v="0"/>
  </r>
  <r>
    <s v="ORD00882"/>
    <d v="2023-04-29T00:00:00"/>
    <s v="CUST0117"/>
    <s v="Rohit"/>
    <s v="Hyderabad"/>
    <s v="Telangana"/>
    <x v="11"/>
    <x v="2"/>
    <s v="Computers"/>
    <n v="40938"/>
    <n v="61717.35806136718"/>
    <n v="3"/>
    <n v="15"/>
    <n v="157379.26305648629"/>
    <n v="122814"/>
    <n v="34565.263056486292"/>
    <s v="UPI"/>
    <x v="0"/>
    <d v="2023-05-10T00:00:00"/>
    <n v="5"/>
    <n v="2"/>
    <x v="0"/>
  </r>
  <r>
    <s v="ORD00226"/>
    <d v="2023-04-30T00:00:00"/>
    <s v="CUST0296"/>
    <s v="Kiran"/>
    <s v="Ahmedabad"/>
    <s v="Gujarat"/>
    <x v="3"/>
    <x v="2"/>
    <s v="Accessories"/>
    <n v="1940"/>
    <n v="2363.1405993660273"/>
    <n v="1"/>
    <n v="10"/>
    <n v="2126.8265394294249"/>
    <n v="1940"/>
    <n v="186.82653942942488"/>
    <s v="Credit Card"/>
    <x v="0"/>
    <d v="2023-05-10T00:00:00"/>
    <n v="5"/>
    <n v="3"/>
    <x v="0"/>
  </r>
  <r>
    <s v="ORD00289"/>
    <d v="2023-04-30T00:00:00"/>
    <s v="CUST0283"/>
    <s v="Amit"/>
    <s v="Mumbai"/>
    <s v="Maharashtra"/>
    <x v="6"/>
    <x v="1"/>
    <s v="Men"/>
    <n v="1486"/>
    <n v="1635.4839040751131"/>
    <n v="2"/>
    <n v="20"/>
    <n v="2616.7742465201809"/>
    <n v="2972"/>
    <n v="-355.2257534798191"/>
    <s v="COD"/>
    <x v="0"/>
    <d v="2023-05-11T00:00:00"/>
    <n v="6"/>
    <n v="4"/>
    <x v="2"/>
  </r>
  <r>
    <s v="ORD00553"/>
    <d v="2023-04-30T00:00:00"/>
    <s v="CUST0063"/>
    <s v="Vikram"/>
    <s v="Pune"/>
    <s v="Maharashtra"/>
    <x v="0"/>
    <x v="0"/>
    <s v="Kitchen"/>
    <n v="4198"/>
    <n v="4432.0302544666874"/>
    <n v="3"/>
    <n v="20"/>
    <n v="10636.872610720049"/>
    <n v="12594"/>
    <n v="-1957.1273892799509"/>
    <s v="Debit Card"/>
    <x v="0"/>
    <d v="2023-05-10T00:00:00"/>
    <n v="6"/>
    <n v="2"/>
    <x v="0"/>
  </r>
  <r>
    <s v="ORD00809"/>
    <d v="2023-04-30T00:00:00"/>
    <s v="CUST0169"/>
    <s v="Manoj"/>
    <s v="Delhi"/>
    <s v="Delhi"/>
    <x v="11"/>
    <x v="2"/>
    <s v="Computers"/>
    <n v="36795"/>
    <n v="57274.38591720668"/>
    <n v="4"/>
    <n v="15"/>
    <n v="194732.91211850272"/>
    <n v="147180"/>
    <n v="47552.912118502718"/>
    <s v="Credit Card"/>
    <x v="1"/>
    <m/>
    <n v="10"/>
    <n v="1"/>
    <x v="1"/>
  </r>
  <r>
    <s v="ORD00955"/>
    <d v="2023-04-30T00:00:00"/>
    <s v="CUST0221"/>
    <s v="Deepika"/>
    <s v="Ahmedabad"/>
    <s v="Gujarat"/>
    <x v="9"/>
    <x v="2"/>
    <s v="TV"/>
    <n v="23873"/>
    <n v="25290.945340381761"/>
    <n v="4"/>
    <n v="20"/>
    <n v="80931.025089221643"/>
    <n v="95492"/>
    <n v="-14560.974910778357"/>
    <s v="UPI"/>
    <x v="0"/>
    <d v="2023-05-09T00:00:00"/>
    <n v="6"/>
    <n v="3"/>
    <x v="0"/>
  </r>
  <r>
    <s v="ORD01083"/>
    <d v="2023-04-30T00:00:00"/>
    <s v="CUST0284"/>
    <s v="Kavya"/>
    <s v="Delhi"/>
    <s v="Delhi"/>
    <x v="6"/>
    <x v="1"/>
    <s v="Men"/>
    <n v="1162"/>
    <n v="2084.4071876640046"/>
    <n v="2"/>
    <n v="10"/>
    <n v="3751.9329377952085"/>
    <n v="2324"/>
    <n v="1427.9329377952085"/>
    <s v="Debit Card"/>
    <x v="0"/>
    <d v="2023-05-04T00:00:00"/>
    <n v="1"/>
    <n v="5"/>
    <x v="0"/>
  </r>
  <r>
    <s v="ORD01177"/>
    <d v="2023-04-30T00:00:00"/>
    <s v="CUST0204"/>
    <s v="Pooja"/>
    <s v="Mumbai"/>
    <s v="Maharashtra"/>
    <x v="5"/>
    <x v="0"/>
    <s v="Furniture"/>
    <n v="52191"/>
    <n v="76734.091507701261"/>
    <n v="2"/>
    <n v="0"/>
    <n v="153468.18301540252"/>
    <n v="104382"/>
    <n v="49086.183015402523"/>
    <s v="COD"/>
    <x v="1"/>
    <m/>
    <n v="7"/>
    <n v="4"/>
    <x v="1"/>
  </r>
  <r>
    <s v="ORD00321"/>
    <d v="2023-05-01T00:00:00"/>
    <s v="CUST0174"/>
    <s v="Ramesh"/>
    <s v="Bangalore"/>
    <s v="Karnataka"/>
    <x v="3"/>
    <x v="2"/>
    <s v="Accessories"/>
    <n v="1169"/>
    <n v="1196.3482606059936"/>
    <n v="3"/>
    <n v="5"/>
    <n v="3409.5925427270818"/>
    <n v="3507"/>
    <n v="-97.407457272918236"/>
    <s v="Credit Card"/>
    <x v="0"/>
    <d v="2023-05-11T00:00:00"/>
    <n v="3"/>
    <n v="4"/>
    <x v="0"/>
  </r>
  <r>
    <s v="ORD00447"/>
    <d v="2023-05-01T00:00:00"/>
    <s v="CUST0162"/>
    <s v="Arjun"/>
    <s v="Pune"/>
    <s v="Maharashtra"/>
    <x v="1"/>
    <x v="1"/>
    <s v="Men"/>
    <n v="534"/>
    <n v="756.74926296401031"/>
    <n v="5"/>
    <n v="20"/>
    <n v="3026.9970518560413"/>
    <n v="2670"/>
    <n v="356.99705185604125"/>
    <s v="COD"/>
    <x v="0"/>
    <d v="2023-05-14T00:00:00"/>
    <n v="6"/>
    <n v="4"/>
    <x v="2"/>
  </r>
  <r>
    <s v="ORD00026"/>
    <d v="2023-05-02T00:00:00"/>
    <s v="CUST0172"/>
    <s v="Vikram"/>
    <s v="Delhi"/>
    <s v="Delhi"/>
    <x v="0"/>
    <x v="0"/>
    <s v="Kitchen"/>
    <n v="6242"/>
    <n v="11000.401152934886"/>
    <n v="3"/>
    <n v="5"/>
    <n v="31351.143285864426"/>
    <n v="18726"/>
    <n v="12625.143285864426"/>
    <s v="Credit Card"/>
    <x v="0"/>
    <d v="2023-05-06T00:00:00"/>
    <n v="1"/>
    <n v="4"/>
    <x v="0"/>
  </r>
  <r>
    <s v="ORD00171"/>
    <d v="2023-05-02T00:00:00"/>
    <s v="CUST0174"/>
    <s v="Sneha"/>
    <s v="Delhi"/>
    <s v="Delhi"/>
    <x v="6"/>
    <x v="1"/>
    <s v="Men"/>
    <n v="1072"/>
    <n v="1344.4624911750545"/>
    <n v="5"/>
    <n v="10"/>
    <n v="6050.0812102877453"/>
    <n v="5360"/>
    <n v="690.08121028774531"/>
    <s v="Credit Card"/>
    <x v="1"/>
    <m/>
    <n v="7"/>
    <n v="3"/>
    <x v="1"/>
  </r>
  <r>
    <s v="ORD00485"/>
    <d v="2023-05-02T00:00:00"/>
    <s v="CUST0171"/>
    <s v="Kavya"/>
    <s v="Delhi"/>
    <s v="Delhi"/>
    <x v="4"/>
    <x v="1"/>
    <s v="Footwear"/>
    <n v="1215"/>
    <n v="2128.4025502364279"/>
    <n v="1"/>
    <n v="15"/>
    <n v="1809.1421677009637"/>
    <n v="1215"/>
    <n v="594.14216770096368"/>
    <s v="COD"/>
    <x v="0"/>
    <d v="2023-05-08T00:00:00"/>
    <n v="2"/>
    <n v="5"/>
    <x v="0"/>
  </r>
  <r>
    <s v="ORD00496"/>
    <d v="2023-05-02T00:00:00"/>
    <s v="CUST0223"/>
    <s v="Manoj"/>
    <s v="Chennai"/>
    <s v="Tamil Nadu"/>
    <x v="1"/>
    <x v="1"/>
    <s v="Men"/>
    <n v="302"/>
    <n v="356.55297050120924"/>
    <n v="3"/>
    <n v="15"/>
    <n v="909.21007477808348"/>
    <n v="906"/>
    <n v="3.2100747780834809"/>
    <s v="Debit Card"/>
    <x v="1"/>
    <m/>
    <n v="10"/>
    <n v="1"/>
    <x v="1"/>
  </r>
  <r>
    <s v="ORD00642"/>
    <d v="2023-05-02T00:00:00"/>
    <s v="CUST0141"/>
    <s v="Rohit"/>
    <s v="Chennai"/>
    <s v="Tamil Nadu"/>
    <x v="3"/>
    <x v="2"/>
    <s v="Accessories"/>
    <n v="1054"/>
    <n v="1251.2839400287828"/>
    <n v="3"/>
    <n v="0"/>
    <n v="3753.8518200863482"/>
    <n v="3162"/>
    <n v="591.8518200863482"/>
    <s v="UPI"/>
    <x v="0"/>
    <d v="2023-05-07T00:00:00"/>
    <n v="1"/>
    <n v="5"/>
    <x v="0"/>
  </r>
  <r>
    <s v="ORD00213"/>
    <d v="2023-05-03T00:00:00"/>
    <s v="CUST0016"/>
    <s v="Ramesh"/>
    <s v="Hyderabad"/>
    <s v="Telangana"/>
    <x v="8"/>
    <x v="3"/>
    <s v="Fragrance"/>
    <n v="763"/>
    <n v="1262.8982100792341"/>
    <n v="2"/>
    <n v="10"/>
    <n v="2273.2167781426215"/>
    <n v="1526"/>
    <n v="747.21677814262148"/>
    <s v="UPI"/>
    <x v="1"/>
    <m/>
    <n v="10"/>
    <n v="1"/>
    <x v="1"/>
  </r>
  <r>
    <s v="ORD00272"/>
    <d v="2023-05-03T00:00:00"/>
    <s v="CUST0066"/>
    <s v="Deepika"/>
    <s v="Hyderabad"/>
    <s v="Telangana"/>
    <x v="4"/>
    <x v="1"/>
    <s v="Footwear"/>
    <n v="2020"/>
    <n v="2585.6101556863673"/>
    <n v="5"/>
    <n v="20"/>
    <n v="10342.440622745469"/>
    <n v="10100"/>
    <n v="242.44062274546923"/>
    <s v="Credit Card"/>
    <x v="0"/>
    <d v="2023-05-15T00:00:00"/>
    <n v="6"/>
    <n v="2"/>
    <x v="0"/>
  </r>
  <r>
    <s v="ORD00395"/>
    <d v="2023-05-03T00:00:00"/>
    <s v="CUST0295"/>
    <s v="Divya"/>
    <s v="Kolkata"/>
    <s v="West Bengal"/>
    <x v="9"/>
    <x v="2"/>
    <s v="TV"/>
    <n v="42067"/>
    <n v="43325.886442761352"/>
    <n v="4"/>
    <n v="15"/>
    <n v="147308.01390538859"/>
    <n v="168268"/>
    <n v="-20959.986094611406"/>
    <s v="Credit Card"/>
    <x v="0"/>
    <d v="2023-05-13T00:00:00"/>
    <n v="5"/>
    <n v="2"/>
    <x v="0"/>
  </r>
  <r>
    <s v="ORD00400"/>
    <d v="2023-05-03T00:00:00"/>
    <s v="CUST0300"/>
    <s v="Manoj"/>
    <s v="Bangalore"/>
    <s v="Karnataka"/>
    <x v="0"/>
    <x v="0"/>
    <s v="Kitchen"/>
    <n v="3094"/>
    <n v="5537.4756984826508"/>
    <n v="1"/>
    <n v="5"/>
    <n v="5260.6019135585184"/>
    <n v="3094"/>
    <n v="2166.6019135585184"/>
    <s v="Credit Card"/>
    <x v="0"/>
    <d v="2023-05-14T00:00:00"/>
    <n v="6"/>
    <n v="3"/>
    <x v="0"/>
  </r>
  <r>
    <s v="ORD00427"/>
    <d v="2023-05-03T00:00:00"/>
    <s v="CUST0193"/>
    <s v="Anjali"/>
    <s v="Chennai"/>
    <s v="Tamil Nadu"/>
    <x v="1"/>
    <x v="1"/>
    <s v="Men"/>
    <n v="323"/>
    <n v="505.98441629326203"/>
    <n v="3"/>
    <n v="10"/>
    <n v="1366.1579239918076"/>
    <n v="969"/>
    <n v="397.15792399180759"/>
    <s v="Debit Card"/>
    <x v="0"/>
    <d v="2023-05-12T00:00:00"/>
    <n v="4"/>
    <n v="3"/>
    <x v="0"/>
  </r>
  <r>
    <s v="ORD00918"/>
    <d v="2023-05-03T00:00:00"/>
    <s v="CUST0221"/>
    <s v="Kiran"/>
    <s v="Ahmedabad"/>
    <s v="Gujarat"/>
    <x v="2"/>
    <x v="1"/>
    <s v="Women"/>
    <n v="1425"/>
    <n v="1782.4515921215914"/>
    <n v="2"/>
    <n v="10"/>
    <n v="3208.4128658188647"/>
    <n v="2850"/>
    <n v="358.4128658188647"/>
    <s v="COD"/>
    <x v="1"/>
    <m/>
    <n v="10"/>
    <n v="1"/>
    <x v="1"/>
  </r>
  <r>
    <s v="ORD00628"/>
    <d v="2023-05-04T00:00:00"/>
    <s v="CUST0273"/>
    <s v="Arjun"/>
    <s v="Delhi"/>
    <s v="Delhi"/>
    <x v="6"/>
    <x v="1"/>
    <s v="Men"/>
    <n v="955"/>
    <n v="1144.0778751651708"/>
    <n v="4"/>
    <n v="15"/>
    <n v="3889.8647755615807"/>
    <n v="3820"/>
    <n v="69.8647755615807"/>
    <s v="UPI"/>
    <x v="0"/>
    <d v="2023-05-12T00:00:00"/>
    <n v="1"/>
    <n v="4"/>
    <x v="0"/>
  </r>
  <r>
    <s v="ORD01091"/>
    <d v="2023-05-04T00:00:00"/>
    <s v="CUST0058"/>
    <s v="Amit"/>
    <s v="Chennai"/>
    <s v="Tamil Nadu"/>
    <x v="8"/>
    <x v="3"/>
    <s v="Fragrance"/>
    <n v="643"/>
    <n v="674.86425020712261"/>
    <n v="1"/>
    <n v="5"/>
    <n v="641.12103769676639"/>
    <n v="643"/>
    <n v="-1.8789623032336067"/>
    <s v="Debit Card"/>
    <x v="0"/>
    <d v="2023-05-10T00:00:00"/>
    <n v="1"/>
    <n v="5"/>
    <x v="0"/>
  </r>
  <r>
    <s v="ORD01162"/>
    <d v="2023-05-04T00:00:00"/>
    <s v="CUST0169"/>
    <s v="Anjali"/>
    <s v="Chennai"/>
    <s v="Tamil Nadu"/>
    <x v="9"/>
    <x v="2"/>
    <s v="TV"/>
    <n v="46864"/>
    <n v="66908.68052204237"/>
    <n v="2"/>
    <n v="0"/>
    <n v="133817.36104408474"/>
    <n v="93728"/>
    <n v="40089.361044084741"/>
    <s v="Debit Card"/>
    <x v="1"/>
    <m/>
    <n v="10"/>
    <n v="1"/>
    <x v="1"/>
  </r>
  <r>
    <s v="ORD01182"/>
    <d v="2023-05-04T00:00:00"/>
    <s v="CUST0069"/>
    <s v="Sneha"/>
    <s v="Pune"/>
    <s v="Maharashtra"/>
    <x v="10"/>
    <x v="2"/>
    <s v="Mobile"/>
    <n v="52795"/>
    <n v="82781.689732734754"/>
    <n v="4"/>
    <n v="15"/>
    <n v="281457.74509129813"/>
    <n v="211180"/>
    <n v="70277.745091298129"/>
    <s v="UPI"/>
    <x v="0"/>
    <d v="2023-05-12T00:00:00"/>
    <n v="3"/>
    <n v="4"/>
    <x v="0"/>
  </r>
  <r>
    <s v="ORD00066"/>
    <d v="2023-05-05T00:00:00"/>
    <s v="CUST0264"/>
    <s v="Nikhil"/>
    <s v="Ahmedabad"/>
    <s v="Gujarat"/>
    <x v="11"/>
    <x v="2"/>
    <s v="Computers"/>
    <n v="34329"/>
    <n v="36945.567364903793"/>
    <n v="2"/>
    <n v="5"/>
    <n v="70196.577993317202"/>
    <n v="68658"/>
    <n v="1538.5779933172016"/>
    <s v="UPI"/>
    <x v="0"/>
    <d v="2023-05-11T00:00:00"/>
    <n v="1"/>
    <n v="4"/>
    <x v="0"/>
  </r>
  <r>
    <s v="ORD00328"/>
    <d v="2023-05-05T00:00:00"/>
    <s v="CUST0096"/>
    <s v="Swathi"/>
    <s v="Pune"/>
    <s v="Maharashtra"/>
    <x v="1"/>
    <x v="1"/>
    <s v="Men"/>
    <n v="676"/>
    <n v="1086.7322832194259"/>
    <n v="4"/>
    <n v="10"/>
    <n v="3912.2362195899332"/>
    <n v="2704"/>
    <n v="1208.2362195899332"/>
    <s v="COD"/>
    <x v="1"/>
    <m/>
    <n v="7"/>
    <n v="2"/>
    <x v="1"/>
  </r>
  <r>
    <s v="ORD00860"/>
    <d v="2023-05-05T00:00:00"/>
    <s v="CUST0272"/>
    <s v="Neha"/>
    <s v="Chennai"/>
    <s v="Tamil Nadu"/>
    <x v="5"/>
    <x v="0"/>
    <s v="Furniture"/>
    <n v="29221"/>
    <n v="34543.87985887278"/>
    <n v="3"/>
    <n v="10"/>
    <n v="93268.475618956509"/>
    <n v="87663"/>
    <n v="5605.4756189565087"/>
    <s v="UPI"/>
    <x v="1"/>
    <m/>
    <n v="7"/>
    <n v="4"/>
    <x v="1"/>
  </r>
  <r>
    <s v="ORD00887"/>
    <d v="2023-05-05T00:00:00"/>
    <s v="CUST0053"/>
    <s v="Sneha"/>
    <s v="Hyderabad"/>
    <s v="Telangana"/>
    <x v="6"/>
    <x v="1"/>
    <s v="Men"/>
    <n v="884"/>
    <n v="1189.7336881702261"/>
    <n v="2"/>
    <n v="20"/>
    <n v="1903.5739010723619"/>
    <n v="1768"/>
    <n v="135.57390107236188"/>
    <s v="Debit Card"/>
    <x v="1"/>
    <m/>
    <n v="8"/>
    <n v="3"/>
    <x v="1"/>
  </r>
  <r>
    <s v="ORD00006"/>
    <d v="2023-05-06T00:00:00"/>
    <s v="CUST0069"/>
    <s v="Rohit"/>
    <s v="Pune"/>
    <s v="Maharashtra"/>
    <x v="1"/>
    <x v="1"/>
    <s v="Men"/>
    <n v="443"/>
    <n v="588.93532515383856"/>
    <n v="4"/>
    <n v="10"/>
    <n v="2120.1671705538188"/>
    <n v="1772"/>
    <n v="348.16717055381878"/>
    <s v="COD"/>
    <x v="1"/>
    <m/>
    <n v="9"/>
    <n v="1"/>
    <x v="1"/>
  </r>
  <r>
    <s v="ORD00009"/>
    <d v="2023-05-06T00:00:00"/>
    <s v="CUST0002"/>
    <s v="Neha"/>
    <s v="Bangalore"/>
    <s v="Karnataka"/>
    <x v="3"/>
    <x v="2"/>
    <s v="Accessories"/>
    <n v="705"/>
    <n v="1052.4201140105238"/>
    <n v="3"/>
    <n v="10"/>
    <n v="2841.5343078284141"/>
    <n v="2115"/>
    <n v="726.53430782841406"/>
    <s v="Credit Card"/>
    <x v="0"/>
    <d v="2023-05-14T00:00:00"/>
    <n v="2"/>
    <n v="5"/>
    <x v="0"/>
  </r>
  <r>
    <s v="ORD00312"/>
    <d v="2023-05-06T00:00:00"/>
    <s v="CUST0122"/>
    <s v="Amit"/>
    <s v="Bangalore"/>
    <s v="Karnataka"/>
    <x v="3"/>
    <x v="2"/>
    <s v="Accessories"/>
    <n v="1997"/>
    <n v="3223.8861377282783"/>
    <n v="5"/>
    <n v="15"/>
    <n v="13701.516085345182"/>
    <n v="9985"/>
    <n v="3716.5160853451816"/>
    <s v="Debit Card"/>
    <x v="1"/>
    <m/>
    <n v="9"/>
    <n v="1"/>
    <x v="1"/>
  </r>
  <r>
    <s v="ORD00383"/>
    <d v="2023-05-06T00:00:00"/>
    <s v="CUST0034"/>
    <s v="Neha"/>
    <s v="Mumbai"/>
    <s v="Maharashtra"/>
    <x v="8"/>
    <x v="3"/>
    <s v="Fragrance"/>
    <n v="752"/>
    <n v="1081.1197205981935"/>
    <n v="3"/>
    <n v="0"/>
    <n v="3243.3591617945804"/>
    <n v="2256"/>
    <n v="987.35916179458036"/>
    <s v="UPI"/>
    <x v="1"/>
    <m/>
    <n v="9"/>
    <n v="1"/>
    <x v="1"/>
  </r>
  <r>
    <s v="ORD00672"/>
    <d v="2023-05-06T00:00:00"/>
    <s v="CUST0124"/>
    <s v="Meena"/>
    <s v="Delhi"/>
    <s v="Delhi"/>
    <x v="4"/>
    <x v="1"/>
    <s v="Footwear"/>
    <n v="708"/>
    <n v="1208.0924803263963"/>
    <n v="4"/>
    <n v="20"/>
    <n v="3865.8959370444682"/>
    <n v="2832"/>
    <n v="1033.8959370444682"/>
    <s v="Credit Card"/>
    <x v="0"/>
    <d v="2023-05-15T00:00:00"/>
    <n v="6"/>
    <n v="4"/>
    <x v="2"/>
  </r>
  <r>
    <s v="ORD01031"/>
    <d v="2023-05-06T00:00:00"/>
    <s v="CUST0121"/>
    <s v="Sneha"/>
    <s v="Pune"/>
    <s v="Maharashtra"/>
    <x v="8"/>
    <x v="3"/>
    <s v="Fragrance"/>
    <n v="865"/>
    <n v="1522.5908085604458"/>
    <n v="2"/>
    <n v="5"/>
    <n v="2892.9225362648467"/>
    <n v="1730"/>
    <n v="1162.9225362648467"/>
    <s v="Credit Card"/>
    <x v="0"/>
    <d v="2023-05-16T00:00:00"/>
    <n v="6"/>
    <n v="4"/>
    <x v="2"/>
  </r>
  <r>
    <s v="ORD01134"/>
    <d v="2023-05-06T00:00:00"/>
    <s v="CUST0240"/>
    <s v="Rohit"/>
    <s v="Ahmedabad"/>
    <s v="Gujarat"/>
    <x v="2"/>
    <x v="1"/>
    <s v="Women"/>
    <n v="999"/>
    <n v="1420.8417085224626"/>
    <n v="2"/>
    <n v="20"/>
    <n v="2273.3467336359404"/>
    <n v="1998"/>
    <n v="275.34673363594038"/>
    <s v="UPI"/>
    <x v="0"/>
    <d v="2023-05-10T00:00:00"/>
    <n v="1"/>
    <n v="5"/>
    <x v="0"/>
  </r>
  <r>
    <s v="ORD00499"/>
    <d v="2023-05-07T00:00:00"/>
    <s v="CUST0049"/>
    <s v="Ramesh"/>
    <s v="Kolkata"/>
    <s v="West Bengal"/>
    <x v="5"/>
    <x v="0"/>
    <s v="Furniture"/>
    <n v="40491"/>
    <n v="52232.813688725648"/>
    <n v="5"/>
    <n v="5"/>
    <n v="248105.86502144681"/>
    <n v="202455"/>
    <n v="45650.865021446807"/>
    <s v="Credit Card"/>
    <x v="0"/>
    <d v="2023-05-14T00:00:00"/>
    <n v="3"/>
    <n v="2"/>
    <x v="0"/>
  </r>
  <r>
    <s v="ORD00921"/>
    <d v="2023-05-07T00:00:00"/>
    <s v="CUST0280"/>
    <s v="Manoj"/>
    <s v="Hyderabad"/>
    <s v="Telangana"/>
    <x v="6"/>
    <x v="1"/>
    <s v="Men"/>
    <n v="906"/>
    <n v="1337.4732475026233"/>
    <n v="1"/>
    <n v="5"/>
    <n v="1270.599585127492"/>
    <n v="906"/>
    <n v="364.59958512749199"/>
    <s v="Credit Card"/>
    <x v="0"/>
    <d v="2023-05-14T00:00:00"/>
    <n v="3"/>
    <n v="4"/>
    <x v="0"/>
  </r>
  <r>
    <s v="ORD01095"/>
    <d v="2023-05-07T00:00:00"/>
    <s v="CUST0125"/>
    <s v="Manoj"/>
    <s v="Pune"/>
    <s v="Maharashtra"/>
    <x v="4"/>
    <x v="1"/>
    <s v="Footwear"/>
    <n v="1264"/>
    <n v="1649.7510342754645"/>
    <n v="2"/>
    <n v="20"/>
    <n v="2639.6016548407433"/>
    <n v="2528"/>
    <n v="111.60165484074332"/>
    <s v="UPI"/>
    <x v="0"/>
    <d v="2023-05-13T00:00:00"/>
    <n v="3"/>
    <n v="3"/>
    <x v="0"/>
  </r>
  <r>
    <s v="ORD00231"/>
    <d v="2023-05-08T00:00:00"/>
    <s v="CUST0191"/>
    <s v="Kavya"/>
    <s v="Delhi"/>
    <s v="Delhi"/>
    <x v="0"/>
    <x v="0"/>
    <s v="Kitchen"/>
    <n v="5890"/>
    <n v="8460.7308768148487"/>
    <n v="5"/>
    <n v="5"/>
    <n v="40188.471664870529"/>
    <n v="29450"/>
    <n v="10738.471664870529"/>
    <s v="Debit Card"/>
    <x v="1"/>
    <m/>
    <n v="9"/>
    <n v="1"/>
    <x v="1"/>
  </r>
  <r>
    <s v="ORD00291"/>
    <d v="2023-05-08T00:00:00"/>
    <s v="CUST0208"/>
    <s v="Kavya"/>
    <s v="Chennai"/>
    <s v="Tamil Nadu"/>
    <x v="4"/>
    <x v="1"/>
    <s v="Footwear"/>
    <n v="1701"/>
    <n v="1803.8538169027443"/>
    <n v="5"/>
    <n v="15"/>
    <n v="7666.3787218366633"/>
    <n v="8505"/>
    <n v="-838.62127816333668"/>
    <s v="Debit Card"/>
    <x v="1"/>
    <m/>
    <n v="9"/>
    <n v="1"/>
    <x v="1"/>
  </r>
  <r>
    <s v="ORD00822"/>
    <d v="2023-05-08T00:00:00"/>
    <s v="CUST0222"/>
    <s v="Sneha"/>
    <s v="Chennai"/>
    <s v="Tamil Nadu"/>
    <x v="1"/>
    <x v="1"/>
    <s v="Men"/>
    <n v="204"/>
    <n v="243.06827965904188"/>
    <n v="4"/>
    <n v="20"/>
    <n v="777.8184949089341"/>
    <n v="816"/>
    <n v="-38.181505091065901"/>
    <s v="Debit Card"/>
    <x v="0"/>
    <d v="2023-05-21T00:00:00"/>
    <n v="6"/>
    <n v="3"/>
    <x v="0"/>
  </r>
  <r>
    <s v="ORD00835"/>
    <d v="2023-05-09T00:00:00"/>
    <s v="CUST0145"/>
    <s v="Kavya"/>
    <s v="Delhi"/>
    <s v="Delhi"/>
    <x v="9"/>
    <x v="2"/>
    <s v="TV"/>
    <n v="52318"/>
    <n v="84672.039962775831"/>
    <n v="3"/>
    <n v="15"/>
    <n v="215913.70190507837"/>
    <n v="156954"/>
    <n v="58959.701905078371"/>
    <s v="Debit Card"/>
    <x v="0"/>
    <d v="2023-05-20T00:00:00"/>
    <n v="6"/>
    <n v="3"/>
    <x v="0"/>
  </r>
  <r>
    <s v="ORD01129"/>
    <d v="2023-05-09T00:00:00"/>
    <s v="CUST0164"/>
    <s v="Manoj"/>
    <s v="Mumbai"/>
    <s v="Maharashtra"/>
    <x v="10"/>
    <x v="2"/>
    <s v="Mobile"/>
    <n v="63089"/>
    <n v="106033.32914851046"/>
    <n v="5"/>
    <n v="20"/>
    <n v="424133.31659404183"/>
    <n v="315445"/>
    <n v="108688.31659404183"/>
    <s v="UPI"/>
    <x v="0"/>
    <d v="2023-05-19T00:00:00"/>
    <n v="5"/>
    <n v="3"/>
    <x v="0"/>
  </r>
  <r>
    <s v="ORD01189"/>
    <d v="2023-05-09T00:00:00"/>
    <s v="CUST0013"/>
    <s v="Amit"/>
    <s v="Bangalore"/>
    <s v="Karnataka"/>
    <x v="10"/>
    <x v="2"/>
    <s v="Mobile"/>
    <n v="71069"/>
    <n v="110041.98515632011"/>
    <n v="4"/>
    <n v="15"/>
    <n v="374142.74953148834"/>
    <n v="284276"/>
    <n v="89866.749531488342"/>
    <s v="COD"/>
    <x v="0"/>
    <d v="2023-05-19T00:00:00"/>
    <n v="4"/>
    <n v="2"/>
    <x v="0"/>
  </r>
  <r>
    <s v="ORD00055"/>
    <d v="2023-05-10T00:00:00"/>
    <s v="CUST0108"/>
    <s v="Kavya"/>
    <s v="Ahmedabad"/>
    <s v="Gujarat"/>
    <x v="8"/>
    <x v="3"/>
    <s v="Fragrance"/>
    <n v="872"/>
    <n v="1282.6656570492435"/>
    <n v="5"/>
    <n v="0"/>
    <n v="6413.3282852462171"/>
    <n v="4360"/>
    <n v="2053.3282852462171"/>
    <s v="UPI"/>
    <x v="0"/>
    <d v="2023-05-18T00:00:00"/>
    <n v="4"/>
    <n v="3"/>
    <x v="0"/>
  </r>
  <r>
    <s v="ORD00414"/>
    <d v="2023-05-10T00:00:00"/>
    <s v="CUST0039"/>
    <s v="Rohit"/>
    <s v="Mumbai"/>
    <s v="Maharashtra"/>
    <x v="10"/>
    <x v="2"/>
    <s v="Mobile"/>
    <n v="65756"/>
    <n v="70562.149527601519"/>
    <n v="2"/>
    <n v="20"/>
    <n v="112899.43924416244"/>
    <n v="131512"/>
    <n v="-18612.560755837563"/>
    <s v="COD"/>
    <x v="1"/>
    <m/>
    <n v="9"/>
    <n v="1"/>
    <x v="1"/>
  </r>
  <r>
    <s v="ORD00542"/>
    <d v="2023-05-10T00:00:00"/>
    <s v="CUST0046"/>
    <s v="Manoj"/>
    <s v="Pune"/>
    <s v="Maharashtra"/>
    <x v="7"/>
    <x v="3"/>
    <s v="Skincare"/>
    <n v="519"/>
    <n v="869.20144309057264"/>
    <n v="3"/>
    <n v="0"/>
    <n v="2607.6043292717177"/>
    <n v="1557"/>
    <n v="1050.6043292717177"/>
    <s v="COD"/>
    <x v="1"/>
    <m/>
    <n v="10"/>
    <n v="1"/>
    <x v="1"/>
  </r>
  <r>
    <s v="ORD00686"/>
    <d v="2023-05-10T00:00:00"/>
    <s v="CUST0142"/>
    <s v="Pooja"/>
    <s v="Mumbai"/>
    <s v="Maharashtra"/>
    <x v="0"/>
    <x v="0"/>
    <s v="Kitchen"/>
    <n v="4314"/>
    <n v="4858.7696030090729"/>
    <n v="5"/>
    <n v="10"/>
    <n v="21864.463213540828"/>
    <n v="21570"/>
    <n v="294.46321354082829"/>
    <s v="COD"/>
    <x v="1"/>
    <m/>
    <n v="9"/>
    <n v="1"/>
    <x v="1"/>
  </r>
  <r>
    <s v="ORD00511"/>
    <d v="2023-05-11T00:00:00"/>
    <s v="CUST0109"/>
    <s v="Divya"/>
    <s v="Kolkata"/>
    <s v="West Bengal"/>
    <x v="11"/>
    <x v="2"/>
    <s v="Computers"/>
    <n v="37641"/>
    <n v="57126.205958113715"/>
    <n v="2"/>
    <n v="20"/>
    <n v="91401.929532981943"/>
    <n v="75282"/>
    <n v="16119.929532981943"/>
    <s v="Debit Card"/>
    <x v="1"/>
    <m/>
    <n v="8"/>
    <n v="2"/>
    <x v="1"/>
  </r>
  <r>
    <s v="ORD00631"/>
    <d v="2023-05-11T00:00:00"/>
    <s v="CUST0073"/>
    <s v="Priya"/>
    <s v="Mumbai"/>
    <s v="Maharashtra"/>
    <x v="6"/>
    <x v="1"/>
    <s v="Men"/>
    <n v="1295"/>
    <n v="1794.0881983032061"/>
    <n v="5"/>
    <n v="20"/>
    <n v="7176.3527932128245"/>
    <n v="6475"/>
    <n v="701.35279321282451"/>
    <s v="Debit Card"/>
    <x v="1"/>
    <m/>
    <n v="9"/>
    <n v="1"/>
    <x v="1"/>
  </r>
  <r>
    <s v="ORD00690"/>
    <d v="2023-05-11T00:00:00"/>
    <s v="CUST0288"/>
    <s v="Kiran"/>
    <s v="Ahmedabad"/>
    <s v="Gujarat"/>
    <x v="0"/>
    <x v="0"/>
    <s v="Kitchen"/>
    <n v="3222"/>
    <n v="4874.8562575384658"/>
    <n v="4"/>
    <n v="5"/>
    <n v="18524.45377864617"/>
    <n v="12888"/>
    <n v="5636.4537786461697"/>
    <s v="UPI"/>
    <x v="1"/>
    <m/>
    <n v="8"/>
    <n v="3"/>
    <x v="1"/>
  </r>
  <r>
    <s v="ORD00675"/>
    <d v="2023-05-12T00:00:00"/>
    <s v="CUST0143"/>
    <s v="Rahul"/>
    <s v="Chennai"/>
    <s v="Tamil Nadu"/>
    <x v="7"/>
    <x v="3"/>
    <s v="Skincare"/>
    <n v="391"/>
    <n v="517.68752312955291"/>
    <n v="3"/>
    <n v="15"/>
    <n v="1320.1031839803597"/>
    <n v="1173"/>
    <n v="147.10318398035974"/>
    <s v="COD"/>
    <x v="1"/>
    <m/>
    <n v="10"/>
    <n v="1"/>
    <x v="1"/>
  </r>
  <r>
    <s v="ORD00743"/>
    <d v="2023-05-12T00:00:00"/>
    <s v="CUST0235"/>
    <s v="Suresh"/>
    <s v="Pune"/>
    <s v="Maharashtra"/>
    <x v="11"/>
    <x v="2"/>
    <s v="Computers"/>
    <n v="36406"/>
    <n v="41151.253011718392"/>
    <n v="5"/>
    <n v="20"/>
    <n v="164605.01204687357"/>
    <n v="182030"/>
    <n v="-17424.987953126431"/>
    <s v="COD"/>
    <x v="1"/>
    <m/>
    <n v="8"/>
    <n v="4"/>
    <x v="1"/>
  </r>
  <r>
    <s v="ORD00773"/>
    <d v="2023-05-12T00:00:00"/>
    <s v="CUST0119"/>
    <s v="Anjali"/>
    <s v="Chennai"/>
    <s v="Tamil Nadu"/>
    <x v="10"/>
    <x v="2"/>
    <s v="Mobile"/>
    <n v="58702"/>
    <n v="80183.205790670836"/>
    <n v="2"/>
    <n v="5"/>
    <n v="152348.0910022746"/>
    <n v="117404"/>
    <n v="34944.091002274596"/>
    <s v="UPI"/>
    <x v="0"/>
    <d v="2023-05-22T00:00:00"/>
    <n v="5"/>
    <n v="3"/>
    <x v="0"/>
  </r>
  <r>
    <s v="ORD00857"/>
    <d v="2023-05-12T00:00:00"/>
    <s v="CUST0070"/>
    <s v="Kiran"/>
    <s v="Kolkata"/>
    <s v="West Bengal"/>
    <x v="10"/>
    <x v="2"/>
    <s v="Mobile"/>
    <n v="56787"/>
    <n v="68636.078730111039"/>
    <n v="2"/>
    <n v="5"/>
    <n v="130408.54958721098"/>
    <n v="113574"/>
    <n v="16834.549587210975"/>
    <s v="UPI"/>
    <x v="0"/>
    <d v="2023-05-22T00:00:00"/>
    <n v="5"/>
    <n v="4"/>
    <x v="0"/>
  </r>
  <r>
    <s v="ORD01180"/>
    <d v="2023-05-12T00:00:00"/>
    <s v="CUST0163"/>
    <s v="Pooja"/>
    <s v="Chennai"/>
    <s v="Tamil Nadu"/>
    <x v="8"/>
    <x v="3"/>
    <s v="Fragrance"/>
    <n v="633"/>
    <n v="889.27311677915225"/>
    <n v="2"/>
    <n v="20"/>
    <n v="1422.8369868466436"/>
    <n v="1266"/>
    <n v="156.83698684664364"/>
    <s v="Credit Card"/>
    <x v="1"/>
    <m/>
    <n v="7"/>
    <n v="4"/>
    <x v="1"/>
  </r>
  <r>
    <s v="ORD01198"/>
    <d v="2023-05-12T00:00:00"/>
    <s v="CUST0185"/>
    <s v="Nikhil"/>
    <s v="Delhi"/>
    <s v="Delhi"/>
    <x v="10"/>
    <x v="2"/>
    <s v="Mobile"/>
    <n v="76051"/>
    <n v="78788.755204325134"/>
    <n v="5"/>
    <n v="0"/>
    <n v="393943.77602162567"/>
    <n v="380255"/>
    <n v="13688.776021625672"/>
    <s v="Debit Card"/>
    <x v="0"/>
    <d v="2023-05-21T00:00:00"/>
    <n v="2"/>
    <n v="4"/>
    <x v="0"/>
  </r>
  <r>
    <s v="ORD00714"/>
    <d v="2023-05-13T00:00:00"/>
    <s v="CUST0231"/>
    <s v="Amit"/>
    <s v="Kolkata"/>
    <s v="West Bengal"/>
    <x v="3"/>
    <x v="2"/>
    <s v="Accessories"/>
    <n v="758"/>
    <n v="1046.2601314650019"/>
    <n v="1"/>
    <n v="20"/>
    <n v="837.00810517200159"/>
    <n v="758"/>
    <n v="79.008105172001592"/>
    <s v="UPI"/>
    <x v="0"/>
    <d v="2023-05-28T00:00:00"/>
    <n v="8"/>
    <n v="3"/>
    <x v="0"/>
  </r>
  <r>
    <s v="ORD00803"/>
    <d v="2023-05-13T00:00:00"/>
    <s v="CUST0085"/>
    <s v="Kavya"/>
    <s v="Ahmedabad"/>
    <s v="Gujarat"/>
    <x v="3"/>
    <x v="2"/>
    <s v="Accessories"/>
    <n v="754"/>
    <n v="1037.9309579765122"/>
    <n v="4"/>
    <n v="20"/>
    <n v="3321.3790655248395"/>
    <n v="3016"/>
    <n v="305.37906552483946"/>
    <s v="UPI"/>
    <x v="0"/>
    <d v="2023-05-21T00:00:00"/>
    <n v="4"/>
    <n v="2"/>
    <x v="0"/>
  </r>
  <r>
    <s v="ORD00545"/>
    <d v="2023-05-14T00:00:00"/>
    <s v="CUST0294"/>
    <s v="Kiran"/>
    <s v="Mumbai"/>
    <s v="Maharashtra"/>
    <x v="5"/>
    <x v="0"/>
    <s v="Furniture"/>
    <n v="47742"/>
    <n v="75752.564764161551"/>
    <n v="5"/>
    <n v="5"/>
    <n v="359824.68262976734"/>
    <n v="238710"/>
    <n v="121114.68262976734"/>
    <s v="Debit Card"/>
    <x v="0"/>
    <d v="2023-05-24T00:00:00"/>
    <n v="4"/>
    <n v="3"/>
    <x v="0"/>
  </r>
  <r>
    <s v="ORD00639"/>
    <d v="2023-05-14T00:00:00"/>
    <s v="CUST0300"/>
    <s v="Suresh"/>
    <s v="Chennai"/>
    <s v="Tamil Nadu"/>
    <x v="10"/>
    <x v="2"/>
    <s v="Mobile"/>
    <n v="79010"/>
    <n v="115892.53302237405"/>
    <n v="1"/>
    <n v="0"/>
    <n v="115892.53302237405"/>
    <n v="79010"/>
    <n v="36882.533022374046"/>
    <s v="Credit Card"/>
    <x v="0"/>
    <d v="2023-05-19T00:00:00"/>
    <n v="2"/>
    <n v="5"/>
    <x v="0"/>
  </r>
  <r>
    <s v="ORD00659"/>
    <d v="2023-05-14T00:00:00"/>
    <s v="CUST0291"/>
    <s v="Ramesh"/>
    <s v="Chennai"/>
    <s v="Tamil Nadu"/>
    <x v="5"/>
    <x v="0"/>
    <s v="Furniture"/>
    <n v="31506"/>
    <n v="39779.788361724735"/>
    <n v="1"/>
    <n v="20"/>
    <n v="31823.830689379789"/>
    <n v="31506"/>
    <n v="317.83068937978896"/>
    <s v="COD"/>
    <x v="0"/>
    <d v="2023-05-23T00:00:00"/>
    <n v="2"/>
    <n v="4"/>
    <x v="0"/>
  </r>
  <r>
    <s v="ORD01103"/>
    <d v="2023-05-14T00:00:00"/>
    <s v="CUST0090"/>
    <s v="Pooja"/>
    <s v="Chennai"/>
    <s v="Tamil Nadu"/>
    <x v="6"/>
    <x v="1"/>
    <s v="Men"/>
    <n v="1060"/>
    <n v="1201.1057324716899"/>
    <n v="2"/>
    <n v="0"/>
    <n v="2402.2114649433797"/>
    <n v="2120"/>
    <n v="282.21146494337972"/>
    <s v="Credit Card"/>
    <x v="0"/>
    <d v="2023-05-21T00:00:00"/>
    <n v="1"/>
    <n v="4"/>
    <x v="0"/>
  </r>
  <r>
    <s v="ORD00037"/>
    <d v="2023-05-15T00:00:00"/>
    <s v="CUST0211"/>
    <s v="Vikram"/>
    <s v="Delhi"/>
    <s v="Delhi"/>
    <x v="11"/>
    <x v="2"/>
    <s v="Computers"/>
    <n v="32134"/>
    <n v="41758.616133832977"/>
    <n v="1"/>
    <n v="15"/>
    <n v="35494.823713758029"/>
    <n v="32134"/>
    <n v="3360.823713758029"/>
    <s v="UPI"/>
    <x v="0"/>
    <d v="2023-05-22T00:00:00"/>
    <n v="1"/>
    <n v="5"/>
    <x v="0"/>
  </r>
  <r>
    <s v="ORD00175"/>
    <d v="2023-05-15T00:00:00"/>
    <s v="CUST0057"/>
    <s v="Arjun"/>
    <s v="Pune"/>
    <s v="Maharashtra"/>
    <x v="6"/>
    <x v="1"/>
    <s v="Men"/>
    <n v="955"/>
    <n v="1168.3101861937289"/>
    <n v="4"/>
    <n v="0"/>
    <n v="4673.2407447749156"/>
    <n v="3820"/>
    <n v="853.24074477491558"/>
    <s v="Debit Card"/>
    <x v="0"/>
    <d v="2023-05-20T00:00:00"/>
    <n v="2"/>
    <n v="4"/>
    <x v="0"/>
  </r>
  <r>
    <s v="ORD00394"/>
    <d v="2023-05-15T00:00:00"/>
    <s v="CUST0201"/>
    <s v="Amit"/>
    <s v="Bangalore"/>
    <s v="Karnataka"/>
    <x v="1"/>
    <x v="1"/>
    <s v="Men"/>
    <n v="733"/>
    <n v="1155.9688879262542"/>
    <n v="2"/>
    <n v="0"/>
    <n v="2311.9377758525084"/>
    <n v="1466"/>
    <n v="845.93777585250837"/>
    <s v="COD"/>
    <x v="0"/>
    <d v="2023-05-21T00:00:00"/>
    <n v="1"/>
    <n v="5"/>
    <x v="0"/>
  </r>
  <r>
    <s v="ORD00488"/>
    <d v="2023-05-15T00:00:00"/>
    <s v="CUST0276"/>
    <s v="Rahul"/>
    <s v="Chennai"/>
    <s v="Tamil Nadu"/>
    <x v="8"/>
    <x v="3"/>
    <s v="Fragrance"/>
    <n v="672"/>
    <n v="756.16895123189647"/>
    <n v="1"/>
    <n v="0"/>
    <n v="756.16895123189647"/>
    <n v="672"/>
    <n v="84.168951231896472"/>
    <s v="COD"/>
    <x v="0"/>
    <d v="2023-05-25T00:00:00"/>
    <n v="5"/>
    <n v="3"/>
    <x v="0"/>
  </r>
  <r>
    <s v="ORD00762"/>
    <d v="2023-05-15T00:00:00"/>
    <s v="CUST0202"/>
    <s v="Pooja"/>
    <s v="Mumbai"/>
    <s v="Maharashtra"/>
    <x v="5"/>
    <x v="0"/>
    <s v="Furniture"/>
    <n v="28769"/>
    <n v="29733.860102632509"/>
    <n v="5"/>
    <n v="20"/>
    <n v="118935.44041053003"/>
    <n v="143845"/>
    <n v="-24909.559589469965"/>
    <s v="Credit Card"/>
    <x v="0"/>
    <d v="2023-05-23T00:00:00"/>
    <n v="5"/>
    <n v="3"/>
    <x v="0"/>
  </r>
  <r>
    <s v="ORD01192"/>
    <d v="2023-05-15T00:00:00"/>
    <s v="CUST0269"/>
    <s v="Kavya"/>
    <s v="Hyderabad"/>
    <s v="Telangana"/>
    <x v="10"/>
    <x v="2"/>
    <s v="Mobile"/>
    <n v="55193"/>
    <n v="77876.89902061547"/>
    <n v="3"/>
    <n v="20"/>
    <n v="186904.55764947715"/>
    <n v="165579"/>
    <n v="21325.557649477152"/>
    <s v="UPI"/>
    <x v="0"/>
    <d v="2023-05-25T00:00:00"/>
    <n v="6"/>
    <n v="2"/>
    <x v="0"/>
  </r>
  <r>
    <s v="ORD00138"/>
    <d v="2023-05-16T00:00:00"/>
    <s v="CUST0195"/>
    <s v="Neha"/>
    <s v="Kolkata"/>
    <s v="West Bengal"/>
    <x v="2"/>
    <x v="1"/>
    <s v="Women"/>
    <n v="981"/>
    <n v="1076.6225307514503"/>
    <n v="5"/>
    <n v="5"/>
    <n v="5113.9570210693892"/>
    <n v="4905"/>
    <n v="208.95702106938916"/>
    <s v="COD"/>
    <x v="0"/>
    <d v="2023-05-31T00:00:00"/>
    <n v="8"/>
    <n v="4"/>
    <x v="2"/>
  </r>
  <r>
    <s v="ORD00227"/>
    <d v="2023-05-16T00:00:00"/>
    <s v="CUST0128"/>
    <s v="Rohit"/>
    <s v="Mumbai"/>
    <s v="Maharashtra"/>
    <x v="2"/>
    <x v="1"/>
    <s v="Women"/>
    <n v="549"/>
    <n v="689.87268472263179"/>
    <n v="3"/>
    <n v="0"/>
    <n v="2069.6180541678955"/>
    <n v="1647"/>
    <n v="422.61805416789548"/>
    <s v="COD"/>
    <x v="0"/>
    <d v="2023-05-21T00:00:00"/>
    <n v="1"/>
    <n v="5"/>
    <x v="0"/>
  </r>
  <r>
    <s v="ORD00260"/>
    <d v="2023-05-16T00:00:00"/>
    <s v="CUST0253"/>
    <s v="Ramesh"/>
    <s v="Pune"/>
    <s v="Maharashtra"/>
    <x v="5"/>
    <x v="0"/>
    <s v="Furniture"/>
    <n v="43757"/>
    <n v="49059.901740350739"/>
    <n v="1"/>
    <n v="15"/>
    <n v="41700.916479298125"/>
    <n v="43757"/>
    <n v="-2056.0835207018754"/>
    <s v="Debit Card"/>
    <x v="0"/>
    <d v="2023-05-27T00:00:00"/>
    <n v="4"/>
    <n v="4"/>
    <x v="0"/>
  </r>
  <r>
    <s v="ORD00656"/>
    <d v="2023-05-16T00:00:00"/>
    <s v="CUST0057"/>
    <s v="Kiran"/>
    <s v="Delhi"/>
    <s v="Delhi"/>
    <x v="9"/>
    <x v="2"/>
    <s v="TV"/>
    <n v="62557"/>
    <n v="75411.846851558541"/>
    <n v="2"/>
    <n v="20"/>
    <n v="120658.95496249368"/>
    <n v="125114"/>
    <n v="-4455.0450375063228"/>
    <s v="Credit Card"/>
    <x v="1"/>
    <m/>
    <n v="9"/>
    <n v="1"/>
    <x v="1"/>
  </r>
  <r>
    <s v="ORD00963"/>
    <d v="2023-05-16T00:00:00"/>
    <s v="CUST0085"/>
    <s v="Neha"/>
    <s v="Hyderabad"/>
    <s v="Telangana"/>
    <x v="7"/>
    <x v="3"/>
    <s v="Skincare"/>
    <n v="243"/>
    <n v="334.61182272956989"/>
    <n v="4"/>
    <n v="5"/>
    <n v="1271.5249263723656"/>
    <n v="972"/>
    <n v="299.5249263723656"/>
    <s v="Debit Card"/>
    <x v="1"/>
    <m/>
    <n v="9"/>
    <n v="1"/>
    <x v="1"/>
  </r>
  <r>
    <s v="ORD00348"/>
    <d v="2023-05-17T00:00:00"/>
    <s v="CUST0126"/>
    <s v="Manoj"/>
    <s v="Ahmedabad"/>
    <s v="Gujarat"/>
    <x v="10"/>
    <x v="2"/>
    <s v="Mobile"/>
    <n v="75875"/>
    <n v="88114.324522147086"/>
    <n v="4"/>
    <n v="0"/>
    <n v="352457.29808858834"/>
    <n v="303500"/>
    <n v="48957.298088588344"/>
    <s v="COD"/>
    <x v="0"/>
    <d v="2023-05-26T00:00:00"/>
    <n v="2"/>
    <n v="5"/>
    <x v="0"/>
  </r>
  <r>
    <s v="ORD00662"/>
    <d v="2023-05-17T00:00:00"/>
    <s v="CUST0274"/>
    <s v="Arjun"/>
    <s v="Ahmedabad"/>
    <s v="Gujarat"/>
    <x v="3"/>
    <x v="2"/>
    <s v="Accessories"/>
    <n v="1106"/>
    <n v="1557.8622876407362"/>
    <n v="1"/>
    <n v="10"/>
    <n v="1402.0760588766627"/>
    <n v="1106"/>
    <n v="296.07605887666273"/>
    <s v="COD"/>
    <x v="0"/>
    <d v="2023-05-26T00:00:00"/>
    <n v="3"/>
    <n v="4"/>
    <x v="0"/>
  </r>
  <r>
    <s v="ORD00685"/>
    <d v="2023-05-17T00:00:00"/>
    <s v="CUST0037"/>
    <s v="Anjali"/>
    <s v="Ahmedabad"/>
    <s v="Gujarat"/>
    <x v="7"/>
    <x v="3"/>
    <s v="Skincare"/>
    <n v="243"/>
    <n v="339.95512873621698"/>
    <n v="1"/>
    <n v="10"/>
    <n v="305.95961586259529"/>
    <n v="243"/>
    <n v="62.959615862595285"/>
    <s v="Credit Card"/>
    <x v="0"/>
    <d v="2023-05-26T00:00:00"/>
    <n v="6"/>
    <n v="2"/>
    <x v="0"/>
  </r>
  <r>
    <s v="ORD01072"/>
    <d v="2023-05-17T00:00:00"/>
    <s v="CUST0129"/>
    <s v="Anjali"/>
    <s v="Pune"/>
    <s v="Maharashtra"/>
    <x v="3"/>
    <x v="2"/>
    <s v="Accessories"/>
    <n v="1306"/>
    <n v="1964.3234737812006"/>
    <n v="3"/>
    <n v="0"/>
    <n v="5892.9704213436016"/>
    <n v="3918"/>
    <n v="1974.9704213436016"/>
    <s v="Credit Card"/>
    <x v="0"/>
    <d v="2023-05-28T00:00:00"/>
    <n v="5"/>
    <n v="2"/>
    <x v="0"/>
  </r>
  <r>
    <s v="ORD00579"/>
    <d v="2023-05-18T00:00:00"/>
    <s v="CUST0121"/>
    <s v="Divya"/>
    <s v="Kolkata"/>
    <s v="West Bengal"/>
    <x v="8"/>
    <x v="3"/>
    <s v="Fragrance"/>
    <n v="591"/>
    <n v="699.12916145457211"/>
    <n v="5"/>
    <n v="10"/>
    <n v="3146.0812265455747"/>
    <n v="2955"/>
    <n v="191.08122654557474"/>
    <s v="Credit Card"/>
    <x v="0"/>
    <d v="2023-05-26T00:00:00"/>
    <n v="4"/>
    <n v="4"/>
    <x v="0"/>
  </r>
  <r>
    <s v="ORD00245"/>
    <d v="2023-05-19T00:00:00"/>
    <s v="CUST0245"/>
    <s v="Meena"/>
    <s v="Ahmedabad"/>
    <s v="Gujarat"/>
    <x v="10"/>
    <x v="2"/>
    <s v="Mobile"/>
    <n v="86071"/>
    <n v="121441.45681063199"/>
    <n v="2"/>
    <n v="15"/>
    <n v="206450.47657807439"/>
    <n v="172142"/>
    <n v="34308.476578074391"/>
    <s v="Credit Card"/>
    <x v="1"/>
    <m/>
    <n v="9"/>
    <n v="1"/>
    <x v="1"/>
  </r>
  <r>
    <s v="ORD00676"/>
    <d v="2023-05-19T00:00:00"/>
    <s v="CUST0216"/>
    <s v="Priya"/>
    <s v="Pune"/>
    <s v="Maharashtra"/>
    <x v="1"/>
    <x v="1"/>
    <s v="Men"/>
    <n v="209"/>
    <n v="229.14707558803752"/>
    <n v="1"/>
    <n v="20"/>
    <n v="183.31766047043004"/>
    <n v="209"/>
    <n v="-25.682339529569958"/>
    <s v="Credit Card"/>
    <x v="0"/>
    <d v="2023-05-25T00:00:00"/>
    <n v="3"/>
    <n v="3"/>
    <x v="0"/>
  </r>
  <r>
    <s v="ORD00705"/>
    <d v="2023-05-19T00:00:00"/>
    <s v="CUST0197"/>
    <s v="Arjun"/>
    <s v="Kolkata"/>
    <s v="West Bengal"/>
    <x v="6"/>
    <x v="1"/>
    <s v="Men"/>
    <n v="965"/>
    <n v="1344.561226487649"/>
    <n v="4"/>
    <n v="15"/>
    <n v="4571.5081700580067"/>
    <n v="3860"/>
    <n v="711.50817005800673"/>
    <s v="Credit Card"/>
    <x v="1"/>
    <m/>
    <n v="9"/>
    <n v="1"/>
    <x v="1"/>
  </r>
  <r>
    <s v="ORD00711"/>
    <d v="2023-05-20T00:00:00"/>
    <s v="CUST0182"/>
    <s v="Kavya"/>
    <s v="Mumbai"/>
    <s v="Maharashtra"/>
    <x v="3"/>
    <x v="2"/>
    <s v="Accessories"/>
    <n v="1463"/>
    <n v="2557.3896380746332"/>
    <n v="3"/>
    <n v="20"/>
    <n v="6137.7351313791196"/>
    <n v="4389"/>
    <n v="1748.7351313791196"/>
    <s v="Credit Card"/>
    <x v="0"/>
    <d v="2023-05-31T00:00:00"/>
    <n v="8"/>
    <n v="4"/>
    <x v="2"/>
  </r>
  <r>
    <s v="ORD01019"/>
    <d v="2023-05-20T00:00:00"/>
    <s v="CUST0148"/>
    <s v="Deepika"/>
    <s v="Hyderabad"/>
    <s v="Telangana"/>
    <x v="3"/>
    <x v="2"/>
    <s v="Accessories"/>
    <n v="1004"/>
    <n v="1214.9615168279581"/>
    <n v="4"/>
    <n v="5"/>
    <n v="4616.8537639462411"/>
    <n v="4016"/>
    <n v="600.85376394624109"/>
    <s v="Credit Card"/>
    <x v="0"/>
    <d v="2023-05-30T00:00:00"/>
    <n v="6"/>
    <n v="4"/>
    <x v="2"/>
  </r>
  <r>
    <s v="ORD00024"/>
    <d v="2023-05-21T00:00:00"/>
    <s v="CUST0022"/>
    <s v="Vikram"/>
    <s v="Ahmedabad"/>
    <s v="Gujarat"/>
    <x v="9"/>
    <x v="2"/>
    <s v="TV"/>
    <n v="63518"/>
    <n v="87474.86907119368"/>
    <n v="1"/>
    <n v="10"/>
    <n v="78727.382164074312"/>
    <n v="63518"/>
    <n v="15209.382164074312"/>
    <s v="UPI"/>
    <x v="0"/>
    <d v="2023-05-27T00:00:00"/>
    <n v="3"/>
    <n v="3"/>
    <x v="0"/>
  </r>
  <r>
    <s v="ORD00140"/>
    <d v="2023-05-21T00:00:00"/>
    <s v="CUST0165"/>
    <s v="Neha"/>
    <s v="Hyderabad"/>
    <s v="Telangana"/>
    <x v="11"/>
    <x v="2"/>
    <s v="Computers"/>
    <n v="35929"/>
    <n v="51546.648787048005"/>
    <n v="1"/>
    <n v="15"/>
    <n v="43814.6514689908"/>
    <n v="35929"/>
    <n v="7885.6514689907999"/>
    <s v="Debit Card"/>
    <x v="1"/>
    <m/>
    <n v="10"/>
    <n v="1"/>
    <x v="1"/>
  </r>
  <r>
    <s v="ORD00343"/>
    <d v="2023-05-21T00:00:00"/>
    <s v="CUST0043"/>
    <s v="Neha"/>
    <s v="Kolkata"/>
    <s v="West Bengal"/>
    <x v="11"/>
    <x v="2"/>
    <s v="Computers"/>
    <n v="37251"/>
    <n v="58877.005723266469"/>
    <n v="5"/>
    <n v="0"/>
    <n v="294385.02861633233"/>
    <n v="186255"/>
    <n v="108130.02861633233"/>
    <s v="Debit Card"/>
    <x v="0"/>
    <d v="2023-05-27T00:00:00"/>
    <n v="3"/>
    <n v="3"/>
    <x v="0"/>
  </r>
  <r>
    <s v="ORD00424"/>
    <d v="2023-05-21T00:00:00"/>
    <s v="CUST0252"/>
    <s v="Kiran"/>
    <s v="Kolkata"/>
    <s v="West Bengal"/>
    <x v="5"/>
    <x v="0"/>
    <s v="Furniture"/>
    <n v="26425"/>
    <n v="27458.839076223972"/>
    <n v="4"/>
    <n v="15"/>
    <n v="93360.0528591615"/>
    <n v="105700"/>
    <n v="-12339.9471408385"/>
    <s v="COD"/>
    <x v="0"/>
    <d v="2023-05-31T00:00:00"/>
    <n v="3"/>
    <n v="4"/>
    <x v="0"/>
  </r>
  <r>
    <s v="ORD00876"/>
    <d v="2023-05-21T00:00:00"/>
    <s v="CUST0266"/>
    <s v="Suresh"/>
    <s v="Ahmedabad"/>
    <s v="Gujarat"/>
    <x v="6"/>
    <x v="1"/>
    <s v="Men"/>
    <n v="1204"/>
    <n v="1212.3203549273826"/>
    <n v="5"/>
    <n v="15"/>
    <n v="5152.3615084413759"/>
    <n v="6020"/>
    <n v="-867.63849155862408"/>
    <s v="UPI"/>
    <x v="0"/>
    <d v="2023-05-30T00:00:00"/>
    <n v="5"/>
    <n v="2"/>
    <x v="0"/>
  </r>
  <r>
    <s v="ORD00185"/>
    <d v="2023-05-22T00:00:00"/>
    <s v="CUST0027"/>
    <s v="Nikhil"/>
    <s v="Hyderabad"/>
    <s v="Telangana"/>
    <x v="5"/>
    <x v="0"/>
    <s v="Furniture"/>
    <n v="50225"/>
    <n v="61534.635574897919"/>
    <n v="2"/>
    <n v="20"/>
    <n v="98455.416919836673"/>
    <n v="100450"/>
    <n v="-1994.5830801633274"/>
    <s v="Debit Card"/>
    <x v="0"/>
    <d v="2023-05-28T00:00:00"/>
    <n v="3"/>
    <n v="3"/>
    <x v="0"/>
  </r>
  <r>
    <s v="ORD00716"/>
    <d v="2023-05-22T00:00:00"/>
    <s v="CUST0266"/>
    <s v="Priya"/>
    <s v="Mumbai"/>
    <s v="Maharashtra"/>
    <x v="1"/>
    <x v="1"/>
    <s v="Men"/>
    <n v="569"/>
    <n v="1016.3129678164028"/>
    <n v="4"/>
    <n v="5"/>
    <n v="3861.9892777023301"/>
    <n v="2276"/>
    <n v="1585.9892777023301"/>
    <s v="COD"/>
    <x v="0"/>
    <d v="2023-06-01T00:00:00"/>
    <n v="3"/>
    <n v="4"/>
    <x v="0"/>
  </r>
  <r>
    <s v="ORD00932"/>
    <d v="2023-05-22T00:00:00"/>
    <s v="CUST0277"/>
    <s v="Sneha"/>
    <s v="Pune"/>
    <s v="Maharashtra"/>
    <x v="10"/>
    <x v="2"/>
    <s v="Mobile"/>
    <n v="81787"/>
    <n v="82923.82475678288"/>
    <n v="1"/>
    <n v="5"/>
    <n v="78777.633518943738"/>
    <n v="81787"/>
    <n v="-3009.3664810562623"/>
    <s v="Credit Card"/>
    <x v="0"/>
    <d v="2023-05-28T00:00:00"/>
    <n v="3"/>
    <n v="2"/>
    <x v="0"/>
  </r>
  <r>
    <s v="ORD00133"/>
    <d v="2023-05-23T00:00:00"/>
    <s v="CUST0211"/>
    <s v="Nikhil"/>
    <s v="Hyderabad"/>
    <s v="Telangana"/>
    <x v="0"/>
    <x v="0"/>
    <s v="Kitchen"/>
    <n v="4947"/>
    <n v="8794.2629632118351"/>
    <n v="4"/>
    <n v="5"/>
    <n v="33418.199260204972"/>
    <n v="19788"/>
    <n v="13630.199260204972"/>
    <s v="Credit Card"/>
    <x v="0"/>
    <d v="2023-06-03T00:00:00"/>
    <n v="4"/>
    <n v="3"/>
    <x v="0"/>
  </r>
  <r>
    <s v="ORD00927"/>
    <d v="2023-05-23T00:00:00"/>
    <s v="CUST0267"/>
    <s v="Amit"/>
    <s v="Pune"/>
    <s v="Maharashtra"/>
    <x v="0"/>
    <x v="0"/>
    <s v="Kitchen"/>
    <n v="3427"/>
    <n v="4228.1233945117965"/>
    <n v="3"/>
    <n v="20"/>
    <n v="10147.496146828313"/>
    <n v="10281"/>
    <n v="-133.5038531716873"/>
    <s v="Debit Card"/>
    <x v="0"/>
    <d v="2023-06-04T00:00:00"/>
    <n v="5"/>
    <n v="3"/>
    <x v="0"/>
  </r>
  <r>
    <s v="ORD00976"/>
    <d v="2023-05-23T00:00:00"/>
    <s v="CUST0071"/>
    <s v="Divya"/>
    <s v="Chennai"/>
    <s v="Tamil Nadu"/>
    <x v="1"/>
    <x v="1"/>
    <s v="Men"/>
    <n v="346"/>
    <n v="498.77998113919404"/>
    <n v="5"/>
    <n v="10"/>
    <n v="2244.509915126373"/>
    <n v="1730"/>
    <n v="514.50991512637302"/>
    <s v="Credit Card"/>
    <x v="0"/>
    <d v="2023-05-29T00:00:00"/>
    <n v="3"/>
    <n v="2"/>
    <x v="0"/>
  </r>
  <r>
    <s v="ORD01059"/>
    <d v="2023-05-23T00:00:00"/>
    <s v="CUST0265"/>
    <s v="Arjun"/>
    <s v="Mumbai"/>
    <s v="Maharashtra"/>
    <x v="7"/>
    <x v="3"/>
    <s v="Skincare"/>
    <n v="448"/>
    <n v="631.33078273405465"/>
    <n v="2"/>
    <n v="20"/>
    <n v="1010.1292523744875"/>
    <n v="896"/>
    <n v="114.12925237448746"/>
    <s v="Debit Card"/>
    <x v="1"/>
    <m/>
    <n v="10"/>
    <n v="1"/>
    <x v="1"/>
  </r>
  <r>
    <s v="ORD00418"/>
    <d v="2023-05-24T00:00:00"/>
    <s v="CUST0153"/>
    <s v="Divya"/>
    <s v="Bangalore"/>
    <s v="Karnataka"/>
    <x v="1"/>
    <x v="1"/>
    <s v="Men"/>
    <n v="335"/>
    <n v="393.80300255592431"/>
    <n v="1"/>
    <n v="5"/>
    <n v="374.11285242812806"/>
    <n v="335"/>
    <n v="39.112852428128065"/>
    <s v="Debit Card"/>
    <x v="0"/>
    <d v="2023-05-30T00:00:00"/>
    <n v="1"/>
    <n v="5"/>
    <x v="0"/>
  </r>
  <r>
    <s v="ORD01036"/>
    <d v="2023-05-24T00:00:00"/>
    <s v="CUST0234"/>
    <s v="Arjun"/>
    <s v="Pune"/>
    <s v="Maharashtra"/>
    <x v="8"/>
    <x v="3"/>
    <s v="Fragrance"/>
    <n v="892"/>
    <n v="892.01938227062169"/>
    <n v="3"/>
    <n v="0"/>
    <n v="2676.0581468118653"/>
    <n v="2676"/>
    <n v="5.8146811865299242E-2"/>
    <s v="UPI"/>
    <x v="0"/>
    <d v="2023-06-02T00:00:00"/>
    <n v="2"/>
    <n v="5"/>
    <x v="0"/>
  </r>
  <r>
    <s v="ORD01163"/>
    <d v="2023-05-25T00:00:00"/>
    <s v="CUST0158"/>
    <s v="Sneha"/>
    <s v="Hyderabad"/>
    <s v="Telangana"/>
    <x v="0"/>
    <x v="0"/>
    <s v="Kitchen"/>
    <n v="4153"/>
    <n v="7296.0816400456933"/>
    <n v="5"/>
    <n v="0"/>
    <n v="36480.40820022847"/>
    <n v="20765"/>
    <n v="15715.40820022847"/>
    <s v="UPI"/>
    <x v="0"/>
    <d v="2023-06-05T00:00:00"/>
    <n v="6"/>
    <n v="4"/>
    <x v="2"/>
  </r>
  <r>
    <s v="ORD00220"/>
    <d v="2023-05-26T00:00:00"/>
    <s v="CUST0087"/>
    <s v="Pooja"/>
    <s v="Mumbai"/>
    <s v="Maharashtra"/>
    <x v="7"/>
    <x v="3"/>
    <s v="Skincare"/>
    <n v="220"/>
    <n v="316.72310445914184"/>
    <n v="2"/>
    <n v="5"/>
    <n v="601.77389847236941"/>
    <n v="440"/>
    <n v="161.77389847236941"/>
    <s v="Credit Card"/>
    <x v="0"/>
    <d v="2023-06-07T00:00:00"/>
    <n v="8"/>
    <n v="3"/>
    <x v="0"/>
  </r>
  <r>
    <s v="ORD00592"/>
    <d v="2023-05-26T00:00:00"/>
    <s v="CUST0042"/>
    <s v="Meena"/>
    <s v="Pune"/>
    <s v="Maharashtra"/>
    <x v="0"/>
    <x v="0"/>
    <s v="Kitchen"/>
    <n v="3388"/>
    <n v="3449.0643073767919"/>
    <n v="1"/>
    <n v="10"/>
    <n v="3104.1578766391126"/>
    <n v="3388"/>
    <n v="-283.8421233608874"/>
    <s v="Debit Card"/>
    <x v="1"/>
    <m/>
    <n v="8"/>
    <n v="4"/>
    <x v="1"/>
  </r>
  <r>
    <s v="ORD00831"/>
    <d v="2023-05-26T00:00:00"/>
    <s v="CUST0009"/>
    <s v="Priya"/>
    <s v="Ahmedabad"/>
    <s v="Gujarat"/>
    <x v="3"/>
    <x v="2"/>
    <s v="Accessories"/>
    <n v="898"/>
    <n v="937.15659110621073"/>
    <n v="5"/>
    <n v="0"/>
    <n v="4685.7829555310536"/>
    <n v="4490"/>
    <n v="195.78295553105363"/>
    <s v="Debit Card"/>
    <x v="0"/>
    <d v="2023-06-07T00:00:00"/>
    <n v="5"/>
    <n v="3"/>
    <x v="0"/>
  </r>
  <r>
    <s v="ORD00135"/>
    <d v="2023-05-27T00:00:00"/>
    <s v="CUST0204"/>
    <s v="Sneha"/>
    <s v="Delhi"/>
    <s v="Delhi"/>
    <x v="0"/>
    <x v="0"/>
    <s v="Kitchen"/>
    <n v="4273"/>
    <n v="7412.8585850356849"/>
    <n v="2"/>
    <n v="0"/>
    <n v="14825.71717007137"/>
    <n v="8546"/>
    <n v="6279.7171700713698"/>
    <s v="COD"/>
    <x v="1"/>
    <m/>
    <n v="10"/>
    <n v="1"/>
    <x v="1"/>
  </r>
  <r>
    <s v="ORD00251"/>
    <d v="2023-05-27T00:00:00"/>
    <s v="CUST0030"/>
    <s v="Pooja"/>
    <s v="Delhi"/>
    <s v="Delhi"/>
    <x v="1"/>
    <x v="1"/>
    <s v="Men"/>
    <n v="257"/>
    <n v="281.31793411845473"/>
    <n v="1"/>
    <n v="0"/>
    <n v="281.31793411845473"/>
    <n v="257"/>
    <n v="24.31793411845473"/>
    <s v="Debit Card"/>
    <x v="0"/>
    <d v="2023-06-04T00:00:00"/>
    <n v="1"/>
    <n v="4"/>
    <x v="0"/>
  </r>
  <r>
    <s v="ORD00314"/>
    <d v="2023-05-27T00:00:00"/>
    <s v="CUST0117"/>
    <s v="Pooja"/>
    <s v="Pune"/>
    <s v="Maharashtra"/>
    <x v="3"/>
    <x v="2"/>
    <s v="Accessories"/>
    <n v="1745"/>
    <n v="2922.4143401303131"/>
    <n v="4"/>
    <n v="0"/>
    <n v="11689.657360521252"/>
    <n v="6980"/>
    <n v="4709.6573605212525"/>
    <s v="Credit Card"/>
    <x v="0"/>
    <d v="2023-06-03T00:00:00"/>
    <n v="2"/>
    <n v="4"/>
    <x v="0"/>
  </r>
  <r>
    <s v="ORD00518"/>
    <d v="2023-05-27T00:00:00"/>
    <s v="CUST0290"/>
    <s v="Manoj"/>
    <s v="Chennai"/>
    <s v="Tamil Nadu"/>
    <x v="1"/>
    <x v="1"/>
    <s v="Men"/>
    <n v="316"/>
    <n v="335.59920792982246"/>
    <n v="1"/>
    <n v="5"/>
    <n v="318.81924753333129"/>
    <n v="316"/>
    <n v="2.8192475333312927"/>
    <s v="UPI"/>
    <x v="0"/>
    <d v="2023-06-06T00:00:00"/>
    <n v="7"/>
    <n v="3"/>
    <x v="0"/>
  </r>
  <r>
    <s v="ORD00903"/>
    <d v="2023-05-27T00:00:00"/>
    <s v="CUST0194"/>
    <s v="Pooja"/>
    <s v="Pune"/>
    <s v="Maharashtra"/>
    <x v="7"/>
    <x v="3"/>
    <s v="Skincare"/>
    <n v="580"/>
    <n v="774.3142652785474"/>
    <n v="3"/>
    <n v="15"/>
    <n v="1974.5013764602959"/>
    <n v="1740"/>
    <n v="234.50137646029589"/>
    <s v="Debit Card"/>
    <x v="0"/>
    <d v="2023-06-03T00:00:00"/>
    <n v="4"/>
    <n v="2"/>
    <x v="0"/>
  </r>
  <r>
    <s v="ORD00023"/>
    <d v="2023-05-28T00:00:00"/>
    <s v="CUST0258"/>
    <s v="Sneha"/>
    <s v="Pune"/>
    <s v="Maharashtra"/>
    <x v="6"/>
    <x v="1"/>
    <s v="Men"/>
    <n v="1220"/>
    <n v="1695.7279452757653"/>
    <n v="4"/>
    <n v="20"/>
    <n v="5426.3294248824495"/>
    <n v="4880"/>
    <n v="546.32942488244953"/>
    <s v="Debit Card"/>
    <x v="0"/>
    <d v="2023-06-06T00:00:00"/>
    <n v="2"/>
    <n v="5"/>
    <x v="0"/>
  </r>
  <r>
    <s v="ORD00113"/>
    <d v="2023-05-28T00:00:00"/>
    <s v="CUST0277"/>
    <s v="Swathi"/>
    <s v="Bangalore"/>
    <s v="Karnataka"/>
    <x v="6"/>
    <x v="1"/>
    <s v="Men"/>
    <n v="1143"/>
    <n v="1917.1480943305685"/>
    <n v="4"/>
    <n v="5"/>
    <n v="7285.1627584561602"/>
    <n v="4572"/>
    <n v="2713.1627584561602"/>
    <s v="Debit Card"/>
    <x v="1"/>
    <m/>
    <n v="7"/>
    <n v="4"/>
    <x v="1"/>
  </r>
  <r>
    <s v="ORD00530"/>
    <d v="2023-05-28T00:00:00"/>
    <s v="CUST0067"/>
    <s v="Pooja"/>
    <s v="Mumbai"/>
    <s v="Maharashtra"/>
    <x v="8"/>
    <x v="3"/>
    <s v="Fragrance"/>
    <n v="567"/>
    <n v="578.35159577602758"/>
    <n v="2"/>
    <n v="10"/>
    <n v="1041.0328723968496"/>
    <n v="1134"/>
    <n v="-92.967127603150402"/>
    <s v="UPI"/>
    <x v="1"/>
    <m/>
    <n v="7"/>
    <n v="3"/>
    <x v="1"/>
  </r>
  <r>
    <s v="ORD00748"/>
    <d v="2023-05-28T00:00:00"/>
    <s v="CUST0220"/>
    <s v="Neha"/>
    <s v="Hyderabad"/>
    <s v="Telangana"/>
    <x v="6"/>
    <x v="1"/>
    <s v="Men"/>
    <n v="901"/>
    <n v="1130.8001497429004"/>
    <n v="1"/>
    <n v="15"/>
    <n v="961.18012728146539"/>
    <n v="901"/>
    <n v="60.180127281465388"/>
    <s v="COD"/>
    <x v="0"/>
    <d v="2023-06-02T00:00:00"/>
    <n v="1"/>
    <n v="5"/>
    <x v="0"/>
  </r>
  <r>
    <s v="ORD00925"/>
    <d v="2023-05-28T00:00:00"/>
    <s v="CUST0223"/>
    <s v="Amit"/>
    <s v="Hyderabad"/>
    <s v="Telangana"/>
    <x v="8"/>
    <x v="3"/>
    <s v="Fragrance"/>
    <n v="839"/>
    <n v="1205.0810281619517"/>
    <n v="1"/>
    <n v="10"/>
    <n v="1084.5729253457566"/>
    <n v="839"/>
    <n v="245.57292534575663"/>
    <s v="UPI"/>
    <x v="0"/>
    <d v="2023-06-05T00:00:00"/>
    <n v="4"/>
    <n v="4"/>
    <x v="0"/>
  </r>
  <r>
    <s v="ORD01145"/>
    <d v="2023-05-28T00:00:00"/>
    <s v="CUST0060"/>
    <s v="Rohit"/>
    <s v="Mumbai"/>
    <s v="Maharashtra"/>
    <x v="1"/>
    <x v="1"/>
    <s v="Men"/>
    <n v="683"/>
    <n v="782.60823030952849"/>
    <n v="3"/>
    <n v="5"/>
    <n v="2230.4334563821558"/>
    <n v="2049"/>
    <n v="181.43345638215578"/>
    <s v="Credit Card"/>
    <x v="1"/>
    <m/>
    <n v="9"/>
    <n v="1"/>
    <x v="1"/>
  </r>
  <r>
    <s v="ORD00930"/>
    <d v="2023-05-29T00:00:00"/>
    <s v="CUST0080"/>
    <s v="Arjun"/>
    <s v="Pune"/>
    <s v="Maharashtra"/>
    <x v="0"/>
    <x v="0"/>
    <s v="Kitchen"/>
    <n v="4782"/>
    <n v="7578.1958118832608"/>
    <n v="2"/>
    <n v="15"/>
    <n v="12882.932880201543"/>
    <n v="9564"/>
    <n v="3318.9328802015425"/>
    <s v="Credit Card"/>
    <x v="0"/>
    <d v="2023-06-09T00:00:00"/>
    <n v="4"/>
    <n v="2"/>
    <x v="0"/>
  </r>
  <r>
    <s v="ORD00256"/>
    <d v="2023-05-30T00:00:00"/>
    <s v="CUST0128"/>
    <s v="Divya"/>
    <s v="Chennai"/>
    <s v="Tamil Nadu"/>
    <x v="0"/>
    <x v="0"/>
    <s v="Kitchen"/>
    <n v="3211"/>
    <n v="5059.3134794658554"/>
    <n v="3"/>
    <n v="10"/>
    <n v="13660.146394557811"/>
    <n v="9633"/>
    <n v="4027.1463945578107"/>
    <s v="UPI"/>
    <x v="0"/>
    <d v="2023-06-08T00:00:00"/>
    <n v="4"/>
    <n v="3"/>
    <x v="0"/>
  </r>
  <r>
    <s v="ORD00382"/>
    <d v="2023-05-30T00:00:00"/>
    <s v="CUST0114"/>
    <s v="Ramesh"/>
    <s v="Pune"/>
    <s v="Maharashtra"/>
    <x v="2"/>
    <x v="1"/>
    <s v="Women"/>
    <n v="1452"/>
    <n v="1726.3011671264669"/>
    <n v="4"/>
    <n v="5"/>
    <n v="6559.9444350805743"/>
    <n v="5808"/>
    <n v="751.94443508057429"/>
    <s v="Debit Card"/>
    <x v="0"/>
    <d v="2023-06-10T00:00:00"/>
    <n v="6"/>
    <n v="3"/>
    <x v="0"/>
  </r>
  <r>
    <s v="ORD00998"/>
    <d v="2023-05-30T00:00:00"/>
    <s v="CUST0220"/>
    <s v="Pooja"/>
    <s v="Ahmedabad"/>
    <s v="Gujarat"/>
    <x v="11"/>
    <x v="2"/>
    <s v="Computers"/>
    <n v="42258"/>
    <n v="71962.279269820574"/>
    <n v="1"/>
    <n v="5"/>
    <n v="68364.165306329538"/>
    <n v="42258"/>
    <n v="26106.165306329538"/>
    <s v="Credit Card"/>
    <x v="1"/>
    <m/>
    <n v="10"/>
    <n v="1"/>
    <x v="1"/>
  </r>
  <r>
    <s v="ORD00468"/>
    <d v="2023-05-31T00:00:00"/>
    <s v="CUST0087"/>
    <s v="Vikram"/>
    <s v="Ahmedabad"/>
    <s v="Gujarat"/>
    <x v="10"/>
    <x v="2"/>
    <s v="Mobile"/>
    <n v="89146"/>
    <n v="110230.95682603261"/>
    <n v="5"/>
    <n v="20"/>
    <n v="440923.82730413042"/>
    <n v="445730"/>
    <n v="-4806.1726958695799"/>
    <s v="Debit Card"/>
    <x v="0"/>
    <d v="2023-06-11T00:00:00"/>
    <n v="4"/>
    <n v="4"/>
    <x v="0"/>
  </r>
  <r>
    <s v="ORD00901"/>
    <d v="2023-05-31T00:00:00"/>
    <s v="CUST0124"/>
    <s v="Swathi"/>
    <s v="Bangalore"/>
    <s v="Karnataka"/>
    <x v="2"/>
    <x v="1"/>
    <s v="Women"/>
    <n v="1122"/>
    <n v="1202.6741799943059"/>
    <n v="2"/>
    <n v="0"/>
    <n v="2405.3483599886117"/>
    <n v="2244"/>
    <n v="161.34835998861172"/>
    <s v="COD"/>
    <x v="0"/>
    <d v="2023-06-07T00:00:00"/>
    <n v="2"/>
    <n v="5"/>
    <x v="0"/>
  </r>
  <r>
    <s v="ORD00118"/>
    <d v="2023-06-01T00:00:00"/>
    <s v="CUST0298"/>
    <s v="Kiran"/>
    <s v="Hyderabad"/>
    <s v="Telangana"/>
    <x v="3"/>
    <x v="2"/>
    <s v="Accessories"/>
    <n v="906"/>
    <n v="1295.3949876011995"/>
    <n v="4"/>
    <n v="5"/>
    <n v="4922.5009528845576"/>
    <n v="3624"/>
    <n v="1298.5009528845576"/>
    <s v="COD"/>
    <x v="0"/>
    <d v="2023-06-14T00:00:00"/>
    <n v="8"/>
    <n v="4"/>
    <x v="2"/>
  </r>
  <r>
    <s v="ORD00223"/>
    <d v="2023-06-01T00:00:00"/>
    <s v="CUST0180"/>
    <s v="Deepika"/>
    <s v="Delhi"/>
    <s v="Delhi"/>
    <x v="10"/>
    <x v="2"/>
    <s v="Mobile"/>
    <n v="52350"/>
    <n v="74103.924491641374"/>
    <n v="4"/>
    <n v="15"/>
    <n v="251953.34327158067"/>
    <n v="209400"/>
    <n v="42553.34327158067"/>
    <s v="Credit Card"/>
    <x v="0"/>
    <d v="2023-06-14T00:00:00"/>
    <n v="6"/>
    <n v="2"/>
    <x v="0"/>
  </r>
  <r>
    <s v="ORD00271"/>
    <d v="2023-06-01T00:00:00"/>
    <s v="CUST0006"/>
    <s v="Sneha"/>
    <s v="Pune"/>
    <s v="Maharashtra"/>
    <x v="9"/>
    <x v="2"/>
    <s v="TV"/>
    <n v="75477"/>
    <n v="127266.134578542"/>
    <n v="5"/>
    <n v="20"/>
    <n v="509064.53831416799"/>
    <n v="377385"/>
    <n v="131679.53831416799"/>
    <s v="Credit Card"/>
    <x v="1"/>
    <m/>
    <n v="9"/>
    <n v="1"/>
    <x v="1"/>
  </r>
  <r>
    <s v="ORD00841"/>
    <d v="2023-06-01T00:00:00"/>
    <s v="CUST0077"/>
    <s v="Anjali"/>
    <s v="Delhi"/>
    <s v="Delhi"/>
    <x v="6"/>
    <x v="1"/>
    <s v="Men"/>
    <n v="1392"/>
    <n v="2472.0321433128206"/>
    <n v="4"/>
    <n v="20"/>
    <n v="7910.5028586010267"/>
    <n v="5568"/>
    <n v="2342.5028586010267"/>
    <s v="COD"/>
    <x v="0"/>
    <d v="2023-06-06T00:00:00"/>
    <n v="1"/>
    <n v="4"/>
    <x v="0"/>
  </r>
  <r>
    <s v="ORD01148"/>
    <d v="2023-06-01T00:00:00"/>
    <s v="CUST0101"/>
    <s v="Anjali"/>
    <s v="Ahmedabad"/>
    <s v="Gujarat"/>
    <x v="5"/>
    <x v="0"/>
    <s v="Furniture"/>
    <n v="47006"/>
    <n v="49319.56347223909"/>
    <n v="4"/>
    <n v="15"/>
    <n v="167686.5158056129"/>
    <n v="188024"/>
    <n v="-20337.4841943871"/>
    <s v="Debit Card"/>
    <x v="0"/>
    <d v="2023-06-15T00:00:00"/>
    <n v="8"/>
    <n v="2"/>
    <x v="0"/>
  </r>
  <r>
    <s v="ORD00846"/>
    <d v="2023-06-02T00:00:00"/>
    <s v="CUST0123"/>
    <s v="Neha"/>
    <s v="Pune"/>
    <s v="Maharashtra"/>
    <x v="11"/>
    <x v="2"/>
    <s v="Computers"/>
    <n v="35961"/>
    <n v="57552.970344158886"/>
    <n v="4"/>
    <n v="20"/>
    <n v="184169.50510130846"/>
    <n v="143844"/>
    <n v="40325.505101308459"/>
    <s v="COD"/>
    <x v="0"/>
    <d v="2023-06-11T00:00:00"/>
    <n v="3"/>
    <n v="2"/>
    <x v="0"/>
  </r>
  <r>
    <s v="ORD01173"/>
    <d v="2023-06-02T00:00:00"/>
    <s v="CUST0213"/>
    <s v="Rohit"/>
    <s v="Mumbai"/>
    <s v="Maharashtra"/>
    <x v="0"/>
    <x v="0"/>
    <s v="Kitchen"/>
    <n v="3209"/>
    <n v="5631.3122709600939"/>
    <n v="3"/>
    <n v="20"/>
    <n v="13515.149450304227"/>
    <n v="9627"/>
    <n v="3888.1494503042268"/>
    <s v="COD"/>
    <x v="0"/>
    <d v="2023-06-13T00:00:00"/>
    <n v="5"/>
    <n v="3"/>
    <x v="0"/>
  </r>
  <r>
    <s v="ORD00025"/>
    <d v="2023-06-03T00:00:00"/>
    <s v="CUST0157"/>
    <s v="Manoj"/>
    <s v="Pune"/>
    <s v="Maharashtra"/>
    <x v="11"/>
    <x v="2"/>
    <s v="Computers"/>
    <n v="32728"/>
    <n v="45218.220963054562"/>
    <n v="3"/>
    <n v="5"/>
    <n v="128871.92974470549"/>
    <n v="98184"/>
    <n v="30687.929744705485"/>
    <s v="UPI"/>
    <x v="1"/>
    <m/>
    <n v="10"/>
    <n v="1"/>
    <x v="1"/>
  </r>
  <r>
    <s v="ORD00102"/>
    <d v="2023-06-03T00:00:00"/>
    <s v="CUST0115"/>
    <s v="Arjun"/>
    <s v="Delhi"/>
    <s v="Delhi"/>
    <x v="8"/>
    <x v="3"/>
    <s v="Fragrance"/>
    <n v="841"/>
    <n v="1033.5831125725981"/>
    <n v="2"/>
    <n v="15"/>
    <n v="1757.0912913734167"/>
    <n v="1682"/>
    <n v="75.091291373416652"/>
    <s v="COD"/>
    <x v="0"/>
    <d v="2023-06-11T00:00:00"/>
    <n v="4"/>
    <n v="2"/>
    <x v="0"/>
  </r>
  <r>
    <s v="ORD00601"/>
    <d v="2023-06-03T00:00:00"/>
    <s v="CUST0140"/>
    <s v="Suresh"/>
    <s v="Ahmedabad"/>
    <s v="Gujarat"/>
    <x v="7"/>
    <x v="3"/>
    <s v="Skincare"/>
    <n v="531"/>
    <n v="556.13110047449118"/>
    <n v="5"/>
    <n v="10"/>
    <n v="2502.5899521352103"/>
    <n v="2655"/>
    <n v="-152.4100478647897"/>
    <s v="UPI"/>
    <x v="0"/>
    <d v="2023-06-12T00:00:00"/>
    <n v="4"/>
    <n v="3"/>
    <x v="0"/>
  </r>
  <r>
    <s v="ORD01176"/>
    <d v="2023-06-03T00:00:00"/>
    <s v="CUST0257"/>
    <s v="Divya"/>
    <s v="Delhi"/>
    <s v="Delhi"/>
    <x v="4"/>
    <x v="1"/>
    <s v="Footwear"/>
    <n v="1910"/>
    <n v="1956.4905595575704"/>
    <n v="3"/>
    <n v="10"/>
    <n v="5282.5245108054405"/>
    <n v="5730"/>
    <n v="-447.47548919455949"/>
    <s v="UPI"/>
    <x v="1"/>
    <m/>
    <n v="9"/>
    <n v="1"/>
    <x v="1"/>
  </r>
  <r>
    <s v="ORD00029"/>
    <d v="2023-06-04T00:00:00"/>
    <s v="CUST0024"/>
    <s v="Suresh"/>
    <s v="Hyderabad"/>
    <s v="Telangana"/>
    <x v="11"/>
    <x v="2"/>
    <s v="Computers"/>
    <n v="36676"/>
    <n v="48313.948486049769"/>
    <n v="1"/>
    <n v="20"/>
    <n v="38651.158788839813"/>
    <n v="36676"/>
    <n v="1975.1587888398135"/>
    <s v="UPI"/>
    <x v="0"/>
    <d v="2023-06-12T00:00:00"/>
    <n v="3"/>
    <n v="3"/>
    <x v="0"/>
  </r>
  <r>
    <s v="ORD00523"/>
    <d v="2023-06-04T00:00:00"/>
    <s v="CUST0005"/>
    <s v="Kavya"/>
    <s v="Bangalore"/>
    <s v="Karnataka"/>
    <x v="4"/>
    <x v="1"/>
    <s v="Footwear"/>
    <n v="793"/>
    <n v="1185.7409007590095"/>
    <n v="1"/>
    <n v="0"/>
    <n v="1185.7409007590095"/>
    <n v="793"/>
    <n v="392.74090075900949"/>
    <s v="Credit Card"/>
    <x v="0"/>
    <d v="2023-06-13T00:00:00"/>
    <n v="3"/>
    <n v="4"/>
    <x v="0"/>
  </r>
  <r>
    <s v="ORD00752"/>
    <d v="2023-06-04T00:00:00"/>
    <s v="CUST0113"/>
    <s v="Suresh"/>
    <s v="Chennai"/>
    <s v="Tamil Nadu"/>
    <x v="6"/>
    <x v="1"/>
    <s v="Men"/>
    <n v="1027"/>
    <n v="1190.9024194010649"/>
    <n v="4"/>
    <n v="10"/>
    <n v="4287.2487098438341"/>
    <n v="4108"/>
    <n v="179.24870984383415"/>
    <s v="Credit Card"/>
    <x v="1"/>
    <m/>
    <n v="10"/>
    <n v="1"/>
    <x v="1"/>
  </r>
  <r>
    <s v="ORD01060"/>
    <d v="2023-06-04T00:00:00"/>
    <s v="CUST0014"/>
    <s v="Manoj"/>
    <s v="Delhi"/>
    <s v="Delhi"/>
    <x v="8"/>
    <x v="3"/>
    <s v="Fragrance"/>
    <n v="976"/>
    <n v="1112.7636650225345"/>
    <n v="4"/>
    <n v="5"/>
    <n v="4228.501927085631"/>
    <n v="3904"/>
    <n v="324.501927085631"/>
    <s v="UPI"/>
    <x v="0"/>
    <d v="2023-06-14T00:00:00"/>
    <n v="3"/>
    <n v="4"/>
    <x v="0"/>
  </r>
  <r>
    <s v="ORD01081"/>
    <d v="2023-06-04T00:00:00"/>
    <s v="CUST0115"/>
    <s v="Suresh"/>
    <s v="Bangalore"/>
    <s v="Karnataka"/>
    <x v="9"/>
    <x v="2"/>
    <s v="TV"/>
    <n v="22080"/>
    <n v="25719.064552619941"/>
    <n v="5"/>
    <n v="20"/>
    <n v="102876.25821047976"/>
    <n v="110400"/>
    <n v="-7523.7417895202379"/>
    <s v="Credit Card"/>
    <x v="0"/>
    <d v="2023-06-09T00:00:00"/>
    <n v="2"/>
    <n v="4"/>
    <x v="0"/>
  </r>
  <r>
    <s v="ORD00740"/>
    <d v="2023-06-05T00:00:00"/>
    <s v="CUST0229"/>
    <s v="Rohit"/>
    <s v="Pune"/>
    <s v="Maharashtra"/>
    <x v="11"/>
    <x v="2"/>
    <s v="Computers"/>
    <n v="41768"/>
    <n v="75009.109210506023"/>
    <n v="2"/>
    <n v="0"/>
    <n v="150018.21842101205"/>
    <n v="83536"/>
    <n v="66482.218421012047"/>
    <s v="Credit Card"/>
    <x v="0"/>
    <d v="2023-06-14T00:00:00"/>
    <n v="4"/>
    <n v="4"/>
    <x v="0"/>
  </r>
  <r>
    <s v="ORD00886"/>
    <d v="2023-06-05T00:00:00"/>
    <s v="CUST0196"/>
    <s v="Rohit"/>
    <s v="Kolkata"/>
    <s v="West Bengal"/>
    <x v="6"/>
    <x v="1"/>
    <s v="Men"/>
    <n v="834"/>
    <n v="901.31496130167034"/>
    <n v="4"/>
    <n v="15"/>
    <n v="3064.4708684256789"/>
    <n v="3336"/>
    <n v="-271.52913157432113"/>
    <s v="UPI"/>
    <x v="1"/>
    <m/>
    <n v="10"/>
    <n v="1"/>
    <x v="1"/>
  </r>
  <r>
    <s v="ORD00409"/>
    <d v="2023-06-06T00:00:00"/>
    <s v="CUST0050"/>
    <s v="Rahul"/>
    <s v="Ahmedabad"/>
    <s v="Gujarat"/>
    <x v="10"/>
    <x v="2"/>
    <s v="Mobile"/>
    <n v="82454"/>
    <n v="119690.08362705003"/>
    <n v="1"/>
    <n v="0"/>
    <n v="119690.08362705003"/>
    <n v="82454"/>
    <n v="37236.083627050029"/>
    <s v="Debit Card"/>
    <x v="0"/>
    <d v="2023-06-16T00:00:00"/>
    <n v="4"/>
    <n v="2"/>
    <x v="0"/>
  </r>
  <r>
    <s v="ORD00577"/>
    <d v="2023-06-06T00:00:00"/>
    <s v="CUST0002"/>
    <s v="Amit"/>
    <s v="Delhi"/>
    <s v="Delhi"/>
    <x v="8"/>
    <x v="3"/>
    <s v="Fragrance"/>
    <n v="928"/>
    <n v="1661.036330095536"/>
    <n v="5"/>
    <n v="0"/>
    <n v="8305.1816504776798"/>
    <n v="4640"/>
    <n v="3665.1816504776798"/>
    <s v="UPI"/>
    <x v="0"/>
    <d v="2023-06-12T00:00:00"/>
    <n v="3"/>
    <n v="2"/>
    <x v="0"/>
  </r>
  <r>
    <s v="ORD00981"/>
    <d v="2023-06-06T00:00:00"/>
    <s v="CUST0145"/>
    <s v="Nikhil"/>
    <s v="Hyderabad"/>
    <s v="Telangana"/>
    <x v="9"/>
    <x v="2"/>
    <s v="TV"/>
    <n v="30259"/>
    <n v="41480.440663020665"/>
    <n v="5"/>
    <n v="15"/>
    <n v="176291.87281783781"/>
    <n v="151295"/>
    <n v="24996.872817837808"/>
    <s v="UPI"/>
    <x v="0"/>
    <d v="2023-06-20T00:00:00"/>
    <n v="8"/>
    <n v="4"/>
    <x v="2"/>
  </r>
  <r>
    <s v="ORD01062"/>
    <d v="2023-06-06T00:00:00"/>
    <s v="CUST0222"/>
    <s v="Neha"/>
    <s v="Kolkata"/>
    <s v="West Bengal"/>
    <x v="8"/>
    <x v="3"/>
    <s v="Fragrance"/>
    <n v="988"/>
    <n v="1057.3660116215131"/>
    <n v="4"/>
    <n v="15"/>
    <n v="3595.0444395131444"/>
    <n v="3952"/>
    <n v="-356.95556048685557"/>
    <s v="UPI"/>
    <x v="0"/>
    <d v="2023-06-15T00:00:00"/>
    <n v="4"/>
    <n v="4"/>
    <x v="0"/>
  </r>
  <r>
    <s v="ORD00130"/>
    <d v="2023-06-07T00:00:00"/>
    <s v="CUST0007"/>
    <s v="Deepika"/>
    <s v="Hyderabad"/>
    <s v="Telangana"/>
    <x v="8"/>
    <x v="3"/>
    <s v="Fragrance"/>
    <n v="547"/>
    <n v="819.79148914942141"/>
    <n v="4"/>
    <n v="15"/>
    <n v="2787.2910631080326"/>
    <n v="2188"/>
    <n v="599.29106310803263"/>
    <s v="Debit Card"/>
    <x v="1"/>
    <m/>
    <n v="10"/>
    <n v="1"/>
    <x v="1"/>
  </r>
  <r>
    <s v="ORD00196"/>
    <d v="2023-06-07T00:00:00"/>
    <s v="CUST0042"/>
    <s v="Suresh"/>
    <s v="Mumbai"/>
    <s v="Maharashtra"/>
    <x v="3"/>
    <x v="2"/>
    <s v="Accessories"/>
    <n v="1602"/>
    <n v="2648.0484609008145"/>
    <n v="2"/>
    <n v="0"/>
    <n v="5296.0969218016289"/>
    <n v="3204"/>
    <n v="2092.0969218016289"/>
    <s v="COD"/>
    <x v="0"/>
    <d v="2023-06-17T00:00:00"/>
    <n v="3"/>
    <n v="2"/>
    <x v="0"/>
  </r>
  <r>
    <s v="ORD00636"/>
    <d v="2023-06-07T00:00:00"/>
    <s v="CUST0298"/>
    <s v="Divya"/>
    <s v="Ahmedabad"/>
    <s v="Gujarat"/>
    <x v="9"/>
    <x v="2"/>
    <s v="TV"/>
    <n v="76914"/>
    <n v="94079.217887648876"/>
    <n v="1"/>
    <n v="5"/>
    <n v="89375.256993266434"/>
    <n v="76914"/>
    <n v="12461.256993266434"/>
    <s v="COD"/>
    <x v="0"/>
    <d v="2023-06-11T00:00:00"/>
    <n v="1"/>
    <n v="4"/>
    <x v="0"/>
  </r>
  <r>
    <s v="ORD01034"/>
    <d v="2023-06-07T00:00:00"/>
    <s v="CUST0159"/>
    <s v="Amit"/>
    <s v="Ahmedabad"/>
    <s v="Gujarat"/>
    <x v="10"/>
    <x v="2"/>
    <s v="Mobile"/>
    <n v="58194"/>
    <n v="93789.939189010154"/>
    <n v="4"/>
    <n v="10"/>
    <n v="337643.78108043654"/>
    <n v="232776"/>
    <n v="104867.78108043654"/>
    <s v="COD"/>
    <x v="0"/>
    <d v="2023-06-13T00:00:00"/>
    <n v="1"/>
    <n v="5"/>
    <x v="0"/>
  </r>
  <r>
    <s v="ORD00823"/>
    <d v="2023-06-08T00:00:00"/>
    <s v="CUST0125"/>
    <s v="Rahul"/>
    <s v="Mumbai"/>
    <s v="Maharashtra"/>
    <x v="0"/>
    <x v="0"/>
    <s v="Kitchen"/>
    <n v="3888"/>
    <n v="6631.0492163053714"/>
    <n v="5"/>
    <n v="10"/>
    <n v="29839.721473374171"/>
    <n v="19440"/>
    <n v="10399.721473374171"/>
    <s v="COD"/>
    <x v="1"/>
    <m/>
    <n v="10"/>
    <n v="1"/>
    <x v="1"/>
  </r>
  <r>
    <s v="ORD01161"/>
    <d v="2023-06-08T00:00:00"/>
    <s v="CUST0028"/>
    <s v="Deepika"/>
    <s v="Hyderabad"/>
    <s v="Telangana"/>
    <x v="6"/>
    <x v="1"/>
    <s v="Men"/>
    <n v="902"/>
    <n v="1535.2282946284522"/>
    <n v="1"/>
    <n v="20"/>
    <n v="1228.1826357027619"/>
    <n v="902"/>
    <n v="326.1826357027619"/>
    <s v="UPI"/>
    <x v="1"/>
    <m/>
    <n v="9"/>
    <n v="1"/>
    <x v="1"/>
  </r>
  <r>
    <s v="ORD00067"/>
    <d v="2023-06-09T00:00:00"/>
    <s v="CUST0244"/>
    <s v="Priya"/>
    <s v="Bangalore"/>
    <s v="Karnataka"/>
    <x v="7"/>
    <x v="3"/>
    <s v="Skincare"/>
    <n v="507"/>
    <n v="638.51955824410004"/>
    <n v="3"/>
    <n v="0"/>
    <n v="1915.5586747323"/>
    <n v="1521"/>
    <n v="394.55867473230001"/>
    <s v="COD"/>
    <x v="1"/>
    <m/>
    <n v="8"/>
    <n v="4"/>
    <x v="1"/>
  </r>
  <r>
    <s v="ORD00170"/>
    <d v="2023-06-09T00:00:00"/>
    <s v="CUST0010"/>
    <s v="Arjun"/>
    <s v="Kolkata"/>
    <s v="West Bengal"/>
    <x v="1"/>
    <x v="1"/>
    <s v="Men"/>
    <n v="430"/>
    <n v="765.559070587267"/>
    <n v="5"/>
    <n v="15"/>
    <n v="3253.6260499958844"/>
    <n v="2150"/>
    <n v="1103.6260499958844"/>
    <s v="Debit Card"/>
    <x v="0"/>
    <d v="2023-06-20T00:00:00"/>
    <n v="6"/>
    <n v="4"/>
    <x v="2"/>
  </r>
  <r>
    <s v="ORD00354"/>
    <d v="2023-06-10T00:00:00"/>
    <s v="CUST0241"/>
    <s v="Kavya"/>
    <s v="Chennai"/>
    <s v="Tamil Nadu"/>
    <x v="0"/>
    <x v="0"/>
    <s v="Kitchen"/>
    <n v="4634"/>
    <n v="5175.4520070952958"/>
    <n v="1"/>
    <n v="20"/>
    <n v="4140.3616056762366"/>
    <n v="4634"/>
    <n v="-493.63839432376335"/>
    <s v="Debit Card"/>
    <x v="0"/>
    <d v="2023-06-15T00:00:00"/>
    <n v="2"/>
    <n v="4"/>
    <x v="0"/>
  </r>
  <r>
    <s v="ORD01178"/>
    <d v="2023-06-10T00:00:00"/>
    <s v="CUST0044"/>
    <s v="Suresh"/>
    <s v="Bangalore"/>
    <s v="Karnataka"/>
    <x v="5"/>
    <x v="0"/>
    <s v="Furniture"/>
    <n v="58994"/>
    <n v="71232.329447805663"/>
    <n v="2"/>
    <n v="5"/>
    <n v="135341.42595083074"/>
    <n v="117988"/>
    <n v="17353.425950830744"/>
    <s v="Debit Card"/>
    <x v="0"/>
    <d v="2023-06-17T00:00:00"/>
    <n v="1"/>
    <n v="5"/>
    <x v="0"/>
  </r>
  <r>
    <s v="ORD00217"/>
    <d v="2023-06-11T00:00:00"/>
    <s v="CUST0078"/>
    <s v="Deepika"/>
    <s v="Chennai"/>
    <s v="Tamil Nadu"/>
    <x v="5"/>
    <x v="0"/>
    <s v="Furniture"/>
    <n v="48474"/>
    <n v="61037.100823029446"/>
    <n v="3"/>
    <n v="0"/>
    <n v="183111.30246908835"/>
    <n v="145422"/>
    <n v="37689.302469088347"/>
    <s v="UPI"/>
    <x v="0"/>
    <d v="2023-06-15T00:00:00"/>
    <n v="1"/>
    <n v="4"/>
    <x v="0"/>
  </r>
  <r>
    <s v="ORD00270"/>
    <d v="2023-06-11T00:00:00"/>
    <s v="CUST0167"/>
    <s v="Kavya"/>
    <s v="Delhi"/>
    <s v="Delhi"/>
    <x v="8"/>
    <x v="3"/>
    <s v="Fragrance"/>
    <n v="820"/>
    <n v="1367.0978030115846"/>
    <n v="3"/>
    <n v="0"/>
    <n v="4101.2934090347535"/>
    <n v="2460"/>
    <n v="1641.2934090347535"/>
    <s v="UPI"/>
    <x v="0"/>
    <d v="2023-06-17T00:00:00"/>
    <n v="3"/>
    <n v="3"/>
    <x v="0"/>
  </r>
  <r>
    <s v="ORD00742"/>
    <d v="2023-06-11T00:00:00"/>
    <s v="CUST0170"/>
    <s v="Arjun"/>
    <s v="Mumbai"/>
    <s v="Maharashtra"/>
    <x v="2"/>
    <x v="1"/>
    <s v="Women"/>
    <n v="1358"/>
    <n v="2057.1557941508804"/>
    <n v="5"/>
    <n v="5"/>
    <n v="9771.4900222166816"/>
    <n v="6790"/>
    <n v="2981.4900222166816"/>
    <s v="Debit Card"/>
    <x v="0"/>
    <d v="2023-06-20T00:00:00"/>
    <n v="4"/>
    <n v="4"/>
    <x v="0"/>
  </r>
  <r>
    <s v="ORD00031"/>
    <d v="2023-06-12T00:00:00"/>
    <s v="CUST0022"/>
    <s v="Sneha"/>
    <s v="Chennai"/>
    <s v="Tamil Nadu"/>
    <x v="3"/>
    <x v="2"/>
    <s v="Accessories"/>
    <n v="1224"/>
    <n v="1320.7022249864706"/>
    <n v="1"/>
    <n v="10"/>
    <n v="1188.6320024878235"/>
    <n v="1224"/>
    <n v="-35.367997512176544"/>
    <s v="Debit Card"/>
    <x v="0"/>
    <d v="2023-06-22T00:00:00"/>
    <n v="5"/>
    <n v="4"/>
    <x v="0"/>
  </r>
  <r>
    <s v="ORD00077"/>
    <d v="2023-06-12T00:00:00"/>
    <s v="CUST0011"/>
    <s v="Vikram"/>
    <s v="Pune"/>
    <s v="Maharashtra"/>
    <x v="10"/>
    <x v="2"/>
    <s v="Mobile"/>
    <n v="58595"/>
    <n v="67083.850417948182"/>
    <n v="3"/>
    <n v="10"/>
    <n v="181126.3961284601"/>
    <n v="175785"/>
    <n v="5341.3961284600955"/>
    <s v="Credit Card"/>
    <x v="0"/>
    <d v="2023-06-21T00:00:00"/>
    <n v="6"/>
    <n v="3"/>
    <x v="0"/>
  </r>
  <r>
    <s v="ORD00166"/>
    <d v="2023-06-12T00:00:00"/>
    <s v="CUST0154"/>
    <s v="Ramesh"/>
    <s v="Chennai"/>
    <s v="Tamil Nadu"/>
    <x v="1"/>
    <x v="1"/>
    <s v="Men"/>
    <n v="588"/>
    <n v="1029.3327760922498"/>
    <n v="4"/>
    <n v="10"/>
    <n v="3705.5979939320991"/>
    <n v="2352"/>
    <n v="1353.5979939320991"/>
    <s v="Debit Card"/>
    <x v="0"/>
    <d v="2023-06-23T00:00:00"/>
    <n v="4"/>
    <n v="3"/>
    <x v="0"/>
  </r>
  <r>
    <s v="ORD00531"/>
    <d v="2023-06-13T00:00:00"/>
    <s v="CUST0030"/>
    <s v="Swathi"/>
    <s v="Ahmedabad"/>
    <s v="Gujarat"/>
    <x v="6"/>
    <x v="1"/>
    <s v="Men"/>
    <n v="999"/>
    <n v="1576.7656593451861"/>
    <n v="3"/>
    <n v="10"/>
    <n v="4257.2672802320021"/>
    <n v="2997"/>
    <n v="1260.2672802320021"/>
    <s v="Credit Card"/>
    <x v="1"/>
    <m/>
    <n v="8"/>
    <n v="3"/>
    <x v="1"/>
  </r>
  <r>
    <s v="ORD00586"/>
    <d v="2023-06-13T00:00:00"/>
    <s v="CUST0290"/>
    <s v="Rahul"/>
    <s v="Mumbai"/>
    <s v="Maharashtra"/>
    <x v="2"/>
    <x v="1"/>
    <s v="Women"/>
    <n v="1711"/>
    <n v="2418.6418106612718"/>
    <n v="3"/>
    <n v="0"/>
    <n v="7255.9254319838155"/>
    <n v="5133"/>
    <n v="2122.9254319838155"/>
    <s v="UPI"/>
    <x v="0"/>
    <d v="2023-06-22T00:00:00"/>
    <n v="2"/>
    <n v="4"/>
    <x v="0"/>
  </r>
  <r>
    <s v="ORD01096"/>
    <d v="2023-06-13T00:00:00"/>
    <s v="CUST0209"/>
    <s v="Manoj"/>
    <s v="Delhi"/>
    <s v="Delhi"/>
    <x v="9"/>
    <x v="2"/>
    <s v="TV"/>
    <n v="61628"/>
    <n v="108571.70540233895"/>
    <n v="3"/>
    <n v="5"/>
    <n v="309429.36039666599"/>
    <n v="184884"/>
    <n v="124545.36039666599"/>
    <s v="UPI"/>
    <x v="1"/>
    <m/>
    <n v="8"/>
    <n v="2"/>
    <x v="1"/>
  </r>
  <r>
    <s v="ORD00007"/>
    <d v="2023-06-14T00:00:00"/>
    <s v="CUST0295"/>
    <s v="Pooja"/>
    <s v="Delhi"/>
    <s v="Delhi"/>
    <x v="7"/>
    <x v="3"/>
    <s v="Skincare"/>
    <n v="322"/>
    <n v="459.52902086113721"/>
    <n v="2"/>
    <n v="0"/>
    <n v="919.05804172227442"/>
    <n v="644"/>
    <n v="275.05804172227442"/>
    <s v="UPI"/>
    <x v="1"/>
    <m/>
    <n v="8"/>
    <n v="2"/>
    <x v="1"/>
  </r>
  <r>
    <s v="ORD00206"/>
    <d v="2023-06-14T00:00:00"/>
    <s v="CUST0041"/>
    <s v="Rohit"/>
    <s v="Kolkata"/>
    <s v="West Bengal"/>
    <x v="4"/>
    <x v="1"/>
    <s v="Footwear"/>
    <n v="2806"/>
    <n v="3643.2806404821667"/>
    <n v="5"/>
    <n v="10"/>
    <n v="16394.762882169751"/>
    <n v="14030"/>
    <n v="2364.7628821697508"/>
    <s v="Debit Card"/>
    <x v="1"/>
    <m/>
    <n v="8"/>
    <n v="2"/>
    <x v="1"/>
  </r>
  <r>
    <s v="ORD00565"/>
    <d v="2023-06-14T00:00:00"/>
    <s v="CUST0284"/>
    <s v="Kavya"/>
    <s v="Mumbai"/>
    <s v="Maharashtra"/>
    <x v="4"/>
    <x v="1"/>
    <s v="Footwear"/>
    <n v="2066"/>
    <n v="3003.1231519356361"/>
    <n v="2"/>
    <n v="20"/>
    <n v="4804.9970430970179"/>
    <n v="4132"/>
    <n v="672.99704309701792"/>
    <s v="COD"/>
    <x v="0"/>
    <d v="2023-06-26T00:00:00"/>
    <n v="6"/>
    <n v="3"/>
    <x v="0"/>
  </r>
  <r>
    <s v="ORD00680"/>
    <d v="2023-06-14T00:00:00"/>
    <s v="CUST0093"/>
    <s v="Suresh"/>
    <s v="Bangalore"/>
    <s v="Karnataka"/>
    <x v="11"/>
    <x v="2"/>
    <s v="Computers"/>
    <n v="30470"/>
    <n v="40871.195157416165"/>
    <n v="3"/>
    <n v="20"/>
    <n v="98090.868377798804"/>
    <n v="91410"/>
    <n v="6680.8683777988044"/>
    <s v="COD"/>
    <x v="0"/>
    <d v="2023-06-23T00:00:00"/>
    <n v="5"/>
    <n v="3"/>
    <x v="0"/>
  </r>
  <r>
    <s v="ORD00282"/>
    <d v="2023-06-16T00:00:00"/>
    <s v="CUST0241"/>
    <s v="Anjali"/>
    <s v="Ahmedabad"/>
    <s v="Gujarat"/>
    <x v="4"/>
    <x v="1"/>
    <s v="Footwear"/>
    <n v="2172"/>
    <n v="3163.8024161631824"/>
    <n v="1"/>
    <n v="5"/>
    <n v="3005.612295355023"/>
    <n v="2172"/>
    <n v="833.61229535502298"/>
    <s v="UPI"/>
    <x v="0"/>
    <d v="2023-06-23T00:00:00"/>
    <n v="1"/>
    <n v="5"/>
    <x v="0"/>
  </r>
  <r>
    <s v="ORD00644"/>
    <d v="2023-06-16T00:00:00"/>
    <s v="CUST0168"/>
    <s v="Deepika"/>
    <s v="Pune"/>
    <s v="Maharashtra"/>
    <x v="11"/>
    <x v="2"/>
    <s v="Computers"/>
    <n v="31574"/>
    <n v="39128.520702143025"/>
    <n v="5"/>
    <n v="0"/>
    <n v="195642.60351071513"/>
    <n v="157870"/>
    <n v="37772.603510715126"/>
    <s v="Credit Card"/>
    <x v="0"/>
    <d v="2023-06-26T00:00:00"/>
    <n v="6"/>
    <n v="3"/>
    <x v="0"/>
  </r>
  <r>
    <s v="ORD00965"/>
    <d v="2023-06-16T00:00:00"/>
    <s v="CUST0217"/>
    <s v="Rahul"/>
    <s v="Mumbai"/>
    <s v="Maharashtra"/>
    <x v="4"/>
    <x v="1"/>
    <s v="Footwear"/>
    <n v="822"/>
    <n v="980.78292958385794"/>
    <n v="1"/>
    <n v="5"/>
    <n v="931.743783104665"/>
    <n v="822"/>
    <n v="109.743783104665"/>
    <s v="Debit Card"/>
    <x v="0"/>
    <d v="2023-06-29T00:00:00"/>
    <n v="6"/>
    <n v="4"/>
    <x v="2"/>
  </r>
  <r>
    <s v="ORD01157"/>
    <d v="2023-06-16T00:00:00"/>
    <s v="CUST0004"/>
    <s v="Rahul"/>
    <s v="Pune"/>
    <s v="Maharashtra"/>
    <x v="9"/>
    <x v="2"/>
    <s v="TV"/>
    <n v="54890"/>
    <n v="55467.591906246707"/>
    <n v="1"/>
    <n v="15"/>
    <n v="47147.453120309699"/>
    <n v="54890"/>
    <n v="-7742.5468796903006"/>
    <s v="Credit Card"/>
    <x v="0"/>
    <d v="2023-06-25T00:00:00"/>
    <n v="6"/>
    <n v="4"/>
    <x v="2"/>
  </r>
  <r>
    <s v="ORD00514"/>
    <d v="2023-06-17T00:00:00"/>
    <s v="CUST0001"/>
    <s v="Manoj"/>
    <s v="Delhi"/>
    <s v="Delhi"/>
    <x v="4"/>
    <x v="1"/>
    <s v="Footwear"/>
    <n v="2343"/>
    <n v="2920.4722498121291"/>
    <n v="2"/>
    <n v="5"/>
    <n v="5548.8972746430454"/>
    <n v="4686"/>
    <n v="862.89727464304542"/>
    <s v="UPI"/>
    <x v="0"/>
    <d v="2023-06-27T00:00:00"/>
    <n v="3"/>
    <n v="3"/>
    <x v="0"/>
  </r>
  <r>
    <s v="ORD00851"/>
    <d v="2023-06-17T00:00:00"/>
    <s v="CUST0268"/>
    <s v="Neha"/>
    <s v="Bangalore"/>
    <s v="Karnataka"/>
    <x v="5"/>
    <x v="0"/>
    <s v="Furniture"/>
    <n v="55881"/>
    <n v="80194.377034528137"/>
    <n v="2"/>
    <n v="20"/>
    <n v="128311.00325524503"/>
    <n v="111762"/>
    <n v="16549.003255245028"/>
    <s v="Credit Card"/>
    <x v="0"/>
    <d v="2023-06-29T00:00:00"/>
    <n v="5"/>
    <n v="2"/>
    <x v="0"/>
  </r>
  <r>
    <s v="ORD00749"/>
    <d v="2023-06-18T00:00:00"/>
    <s v="CUST0072"/>
    <s v="Suresh"/>
    <s v="Hyderabad"/>
    <s v="Telangana"/>
    <x v="3"/>
    <x v="2"/>
    <s v="Accessories"/>
    <n v="521"/>
    <n v="704.0615176787727"/>
    <n v="1"/>
    <n v="0"/>
    <n v="704.0615176787727"/>
    <n v="521"/>
    <n v="183.0615176787727"/>
    <s v="COD"/>
    <x v="0"/>
    <d v="2023-06-25T00:00:00"/>
    <n v="4"/>
    <n v="3"/>
    <x v="0"/>
  </r>
  <r>
    <s v="ORD00874"/>
    <d v="2023-06-18T00:00:00"/>
    <s v="CUST0032"/>
    <s v="Kavya"/>
    <s v="Chennai"/>
    <s v="Tamil Nadu"/>
    <x v="1"/>
    <x v="1"/>
    <s v="Men"/>
    <n v="710"/>
    <n v="1079.0351323766986"/>
    <n v="3"/>
    <n v="15"/>
    <n v="2751.5395875605814"/>
    <n v="2130"/>
    <n v="621.53958756058137"/>
    <s v="UPI"/>
    <x v="0"/>
    <d v="2023-06-22T00:00:00"/>
    <n v="1"/>
    <n v="5"/>
    <x v="0"/>
  </r>
  <r>
    <s v="ORD01166"/>
    <d v="2023-06-18T00:00:00"/>
    <s v="CUST0075"/>
    <s v="Meena"/>
    <s v="Ahmedabad"/>
    <s v="Gujarat"/>
    <x v="2"/>
    <x v="1"/>
    <s v="Women"/>
    <n v="1733"/>
    <n v="2243.7189195701412"/>
    <n v="4"/>
    <n v="5"/>
    <n v="8526.1318943665356"/>
    <n v="6932"/>
    <n v="1594.1318943665356"/>
    <s v="UPI"/>
    <x v="0"/>
    <d v="2023-06-23T00:00:00"/>
    <n v="2"/>
    <n v="4"/>
    <x v="0"/>
  </r>
  <r>
    <s v="ORD00374"/>
    <d v="2023-06-19T00:00:00"/>
    <s v="CUST0092"/>
    <s v="Anjali"/>
    <s v="Mumbai"/>
    <s v="Maharashtra"/>
    <x v="6"/>
    <x v="1"/>
    <s v="Men"/>
    <n v="1392"/>
    <n v="2140.666551046284"/>
    <n v="3"/>
    <n v="5"/>
    <n v="6100.8996704819083"/>
    <n v="4176"/>
    <n v="1924.8996704819083"/>
    <s v="Debit Card"/>
    <x v="0"/>
    <d v="2023-06-28T00:00:00"/>
    <n v="4"/>
    <n v="3"/>
    <x v="0"/>
  </r>
  <r>
    <s v="ORD00465"/>
    <d v="2023-06-19T00:00:00"/>
    <s v="CUST0079"/>
    <s v="Neha"/>
    <s v="Mumbai"/>
    <s v="Maharashtra"/>
    <x v="7"/>
    <x v="3"/>
    <s v="Skincare"/>
    <n v="380"/>
    <n v="584.65366829861409"/>
    <n v="5"/>
    <n v="10"/>
    <n v="2630.9415073437635"/>
    <n v="1900"/>
    <n v="730.94150734376353"/>
    <s v="COD"/>
    <x v="1"/>
    <m/>
    <n v="7"/>
    <n v="2"/>
    <x v="1"/>
  </r>
  <r>
    <s v="ORD00539"/>
    <d v="2023-06-19T00:00:00"/>
    <s v="CUST0159"/>
    <s v="Swathi"/>
    <s v="Bangalore"/>
    <s v="Karnataka"/>
    <x v="4"/>
    <x v="1"/>
    <s v="Footwear"/>
    <n v="1110"/>
    <n v="1781.7265153195049"/>
    <n v="3"/>
    <n v="10"/>
    <n v="4810.6615913626629"/>
    <n v="3330"/>
    <n v="1480.6615913626629"/>
    <s v="UPI"/>
    <x v="0"/>
    <d v="2023-06-26T00:00:00"/>
    <n v="1"/>
    <n v="5"/>
    <x v="0"/>
  </r>
  <r>
    <s v="ORD00828"/>
    <d v="2023-06-19T00:00:00"/>
    <s v="CUST0090"/>
    <s v="Kiran"/>
    <s v="Delhi"/>
    <s v="Delhi"/>
    <x v="2"/>
    <x v="1"/>
    <s v="Women"/>
    <n v="1650"/>
    <n v="2856.7756830904932"/>
    <n v="3"/>
    <n v="15"/>
    <n v="7284.7779918807582"/>
    <n v="4950"/>
    <n v="2334.7779918807582"/>
    <s v="Credit Card"/>
    <x v="1"/>
    <m/>
    <n v="8"/>
    <n v="3"/>
    <x v="1"/>
  </r>
  <r>
    <s v="ORD00254"/>
    <d v="2023-06-20T00:00:00"/>
    <s v="CUST0266"/>
    <s v="Kavya"/>
    <s v="Delhi"/>
    <s v="Delhi"/>
    <x v="10"/>
    <x v="2"/>
    <s v="Mobile"/>
    <n v="67558"/>
    <n v="86698.644345409062"/>
    <n v="2"/>
    <n v="15"/>
    <n v="147387.69538719539"/>
    <n v="135116"/>
    <n v="12271.695387195388"/>
    <s v="Debit Card"/>
    <x v="0"/>
    <d v="2023-06-30T00:00:00"/>
    <n v="5"/>
    <n v="4"/>
    <x v="0"/>
  </r>
  <r>
    <s v="ORD00367"/>
    <d v="2023-06-20T00:00:00"/>
    <s v="CUST0212"/>
    <s v="Kavya"/>
    <s v="Pune"/>
    <s v="Maharashtra"/>
    <x v="11"/>
    <x v="2"/>
    <s v="Computers"/>
    <n v="46927"/>
    <n v="55103.245120738618"/>
    <n v="4"/>
    <n v="20"/>
    <n v="176330.38438636358"/>
    <n v="187708"/>
    <n v="-11377.615613636415"/>
    <s v="COD"/>
    <x v="1"/>
    <m/>
    <n v="7"/>
    <n v="3"/>
    <x v="1"/>
  </r>
  <r>
    <s v="ORD00425"/>
    <d v="2023-06-20T00:00:00"/>
    <s v="CUST0213"/>
    <s v="Amit"/>
    <s v="Delhi"/>
    <s v="Delhi"/>
    <x v="2"/>
    <x v="1"/>
    <s v="Women"/>
    <n v="1923"/>
    <n v="3191.1228933315397"/>
    <n v="4"/>
    <n v="5"/>
    <n v="12126.266994659851"/>
    <n v="7692"/>
    <n v="4434.2669946598508"/>
    <s v="UPI"/>
    <x v="0"/>
    <d v="2023-06-28T00:00:00"/>
    <n v="4"/>
    <n v="4"/>
    <x v="0"/>
  </r>
  <r>
    <s v="ORD00937"/>
    <d v="2023-06-20T00:00:00"/>
    <s v="CUST0075"/>
    <s v="Ramesh"/>
    <s v="Bangalore"/>
    <s v="Karnataka"/>
    <x v="0"/>
    <x v="0"/>
    <s v="Kitchen"/>
    <n v="5829"/>
    <n v="10150.058883007026"/>
    <n v="4"/>
    <n v="10"/>
    <n v="36540.211978825297"/>
    <n v="23316"/>
    <n v="13224.211978825297"/>
    <s v="UPI"/>
    <x v="1"/>
    <m/>
    <n v="9"/>
    <n v="1"/>
    <x v="1"/>
  </r>
  <r>
    <s v="ORD00997"/>
    <d v="2023-06-20T00:00:00"/>
    <s v="CUST0129"/>
    <s v="Neha"/>
    <s v="Bangalore"/>
    <s v="Karnataka"/>
    <x v="10"/>
    <x v="2"/>
    <s v="Mobile"/>
    <n v="55928"/>
    <n v="90475.466048123693"/>
    <n v="1"/>
    <n v="20"/>
    <n v="72380.372838498952"/>
    <n v="55928"/>
    <n v="16452.372838498952"/>
    <s v="UPI"/>
    <x v="0"/>
    <d v="2023-06-30T00:00:00"/>
    <n v="3"/>
    <n v="3"/>
    <x v="0"/>
  </r>
  <r>
    <s v="ORD00095"/>
    <d v="2023-06-21T00:00:00"/>
    <s v="CUST0234"/>
    <s v="Deepika"/>
    <s v="Bangalore"/>
    <s v="Karnataka"/>
    <x v="4"/>
    <x v="1"/>
    <s v="Footwear"/>
    <n v="1403"/>
    <n v="1783.8078131232921"/>
    <n v="1"/>
    <n v="5"/>
    <n v="1694.6174224671274"/>
    <n v="1403"/>
    <n v="291.61742246712743"/>
    <s v="Debit Card"/>
    <x v="0"/>
    <d v="2023-06-28T00:00:00"/>
    <n v="3"/>
    <n v="2"/>
    <x v="0"/>
  </r>
  <r>
    <s v="ORD00754"/>
    <d v="2023-06-21T00:00:00"/>
    <s v="CUST0258"/>
    <s v="Arjun"/>
    <s v="Pune"/>
    <s v="Maharashtra"/>
    <x v="8"/>
    <x v="3"/>
    <s v="Fragrance"/>
    <n v="992"/>
    <n v="1068.7585705802608"/>
    <n v="2"/>
    <n v="15"/>
    <n v="1816.8895699864433"/>
    <n v="1984"/>
    <n v="-167.11043001355665"/>
    <s v="Credit Card"/>
    <x v="0"/>
    <d v="2023-07-02T00:00:00"/>
    <n v="6"/>
    <n v="4"/>
    <x v="2"/>
  </r>
  <r>
    <s v="ORD00837"/>
    <d v="2023-06-21T00:00:00"/>
    <s v="CUST0001"/>
    <s v="Kavya"/>
    <s v="Bangalore"/>
    <s v="Karnataka"/>
    <x v="9"/>
    <x v="2"/>
    <s v="TV"/>
    <n v="74611"/>
    <n v="98605.711994689802"/>
    <n v="3"/>
    <n v="0"/>
    <n v="295817.13598406943"/>
    <n v="223833"/>
    <n v="71984.135984069435"/>
    <s v="UPI"/>
    <x v="1"/>
    <m/>
    <n v="9"/>
    <n v="1"/>
    <x v="1"/>
  </r>
  <r>
    <s v="ORD01106"/>
    <d v="2023-06-21T00:00:00"/>
    <s v="CUST0154"/>
    <s v="Ramesh"/>
    <s v="Pune"/>
    <s v="Maharashtra"/>
    <x v="4"/>
    <x v="1"/>
    <s v="Footwear"/>
    <n v="1765"/>
    <n v="2696.2112553397546"/>
    <n v="3"/>
    <n v="15"/>
    <n v="6875.3387011163741"/>
    <n v="5295"/>
    <n v="1580.3387011163741"/>
    <s v="Credit Card"/>
    <x v="1"/>
    <m/>
    <n v="8"/>
    <n v="4"/>
    <x v="1"/>
  </r>
  <r>
    <s v="ORD00360"/>
    <d v="2023-06-22T00:00:00"/>
    <s v="CUST0185"/>
    <s v="Rohit"/>
    <s v="Mumbai"/>
    <s v="Maharashtra"/>
    <x v="6"/>
    <x v="1"/>
    <s v="Men"/>
    <n v="849"/>
    <n v="1006.2102063739239"/>
    <n v="3"/>
    <n v="5"/>
    <n v="2867.699088165683"/>
    <n v="2547"/>
    <n v="320.69908816568295"/>
    <s v="UPI"/>
    <x v="1"/>
    <m/>
    <n v="9"/>
    <n v="1"/>
    <x v="1"/>
  </r>
  <r>
    <s v="ORD00654"/>
    <d v="2023-06-22T00:00:00"/>
    <s v="CUST0197"/>
    <s v="Vikram"/>
    <s v="Hyderabad"/>
    <s v="Telangana"/>
    <x v="6"/>
    <x v="1"/>
    <s v="Men"/>
    <n v="941"/>
    <n v="1649.6001221726497"/>
    <n v="5"/>
    <n v="10"/>
    <n v="7423.2005497769233"/>
    <n v="4705"/>
    <n v="2718.2005497769233"/>
    <s v="Credit Card"/>
    <x v="1"/>
    <m/>
    <n v="10"/>
    <n v="1"/>
    <x v="1"/>
  </r>
  <r>
    <s v="ORD00124"/>
    <d v="2023-06-23T00:00:00"/>
    <s v="CUST0023"/>
    <s v="Arjun"/>
    <s v="Ahmedabad"/>
    <s v="Gujarat"/>
    <x v="8"/>
    <x v="3"/>
    <s v="Fragrance"/>
    <n v="954"/>
    <n v="1451.684170067012"/>
    <n v="5"/>
    <n v="0"/>
    <n v="7258.4208503350601"/>
    <n v="4770"/>
    <n v="2488.4208503350601"/>
    <s v="COD"/>
    <x v="1"/>
    <m/>
    <n v="10"/>
    <n v="1"/>
    <x v="1"/>
  </r>
  <r>
    <s v="ORD00278"/>
    <d v="2023-06-23T00:00:00"/>
    <s v="CUST0013"/>
    <s v="Pooja"/>
    <s v="Mumbai"/>
    <s v="Maharashtra"/>
    <x v="2"/>
    <x v="1"/>
    <s v="Women"/>
    <n v="1379"/>
    <n v="2403.1581304312313"/>
    <n v="2"/>
    <n v="15"/>
    <n v="4085.3688217330932"/>
    <n v="2758"/>
    <n v="1327.3688217330932"/>
    <s v="UPI"/>
    <x v="1"/>
    <m/>
    <n v="7"/>
    <n v="3"/>
    <x v="1"/>
  </r>
  <r>
    <s v="ORD00562"/>
    <d v="2023-06-23T00:00:00"/>
    <s v="CUST0104"/>
    <s v="Vikram"/>
    <s v="Bangalore"/>
    <s v="Karnataka"/>
    <x v="11"/>
    <x v="2"/>
    <s v="Computers"/>
    <n v="39262"/>
    <n v="48261.10456054203"/>
    <n v="5"/>
    <n v="20"/>
    <n v="193044.41824216815"/>
    <n v="196310"/>
    <n v="-3265.5817578318529"/>
    <s v="Debit Card"/>
    <x v="0"/>
    <d v="2023-07-02T00:00:00"/>
    <n v="3"/>
    <n v="3"/>
    <x v="0"/>
  </r>
  <r>
    <s v="ORD00650"/>
    <d v="2023-06-23T00:00:00"/>
    <s v="CUST0042"/>
    <s v="Neha"/>
    <s v="Chennai"/>
    <s v="Tamil Nadu"/>
    <x v="6"/>
    <x v="1"/>
    <s v="Men"/>
    <n v="1275"/>
    <n v="2225.5438811024364"/>
    <n v="3"/>
    <n v="10"/>
    <n v="6008.9684789765788"/>
    <n v="3825"/>
    <n v="2183.9684789765788"/>
    <s v="COD"/>
    <x v="1"/>
    <m/>
    <n v="9"/>
    <n v="1"/>
    <x v="1"/>
  </r>
  <r>
    <s v="ORD00407"/>
    <d v="2023-06-24T00:00:00"/>
    <s v="CUST0150"/>
    <s v="Rahul"/>
    <s v="Hyderabad"/>
    <s v="Telangana"/>
    <x v="1"/>
    <x v="1"/>
    <s v="Men"/>
    <n v="489"/>
    <n v="798.48707829335444"/>
    <n v="1"/>
    <n v="5"/>
    <n v="758.56272437868665"/>
    <n v="489"/>
    <n v="269.56272437868665"/>
    <s v="UPI"/>
    <x v="0"/>
    <d v="2023-07-01T00:00:00"/>
    <n v="3"/>
    <n v="2"/>
    <x v="0"/>
  </r>
  <r>
    <s v="ORD00512"/>
    <d v="2023-06-24T00:00:00"/>
    <s v="CUST0148"/>
    <s v="Rohit"/>
    <s v="Kolkata"/>
    <s v="West Bengal"/>
    <x v="3"/>
    <x v="2"/>
    <s v="Accessories"/>
    <n v="664"/>
    <n v="1082.8642965220197"/>
    <n v="3"/>
    <n v="10"/>
    <n v="2923.7336006094533"/>
    <n v="1992"/>
    <n v="931.73360060945333"/>
    <s v="COD"/>
    <x v="1"/>
    <m/>
    <n v="8"/>
    <n v="4"/>
    <x v="1"/>
  </r>
  <r>
    <s v="ORD00574"/>
    <d v="2023-06-24T00:00:00"/>
    <s v="CUST0193"/>
    <s v="Kavya"/>
    <s v="Pune"/>
    <s v="Maharashtra"/>
    <x v="0"/>
    <x v="0"/>
    <s v="Kitchen"/>
    <n v="3764"/>
    <n v="4883.0170334853783"/>
    <n v="1"/>
    <n v="5"/>
    <n v="4638.8661818111095"/>
    <n v="3764"/>
    <n v="874.86618181110953"/>
    <s v="UPI"/>
    <x v="0"/>
    <d v="2023-07-02T00:00:00"/>
    <n v="4"/>
    <n v="2"/>
    <x v="0"/>
  </r>
  <r>
    <s v="ORD00733"/>
    <d v="2023-06-24T00:00:00"/>
    <s v="CUST0050"/>
    <s v="Rahul"/>
    <s v="Hyderabad"/>
    <s v="Telangana"/>
    <x v="5"/>
    <x v="0"/>
    <s v="Furniture"/>
    <n v="30122"/>
    <n v="38933.501639558694"/>
    <n v="3"/>
    <n v="5"/>
    <n v="110960.47967274227"/>
    <n v="90366"/>
    <n v="20594.479672742265"/>
    <s v="Debit Card"/>
    <x v="0"/>
    <d v="2023-07-07T00:00:00"/>
    <n v="6"/>
    <n v="4"/>
    <x v="2"/>
  </r>
  <r>
    <s v="ORD00413"/>
    <d v="2023-06-25T00:00:00"/>
    <s v="CUST0054"/>
    <s v="Amit"/>
    <s v="Pune"/>
    <s v="Maharashtra"/>
    <x v="1"/>
    <x v="1"/>
    <s v="Men"/>
    <n v="745"/>
    <n v="1295.9403170111138"/>
    <n v="1"/>
    <n v="15"/>
    <n v="1101.5492694594468"/>
    <n v="745"/>
    <n v="356.5492694594468"/>
    <s v="UPI"/>
    <x v="0"/>
    <d v="2023-07-06T00:00:00"/>
    <n v="6"/>
    <n v="3"/>
    <x v="0"/>
  </r>
  <r>
    <s v="ORD00916"/>
    <d v="2023-06-25T00:00:00"/>
    <s v="CUST0027"/>
    <s v="Rohit"/>
    <s v="Pune"/>
    <s v="Maharashtra"/>
    <x v="3"/>
    <x v="2"/>
    <s v="Accessories"/>
    <n v="964"/>
    <n v="1716.822638269158"/>
    <n v="4"/>
    <n v="20"/>
    <n v="5493.8324424613056"/>
    <n v="3856"/>
    <n v="1637.8324424613056"/>
    <s v="Credit Card"/>
    <x v="0"/>
    <d v="2023-07-04T00:00:00"/>
    <n v="3"/>
    <n v="4"/>
    <x v="0"/>
  </r>
  <r>
    <s v="ORD01140"/>
    <d v="2023-06-25T00:00:00"/>
    <s v="CUST0050"/>
    <s v="Kavya"/>
    <s v="Bangalore"/>
    <s v="Karnataka"/>
    <x v="5"/>
    <x v="0"/>
    <s v="Furniture"/>
    <n v="20788"/>
    <n v="34977.610062696374"/>
    <n v="1"/>
    <n v="5"/>
    <n v="33228.729559561551"/>
    <n v="20788"/>
    <n v="12440.729559561551"/>
    <s v="COD"/>
    <x v="0"/>
    <d v="2023-07-03T00:00:00"/>
    <n v="5"/>
    <n v="3"/>
    <x v="0"/>
  </r>
  <r>
    <s v="ORD00728"/>
    <d v="2023-06-26T00:00:00"/>
    <s v="CUST0176"/>
    <s v="Kiran"/>
    <s v="Kolkata"/>
    <s v="West Bengal"/>
    <x v="5"/>
    <x v="0"/>
    <s v="Furniture"/>
    <n v="22266"/>
    <n v="38728.915617415529"/>
    <n v="1"/>
    <n v="15"/>
    <n v="32919.5782748032"/>
    <n v="22266"/>
    <n v="10653.5782748032"/>
    <s v="Credit Card"/>
    <x v="0"/>
    <d v="2023-07-07T00:00:00"/>
    <n v="6"/>
    <n v="4"/>
    <x v="2"/>
  </r>
  <r>
    <s v="ORD01187"/>
    <d v="2023-06-26T00:00:00"/>
    <s v="CUST0004"/>
    <s v="Kiran"/>
    <s v="Chennai"/>
    <s v="Tamil Nadu"/>
    <x v="1"/>
    <x v="1"/>
    <s v="Men"/>
    <n v="617"/>
    <n v="871.45276515317096"/>
    <n v="2"/>
    <n v="5"/>
    <n v="1655.7602537910248"/>
    <n v="1234"/>
    <n v="421.76025379102475"/>
    <s v="Credit Card"/>
    <x v="1"/>
    <m/>
    <n v="10"/>
    <n v="1"/>
    <x v="1"/>
  </r>
  <r>
    <s v="ORD00154"/>
    <d v="2023-06-27T00:00:00"/>
    <s v="CUST0247"/>
    <s v="Divya"/>
    <s v="Delhi"/>
    <s v="Delhi"/>
    <x v="7"/>
    <x v="3"/>
    <s v="Skincare"/>
    <n v="369"/>
    <n v="431.77835719391015"/>
    <n v="4"/>
    <n v="0"/>
    <n v="1727.1134287756406"/>
    <n v="1476"/>
    <n v="251.11342877564061"/>
    <s v="UPI"/>
    <x v="1"/>
    <m/>
    <n v="8"/>
    <n v="3"/>
    <x v="1"/>
  </r>
  <r>
    <s v="ORD00195"/>
    <d v="2023-06-27T00:00:00"/>
    <s v="CUST0260"/>
    <s v="Kavya"/>
    <s v="Pune"/>
    <s v="Maharashtra"/>
    <x v="2"/>
    <x v="1"/>
    <s v="Women"/>
    <n v="1215"/>
    <n v="1422.043871342099"/>
    <n v="4"/>
    <n v="5"/>
    <n v="5403.7667110999764"/>
    <n v="4860"/>
    <n v="543.76671109997642"/>
    <s v="COD"/>
    <x v="0"/>
    <d v="2023-07-07T00:00:00"/>
    <n v="4"/>
    <n v="2"/>
    <x v="0"/>
  </r>
  <r>
    <s v="ORD00237"/>
    <d v="2023-06-27T00:00:00"/>
    <s v="CUST0163"/>
    <s v="Priya"/>
    <s v="Chennai"/>
    <s v="Tamil Nadu"/>
    <x v="0"/>
    <x v="0"/>
    <s v="Kitchen"/>
    <n v="4032"/>
    <n v="5503.3616574732605"/>
    <n v="1"/>
    <n v="20"/>
    <n v="4402.6893259786084"/>
    <n v="4032"/>
    <n v="370.68932597860839"/>
    <s v="Credit Card"/>
    <x v="1"/>
    <m/>
    <n v="8"/>
    <n v="4"/>
    <x v="1"/>
  </r>
  <r>
    <s v="ORD00934"/>
    <d v="2023-06-27T00:00:00"/>
    <s v="CUST0127"/>
    <s v="Deepika"/>
    <s v="Mumbai"/>
    <s v="Maharashtra"/>
    <x v="7"/>
    <x v="3"/>
    <s v="Skincare"/>
    <n v="434"/>
    <n v="746.97550406114647"/>
    <n v="5"/>
    <n v="0"/>
    <n v="3734.8775203057321"/>
    <n v="2170"/>
    <n v="1564.8775203057321"/>
    <s v="Credit Card"/>
    <x v="0"/>
    <d v="2023-07-04T00:00:00"/>
    <n v="2"/>
    <n v="4"/>
    <x v="0"/>
  </r>
  <r>
    <s v="ORD00056"/>
    <d v="2023-06-28T00:00:00"/>
    <s v="CUST0066"/>
    <s v="Suresh"/>
    <s v="Pune"/>
    <s v="Maharashtra"/>
    <x v="0"/>
    <x v="0"/>
    <s v="Kitchen"/>
    <n v="6893"/>
    <n v="8527.1513427672144"/>
    <n v="3"/>
    <n v="20"/>
    <n v="20465.163222641317"/>
    <n v="20679"/>
    <n v="-213.83677735868332"/>
    <s v="COD"/>
    <x v="1"/>
    <m/>
    <n v="10"/>
    <n v="1"/>
    <x v="1"/>
  </r>
  <r>
    <s v="ORD00378"/>
    <d v="2023-06-28T00:00:00"/>
    <s v="CUST0170"/>
    <s v="Anjali"/>
    <s v="Hyderabad"/>
    <s v="Telangana"/>
    <x v="8"/>
    <x v="3"/>
    <s v="Fragrance"/>
    <n v="807"/>
    <n v="957.84156141596713"/>
    <n v="1"/>
    <n v="15"/>
    <n v="814.16532720357202"/>
    <n v="807"/>
    <n v="7.1653272035720192"/>
    <s v="Debit Card"/>
    <x v="0"/>
    <d v="2023-07-03T00:00:00"/>
    <n v="2"/>
    <n v="4"/>
    <x v="0"/>
  </r>
  <r>
    <s v="ORD00661"/>
    <d v="2023-06-28T00:00:00"/>
    <s v="CUST0009"/>
    <s v="Divya"/>
    <s v="Chennai"/>
    <s v="Tamil Nadu"/>
    <x v="6"/>
    <x v="1"/>
    <s v="Men"/>
    <n v="1448"/>
    <n v="1916.3418557761565"/>
    <n v="5"/>
    <n v="5"/>
    <n v="9102.6238149367418"/>
    <n v="7240"/>
    <n v="1862.6238149367418"/>
    <s v="Debit Card"/>
    <x v="0"/>
    <d v="2023-07-05T00:00:00"/>
    <n v="2"/>
    <n v="4"/>
    <x v="0"/>
  </r>
  <r>
    <s v="ORD00674"/>
    <d v="2023-06-28T00:00:00"/>
    <s v="CUST0230"/>
    <s v="Anjali"/>
    <s v="Bangalore"/>
    <s v="Karnataka"/>
    <x v="0"/>
    <x v="0"/>
    <s v="Kitchen"/>
    <n v="6670"/>
    <n v="11739.00264646016"/>
    <n v="3"/>
    <n v="5"/>
    <n v="33456.157542411449"/>
    <n v="20010"/>
    <n v="13446.157542411449"/>
    <s v="COD"/>
    <x v="1"/>
    <m/>
    <n v="10"/>
    <n v="1"/>
    <x v="1"/>
  </r>
  <r>
    <s v="ORD00881"/>
    <d v="2023-06-28T00:00:00"/>
    <s v="CUST0215"/>
    <s v="Kiran"/>
    <s v="Hyderabad"/>
    <s v="Telangana"/>
    <x v="5"/>
    <x v="0"/>
    <s v="Furniture"/>
    <n v="42433"/>
    <n v="52386.297908350243"/>
    <n v="5"/>
    <n v="20"/>
    <n v="209545.19163340097"/>
    <n v="212165"/>
    <n v="-2619.8083665990271"/>
    <s v="Credit Card"/>
    <x v="0"/>
    <d v="2023-07-09T00:00:00"/>
    <n v="6"/>
    <n v="3"/>
    <x v="0"/>
  </r>
  <r>
    <s v="ORD01127"/>
    <d v="2023-06-28T00:00:00"/>
    <s v="CUST0089"/>
    <s v="Priya"/>
    <s v="Kolkata"/>
    <s v="West Bengal"/>
    <x v="0"/>
    <x v="0"/>
    <s v="Kitchen"/>
    <n v="5163"/>
    <n v="8870.7434962823827"/>
    <n v="3"/>
    <n v="20"/>
    <n v="21289.784391077719"/>
    <n v="15489"/>
    <n v="5800.7843910777192"/>
    <s v="Debit Card"/>
    <x v="0"/>
    <d v="2023-07-05T00:00:00"/>
    <n v="1"/>
    <n v="5"/>
    <x v="0"/>
  </r>
  <r>
    <s v="ORD00018"/>
    <d v="2023-06-29T00:00:00"/>
    <s v="CUST0204"/>
    <s v="Swathi"/>
    <s v="Ahmedabad"/>
    <s v="Gujarat"/>
    <x v="8"/>
    <x v="3"/>
    <s v="Fragrance"/>
    <n v="738"/>
    <n v="874.70628792214313"/>
    <n v="1"/>
    <n v="10"/>
    <n v="787.23565912992888"/>
    <n v="738"/>
    <n v="49.235659129928877"/>
    <s v="Debit Card"/>
    <x v="0"/>
    <d v="2023-07-03T00:00:00"/>
    <n v="1"/>
    <n v="5"/>
    <x v="0"/>
  </r>
  <r>
    <s v="ORD00727"/>
    <d v="2023-06-29T00:00:00"/>
    <s v="CUST0212"/>
    <s v="Arjun"/>
    <s v="Ahmedabad"/>
    <s v="Gujarat"/>
    <x v="10"/>
    <x v="2"/>
    <s v="Mobile"/>
    <n v="65579"/>
    <n v="87048.077791302829"/>
    <n v="1"/>
    <n v="20"/>
    <n v="69638.462233042272"/>
    <n v="65579"/>
    <n v="4059.4622330422717"/>
    <s v="Credit Card"/>
    <x v="0"/>
    <d v="2023-07-08T00:00:00"/>
    <n v="4"/>
    <n v="4"/>
    <x v="0"/>
  </r>
  <r>
    <s v="ORD00899"/>
    <d v="2023-06-29T00:00:00"/>
    <s v="CUST0069"/>
    <s v="Amit"/>
    <s v="Delhi"/>
    <s v="Delhi"/>
    <x v="6"/>
    <x v="1"/>
    <s v="Men"/>
    <n v="1320"/>
    <n v="1465.0846021803102"/>
    <n v="2"/>
    <n v="0"/>
    <n v="2930.1692043606204"/>
    <n v="2640"/>
    <n v="290.16920436062037"/>
    <s v="Credit Card"/>
    <x v="1"/>
    <m/>
    <n v="9"/>
    <n v="1"/>
    <x v="1"/>
  </r>
  <r>
    <s v="ORD01046"/>
    <d v="2023-06-29T00:00:00"/>
    <s v="CUST0267"/>
    <s v="Nikhil"/>
    <s v="Bangalore"/>
    <s v="Karnataka"/>
    <x v="8"/>
    <x v="3"/>
    <s v="Fragrance"/>
    <n v="908"/>
    <n v="1153.9181726662682"/>
    <n v="1"/>
    <n v="5"/>
    <n v="1096.2222640329549"/>
    <n v="908"/>
    <n v="188.22226403295485"/>
    <s v="UPI"/>
    <x v="0"/>
    <d v="2023-07-05T00:00:00"/>
    <n v="1"/>
    <n v="5"/>
    <x v="0"/>
  </r>
  <r>
    <s v="ORD01111"/>
    <d v="2023-06-29T00:00:00"/>
    <s v="CUST0055"/>
    <s v="Manoj"/>
    <s v="Hyderabad"/>
    <s v="Telangana"/>
    <x v="2"/>
    <x v="1"/>
    <s v="Women"/>
    <n v="1366"/>
    <n v="1703.2584333878242"/>
    <n v="2"/>
    <n v="20"/>
    <n v="2725.2134934205187"/>
    <n v="2732"/>
    <n v="-6.7865065794812836"/>
    <s v="UPI"/>
    <x v="0"/>
    <d v="2023-07-09T00:00:00"/>
    <n v="4"/>
    <n v="3"/>
    <x v="0"/>
  </r>
  <r>
    <s v="ORD01170"/>
    <d v="2023-06-29T00:00:00"/>
    <s v="CUST0259"/>
    <s v="Divya"/>
    <s v="Kolkata"/>
    <s v="West Bengal"/>
    <x v="2"/>
    <x v="1"/>
    <s v="Women"/>
    <n v="502"/>
    <n v="737.32148884140486"/>
    <n v="4"/>
    <n v="20"/>
    <n v="2359.4287642924955"/>
    <n v="2008"/>
    <n v="351.42876429249554"/>
    <s v="UPI"/>
    <x v="0"/>
    <d v="2023-07-09T00:00:00"/>
    <n v="3"/>
    <n v="3"/>
    <x v="0"/>
  </r>
  <r>
    <s v="ORD01115"/>
    <d v="2023-06-30T00:00:00"/>
    <s v="CUST0104"/>
    <s v="Sneha"/>
    <s v="Delhi"/>
    <s v="Delhi"/>
    <x v="10"/>
    <x v="2"/>
    <s v="Mobile"/>
    <n v="66529"/>
    <n v="97303.485896967977"/>
    <n v="5"/>
    <n v="5"/>
    <n v="462191.55801059789"/>
    <n v="332645"/>
    <n v="129546.55801059789"/>
    <s v="COD"/>
    <x v="0"/>
    <d v="2023-07-09T00:00:00"/>
    <n v="6"/>
    <n v="3"/>
    <x v="0"/>
  </r>
  <r>
    <s v="ORD00699"/>
    <d v="2023-07-01T00:00:00"/>
    <s v="CUST0196"/>
    <s v="Arjun"/>
    <s v="Ahmedabad"/>
    <s v="Gujarat"/>
    <x v="0"/>
    <x v="0"/>
    <s v="Kitchen"/>
    <n v="5314"/>
    <n v="7061.2938534166915"/>
    <n v="3"/>
    <n v="10"/>
    <n v="19065.493404225068"/>
    <n v="15942"/>
    <n v="3123.4934042250679"/>
    <s v="Credit Card"/>
    <x v="0"/>
    <d v="2023-07-07T00:00:00"/>
    <n v="3"/>
    <n v="2"/>
    <x v="0"/>
  </r>
  <r>
    <s v="ORD00813"/>
    <d v="2023-07-01T00:00:00"/>
    <s v="CUST0113"/>
    <s v="Swathi"/>
    <s v="Ahmedabad"/>
    <s v="Gujarat"/>
    <x v="2"/>
    <x v="1"/>
    <s v="Women"/>
    <n v="645"/>
    <n v="706.49115742239155"/>
    <n v="2"/>
    <n v="20"/>
    <n v="1130.3858518758266"/>
    <n v="1290"/>
    <n v="-159.61414812417343"/>
    <s v="COD"/>
    <x v="1"/>
    <m/>
    <n v="8"/>
    <n v="3"/>
    <x v="1"/>
  </r>
  <r>
    <s v="ORD01089"/>
    <d v="2023-07-01T00:00:00"/>
    <s v="CUST0027"/>
    <s v="Priya"/>
    <s v="Delhi"/>
    <s v="Delhi"/>
    <x v="6"/>
    <x v="1"/>
    <s v="Men"/>
    <n v="857"/>
    <n v="1273.6143807872704"/>
    <n v="2"/>
    <n v="0"/>
    <n v="2547.2287615745408"/>
    <n v="1714"/>
    <n v="833.22876157454084"/>
    <s v="Credit Card"/>
    <x v="1"/>
    <m/>
    <n v="8"/>
    <n v="3"/>
    <x v="1"/>
  </r>
  <r>
    <s v="ORD00364"/>
    <d v="2023-07-02T00:00:00"/>
    <s v="CUST0081"/>
    <s v="Pooja"/>
    <s v="Hyderabad"/>
    <s v="Telangana"/>
    <x v="7"/>
    <x v="3"/>
    <s v="Skincare"/>
    <n v="592"/>
    <n v="979.32484973320277"/>
    <n v="3"/>
    <n v="5"/>
    <n v="2791.0758217396278"/>
    <n v="1776"/>
    <n v="1015.0758217396278"/>
    <s v="Debit Card"/>
    <x v="0"/>
    <d v="2023-07-10T00:00:00"/>
    <n v="1"/>
    <n v="4"/>
    <x v="0"/>
  </r>
  <r>
    <s v="ORD00301"/>
    <d v="2023-07-03T00:00:00"/>
    <s v="CUST0097"/>
    <s v="Suresh"/>
    <s v="Delhi"/>
    <s v="Delhi"/>
    <x v="5"/>
    <x v="0"/>
    <s v="Furniture"/>
    <n v="24340"/>
    <n v="38096.068219599474"/>
    <n v="5"/>
    <n v="0"/>
    <n v="190480.34109799739"/>
    <n v="121700"/>
    <n v="68780.341097997385"/>
    <s v="Credit Card"/>
    <x v="0"/>
    <d v="2023-07-12T00:00:00"/>
    <n v="4"/>
    <n v="3"/>
    <x v="0"/>
  </r>
  <r>
    <s v="ORD00159"/>
    <d v="2023-07-04T00:00:00"/>
    <s v="CUST0204"/>
    <s v="Swathi"/>
    <s v="Chennai"/>
    <s v="Tamil Nadu"/>
    <x v="11"/>
    <x v="2"/>
    <s v="Computers"/>
    <n v="45177"/>
    <n v="56391.195359021855"/>
    <n v="4"/>
    <n v="15"/>
    <n v="191730.06422067431"/>
    <n v="180708"/>
    <n v="11022.064220674307"/>
    <s v="COD"/>
    <x v="0"/>
    <d v="2023-07-11T00:00:00"/>
    <n v="1"/>
    <n v="4"/>
    <x v="0"/>
  </r>
  <r>
    <s v="ORD00208"/>
    <d v="2023-07-04T00:00:00"/>
    <s v="CUST0269"/>
    <s v="Deepika"/>
    <s v="Pune"/>
    <s v="Maharashtra"/>
    <x v="3"/>
    <x v="2"/>
    <s v="Accessories"/>
    <n v="634"/>
    <n v="975.19761136837462"/>
    <n v="5"/>
    <n v="5"/>
    <n v="4632.1886539997795"/>
    <n v="3170"/>
    <n v="1462.1886539997795"/>
    <s v="Debit Card"/>
    <x v="1"/>
    <m/>
    <n v="10"/>
    <n v="1"/>
    <x v="1"/>
  </r>
  <r>
    <s v="ORD00731"/>
    <d v="2023-07-04T00:00:00"/>
    <s v="CUST0071"/>
    <s v="Nikhil"/>
    <s v="Bangalore"/>
    <s v="Karnataka"/>
    <x v="8"/>
    <x v="3"/>
    <s v="Fragrance"/>
    <n v="917"/>
    <n v="1189.8730160198284"/>
    <n v="5"/>
    <n v="0"/>
    <n v="5949.3650800991418"/>
    <n v="4585"/>
    <n v="1364.3650800991418"/>
    <s v="Debit Card"/>
    <x v="0"/>
    <d v="2023-07-11T00:00:00"/>
    <n v="1"/>
    <n v="4"/>
    <x v="0"/>
  </r>
  <r>
    <s v="ORD00970"/>
    <d v="2023-07-04T00:00:00"/>
    <s v="CUST0099"/>
    <s v="Neha"/>
    <s v="Hyderabad"/>
    <s v="Telangana"/>
    <x v="6"/>
    <x v="1"/>
    <s v="Men"/>
    <n v="1418"/>
    <n v="1564.2584702922684"/>
    <n v="4"/>
    <n v="15"/>
    <n v="5318.4787989937122"/>
    <n v="5672"/>
    <n v="-353.52120100628781"/>
    <s v="Credit Card"/>
    <x v="0"/>
    <d v="2023-07-11T00:00:00"/>
    <n v="3"/>
    <n v="3"/>
    <x v="0"/>
  </r>
  <r>
    <s v="ORD01074"/>
    <d v="2023-07-04T00:00:00"/>
    <s v="CUST0277"/>
    <s v="Vikram"/>
    <s v="Hyderabad"/>
    <s v="Telangana"/>
    <x v="5"/>
    <x v="0"/>
    <s v="Furniture"/>
    <n v="30019"/>
    <n v="31713.976185761643"/>
    <n v="5"/>
    <n v="10"/>
    <n v="142712.8928359274"/>
    <n v="150095"/>
    <n v="-7382.1071640726004"/>
    <s v="Debit Card"/>
    <x v="0"/>
    <d v="2023-07-14T00:00:00"/>
    <n v="5"/>
    <n v="2"/>
    <x v="0"/>
  </r>
  <r>
    <s v="ORD00073"/>
    <d v="2023-07-05T00:00:00"/>
    <s v="CUST0069"/>
    <s v="Suresh"/>
    <s v="Bangalore"/>
    <s v="Karnataka"/>
    <x v="1"/>
    <x v="1"/>
    <s v="Men"/>
    <n v="341"/>
    <n v="442.91314450859289"/>
    <n v="5"/>
    <n v="0"/>
    <n v="2214.5657225429645"/>
    <n v="1705"/>
    <n v="509.56572254296452"/>
    <s v="COD"/>
    <x v="1"/>
    <m/>
    <n v="7"/>
    <n v="3"/>
    <x v="1"/>
  </r>
  <r>
    <s v="ORD00115"/>
    <d v="2023-07-05T00:00:00"/>
    <s v="CUST0195"/>
    <s v="Vikram"/>
    <s v="Chennai"/>
    <s v="Tamil Nadu"/>
    <x v="7"/>
    <x v="3"/>
    <s v="Skincare"/>
    <n v="248"/>
    <n v="378.14886229300629"/>
    <n v="5"/>
    <n v="0"/>
    <n v="1890.7443114650314"/>
    <n v="1240"/>
    <n v="650.74431146503139"/>
    <s v="Credit Card"/>
    <x v="1"/>
    <m/>
    <n v="9"/>
    <n v="1"/>
    <x v="1"/>
  </r>
  <r>
    <s v="ORD00559"/>
    <d v="2023-07-05T00:00:00"/>
    <s v="CUST0155"/>
    <s v="Sneha"/>
    <s v="Mumbai"/>
    <s v="Maharashtra"/>
    <x v="4"/>
    <x v="1"/>
    <s v="Footwear"/>
    <n v="1520"/>
    <n v="2090.313226537336"/>
    <n v="5"/>
    <n v="0"/>
    <n v="10451.566132686679"/>
    <n v="7600"/>
    <n v="2851.5661326866793"/>
    <s v="Credit Card"/>
    <x v="0"/>
    <d v="2023-07-12T00:00:00"/>
    <n v="4"/>
    <n v="4"/>
    <x v="0"/>
  </r>
  <r>
    <s v="ORD00707"/>
    <d v="2023-07-05T00:00:00"/>
    <s v="CUST0105"/>
    <s v="Ramesh"/>
    <s v="Chennai"/>
    <s v="Tamil Nadu"/>
    <x v="1"/>
    <x v="1"/>
    <s v="Men"/>
    <n v="575"/>
    <n v="829.59075678054796"/>
    <n v="2"/>
    <n v="5"/>
    <n v="1576.222437883041"/>
    <n v="1150"/>
    <n v="426.22243788304104"/>
    <s v="UPI"/>
    <x v="0"/>
    <d v="2023-07-13T00:00:00"/>
    <n v="5"/>
    <n v="3"/>
    <x v="0"/>
  </r>
  <r>
    <s v="ORD01030"/>
    <d v="2023-07-05T00:00:00"/>
    <s v="CUST0280"/>
    <s v="Kavya"/>
    <s v="Kolkata"/>
    <s v="West Bengal"/>
    <x v="3"/>
    <x v="2"/>
    <s v="Accessories"/>
    <n v="1453"/>
    <n v="1906.4388575820735"/>
    <n v="1"/>
    <n v="0"/>
    <n v="1906.4388575820735"/>
    <n v="1453"/>
    <n v="453.43885758207352"/>
    <s v="COD"/>
    <x v="1"/>
    <m/>
    <n v="8"/>
    <n v="2"/>
    <x v="1"/>
  </r>
  <r>
    <s v="ORD00014"/>
    <d v="2023-07-06T00:00:00"/>
    <s v="CUST0160"/>
    <s v="Rahul"/>
    <s v="Bangalore"/>
    <s v="Karnataka"/>
    <x v="8"/>
    <x v="3"/>
    <s v="Fragrance"/>
    <n v="963"/>
    <n v="1386.3718134401781"/>
    <n v="5"/>
    <n v="15"/>
    <n v="5892.0802071207563"/>
    <n v="4815"/>
    <n v="1077.0802071207563"/>
    <s v="COD"/>
    <x v="0"/>
    <d v="2023-07-16T00:00:00"/>
    <n v="3"/>
    <n v="2"/>
    <x v="0"/>
  </r>
  <r>
    <s v="ORD00106"/>
    <d v="2023-07-06T00:00:00"/>
    <s v="CUST0225"/>
    <s v="Divya"/>
    <s v="Delhi"/>
    <s v="Delhi"/>
    <x v="2"/>
    <x v="1"/>
    <s v="Women"/>
    <n v="909"/>
    <n v="1465.2545716573854"/>
    <n v="5"/>
    <n v="20"/>
    <n v="5861.0182866295427"/>
    <n v="4545"/>
    <n v="1316.0182866295427"/>
    <s v="UPI"/>
    <x v="0"/>
    <d v="2023-07-12T00:00:00"/>
    <n v="3"/>
    <n v="2"/>
    <x v="0"/>
  </r>
  <r>
    <s v="ORD00212"/>
    <d v="2023-07-06T00:00:00"/>
    <s v="CUST0255"/>
    <s v="Priya"/>
    <s v="Bangalore"/>
    <s v="Karnataka"/>
    <x v="0"/>
    <x v="0"/>
    <s v="Kitchen"/>
    <n v="3648"/>
    <n v="5339.8444703255473"/>
    <n v="2"/>
    <n v="20"/>
    <n v="8543.7511525208756"/>
    <n v="7296"/>
    <n v="1247.7511525208756"/>
    <s v="Credit Card"/>
    <x v="0"/>
    <d v="2023-07-18T00:00:00"/>
    <n v="7"/>
    <n v="4"/>
    <x v="2"/>
  </r>
  <r>
    <s v="ORD00875"/>
    <d v="2023-07-06T00:00:00"/>
    <s v="CUST0118"/>
    <s v="Arjun"/>
    <s v="Ahmedabad"/>
    <s v="Gujarat"/>
    <x v="3"/>
    <x v="2"/>
    <s v="Accessories"/>
    <n v="925"/>
    <n v="1363.5153165960414"/>
    <n v="3"/>
    <n v="10"/>
    <n v="3681.4913548093118"/>
    <n v="2775"/>
    <n v="906.49135480931182"/>
    <s v="Credit Card"/>
    <x v="0"/>
    <d v="2023-07-11T00:00:00"/>
    <n v="1"/>
    <n v="4"/>
    <x v="0"/>
  </r>
  <r>
    <s v="ORD00002"/>
    <d v="2023-07-07T00:00:00"/>
    <s v="CUST0229"/>
    <s v="Vikram"/>
    <s v="Ahmedabad"/>
    <s v="Gujarat"/>
    <x v="1"/>
    <x v="1"/>
    <s v="Men"/>
    <n v="589"/>
    <n v="930.66187750094196"/>
    <n v="3"/>
    <n v="5"/>
    <n v="2652.3863508776844"/>
    <n v="1767"/>
    <n v="885.38635087768444"/>
    <s v="Credit Card"/>
    <x v="0"/>
    <d v="2023-07-13T00:00:00"/>
    <n v="2"/>
    <n v="5"/>
    <x v="0"/>
  </r>
  <r>
    <s v="ORD00368"/>
    <d v="2023-07-07T00:00:00"/>
    <s v="CUST0116"/>
    <s v="Arjun"/>
    <s v="Ahmedabad"/>
    <s v="Gujarat"/>
    <x v="3"/>
    <x v="2"/>
    <s v="Accessories"/>
    <n v="1383"/>
    <n v="2073.9337210229155"/>
    <n v="4"/>
    <n v="20"/>
    <n v="6636.5879072733296"/>
    <n v="5532"/>
    <n v="1104.5879072733296"/>
    <s v="UPI"/>
    <x v="0"/>
    <d v="2023-07-14T00:00:00"/>
    <n v="2"/>
    <n v="5"/>
    <x v="0"/>
  </r>
  <r>
    <s v="ORD00390"/>
    <d v="2023-07-07T00:00:00"/>
    <s v="CUST0284"/>
    <s v="Ramesh"/>
    <s v="Kolkata"/>
    <s v="West Bengal"/>
    <x v="7"/>
    <x v="3"/>
    <s v="Skincare"/>
    <n v="385"/>
    <n v="585.65403778034033"/>
    <n v="4"/>
    <n v="20"/>
    <n v="1874.0929208970892"/>
    <n v="1540"/>
    <n v="334.09292089708924"/>
    <s v="COD"/>
    <x v="0"/>
    <d v="2023-07-14T00:00:00"/>
    <n v="1"/>
    <n v="5"/>
    <x v="0"/>
  </r>
  <r>
    <s v="ORD00403"/>
    <d v="2023-07-07T00:00:00"/>
    <s v="CUST0131"/>
    <s v="Rahul"/>
    <s v="Delhi"/>
    <s v="Delhi"/>
    <x v="9"/>
    <x v="2"/>
    <s v="TV"/>
    <n v="28047"/>
    <n v="47562.486889819003"/>
    <n v="1"/>
    <n v="15"/>
    <n v="40428.11385634615"/>
    <n v="28047"/>
    <n v="12381.11385634615"/>
    <s v="COD"/>
    <x v="1"/>
    <m/>
    <n v="8"/>
    <n v="4"/>
    <x v="1"/>
  </r>
  <r>
    <s v="ORD00520"/>
    <d v="2023-07-07T00:00:00"/>
    <s v="CUST0196"/>
    <s v="Vikram"/>
    <s v="Pune"/>
    <s v="Maharashtra"/>
    <x v="11"/>
    <x v="2"/>
    <s v="Computers"/>
    <n v="40612"/>
    <n v="67881.64092418713"/>
    <n v="3"/>
    <n v="0"/>
    <n v="203644.92277256137"/>
    <n v="121836"/>
    <n v="81808.922772561375"/>
    <s v="UPI"/>
    <x v="0"/>
    <d v="2023-07-15T00:00:00"/>
    <n v="2"/>
    <n v="5"/>
    <x v="0"/>
  </r>
  <r>
    <s v="ORD01026"/>
    <d v="2023-07-07T00:00:00"/>
    <s v="CUST0181"/>
    <s v="Priya"/>
    <s v="Chennai"/>
    <s v="Tamil Nadu"/>
    <x v="4"/>
    <x v="1"/>
    <s v="Footwear"/>
    <n v="1038"/>
    <n v="1117.7739269971948"/>
    <n v="5"/>
    <n v="15"/>
    <n v="4750.5391897380787"/>
    <n v="5190"/>
    <n v="-439.46081026192132"/>
    <s v="UPI"/>
    <x v="0"/>
    <d v="2023-07-18T00:00:00"/>
    <n v="6"/>
    <n v="3"/>
    <x v="0"/>
  </r>
  <r>
    <s v="ORD01109"/>
    <d v="2023-07-07T00:00:00"/>
    <s v="CUST0167"/>
    <s v="Rohit"/>
    <s v="Delhi"/>
    <s v="Delhi"/>
    <x v="7"/>
    <x v="3"/>
    <s v="Skincare"/>
    <n v="463"/>
    <n v="606.92573563342444"/>
    <n v="4"/>
    <n v="0"/>
    <n v="2427.7029425336978"/>
    <n v="1852"/>
    <n v="575.70294253369775"/>
    <s v="Credit Card"/>
    <x v="1"/>
    <m/>
    <n v="7"/>
    <n v="3"/>
    <x v="1"/>
  </r>
  <r>
    <s v="ORD00584"/>
    <d v="2023-07-08T00:00:00"/>
    <s v="CUST0273"/>
    <s v="Rahul"/>
    <s v="Mumbai"/>
    <s v="Maharashtra"/>
    <x v="4"/>
    <x v="1"/>
    <s v="Footwear"/>
    <n v="813"/>
    <n v="1334.0221296068507"/>
    <n v="3"/>
    <n v="10"/>
    <n v="3601.8597499384969"/>
    <n v="2439"/>
    <n v="1162.8597499384969"/>
    <s v="UPI"/>
    <x v="1"/>
    <m/>
    <n v="7"/>
    <n v="4"/>
    <x v="1"/>
  </r>
  <r>
    <s v="ORD00772"/>
    <d v="2023-07-08T00:00:00"/>
    <s v="CUST0108"/>
    <s v="Vikram"/>
    <s v="Bangalore"/>
    <s v="Karnataka"/>
    <x v="10"/>
    <x v="2"/>
    <s v="Mobile"/>
    <n v="89477"/>
    <n v="145397.24854298055"/>
    <n v="4"/>
    <n v="15"/>
    <n v="494350.64504613384"/>
    <n v="357908"/>
    <n v="136442.64504613384"/>
    <s v="Credit Card"/>
    <x v="0"/>
    <d v="2023-07-13T00:00:00"/>
    <n v="1"/>
    <n v="5"/>
    <x v="0"/>
  </r>
  <r>
    <s v="ORD00125"/>
    <d v="2023-07-09T00:00:00"/>
    <s v="CUST0273"/>
    <s v="Kavya"/>
    <s v="Pune"/>
    <s v="Maharashtra"/>
    <x v="5"/>
    <x v="0"/>
    <s v="Furniture"/>
    <n v="44371"/>
    <n v="48753.004276013082"/>
    <n v="1"/>
    <n v="10"/>
    <n v="43877.703848411773"/>
    <n v="44371"/>
    <n v="-493.29615158822708"/>
    <s v="UPI"/>
    <x v="1"/>
    <m/>
    <n v="7"/>
    <n v="2"/>
    <x v="1"/>
  </r>
  <r>
    <s v="ORD00464"/>
    <d v="2023-07-09T00:00:00"/>
    <s v="CUST0233"/>
    <s v="Priya"/>
    <s v="Pune"/>
    <s v="Maharashtra"/>
    <x v="10"/>
    <x v="2"/>
    <s v="Mobile"/>
    <n v="69526"/>
    <n v="117296.88860906452"/>
    <n v="2"/>
    <n v="5"/>
    <n v="222864.08835722259"/>
    <n v="139052"/>
    <n v="83812.088357222587"/>
    <s v="UPI"/>
    <x v="0"/>
    <d v="2023-07-18T00:00:00"/>
    <n v="5"/>
    <n v="2"/>
    <x v="0"/>
  </r>
  <r>
    <s v="ORD00588"/>
    <d v="2023-07-09T00:00:00"/>
    <s v="CUST0254"/>
    <s v="Priya"/>
    <s v="Hyderabad"/>
    <s v="Telangana"/>
    <x v="0"/>
    <x v="0"/>
    <s v="Kitchen"/>
    <n v="5594"/>
    <n v="8417.5260734339845"/>
    <n v="5"/>
    <n v="15"/>
    <n v="35774.485812094434"/>
    <n v="27970"/>
    <n v="7804.4858120944336"/>
    <s v="COD"/>
    <x v="1"/>
    <m/>
    <n v="10"/>
    <n v="1"/>
    <x v="1"/>
  </r>
  <r>
    <s v="ORD00892"/>
    <d v="2023-07-09T00:00:00"/>
    <s v="CUST0086"/>
    <s v="Arjun"/>
    <s v="Ahmedabad"/>
    <s v="Gujarat"/>
    <x v="4"/>
    <x v="1"/>
    <s v="Footwear"/>
    <n v="781"/>
    <n v="809.68001853253634"/>
    <n v="4"/>
    <n v="20"/>
    <n v="2590.9760593041165"/>
    <n v="3124"/>
    <n v="-533.02394069588354"/>
    <s v="COD"/>
    <x v="0"/>
    <d v="2023-07-18T00:00:00"/>
    <n v="4"/>
    <n v="4"/>
    <x v="0"/>
  </r>
  <r>
    <s v="ORD00361"/>
    <d v="2023-07-10T00:00:00"/>
    <s v="CUST0096"/>
    <s v="Priya"/>
    <s v="Bangalore"/>
    <s v="Karnataka"/>
    <x v="5"/>
    <x v="0"/>
    <s v="Furniture"/>
    <n v="48810"/>
    <n v="52587.032861540851"/>
    <n v="1"/>
    <n v="20"/>
    <n v="42069.626289232685"/>
    <n v="48810"/>
    <n v="-6740.3737107673151"/>
    <s v="Credit Card"/>
    <x v="1"/>
    <m/>
    <n v="10"/>
    <n v="1"/>
    <x v="1"/>
  </r>
  <r>
    <s v="ORD00537"/>
    <d v="2023-07-10T00:00:00"/>
    <s v="CUST0200"/>
    <s v="Priya"/>
    <s v="Hyderabad"/>
    <s v="Telangana"/>
    <x v="2"/>
    <x v="1"/>
    <s v="Women"/>
    <n v="864"/>
    <n v="1496.8445520535593"/>
    <n v="2"/>
    <n v="5"/>
    <n v="2844.0046489017623"/>
    <n v="1728"/>
    <n v="1116.0046489017623"/>
    <s v="Credit Card"/>
    <x v="0"/>
    <d v="2023-07-15T00:00:00"/>
    <n v="2"/>
    <n v="4"/>
    <x v="0"/>
  </r>
  <r>
    <s v="ORD00712"/>
    <d v="2023-07-10T00:00:00"/>
    <s v="CUST0264"/>
    <s v="Vikram"/>
    <s v="Pune"/>
    <s v="Maharashtra"/>
    <x v="7"/>
    <x v="3"/>
    <s v="Skincare"/>
    <n v="574"/>
    <n v="973.41232434575249"/>
    <n v="5"/>
    <n v="0"/>
    <n v="4867.0616217287625"/>
    <n v="2870"/>
    <n v="1997.0616217287625"/>
    <s v="Debit Card"/>
    <x v="0"/>
    <d v="2023-07-19T00:00:00"/>
    <n v="5"/>
    <n v="2"/>
    <x v="0"/>
  </r>
  <r>
    <s v="ORD00926"/>
    <d v="2023-07-10T00:00:00"/>
    <s v="CUST0104"/>
    <s v="Vikram"/>
    <s v="Delhi"/>
    <s v="Delhi"/>
    <x v="9"/>
    <x v="2"/>
    <s v="TV"/>
    <n v="36116"/>
    <n v="63907.217158235093"/>
    <n v="4"/>
    <n v="5"/>
    <n v="242847.42520129334"/>
    <n v="144464"/>
    <n v="98383.425201293343"/>
    <s v="COD"/>
    <x v="0"/>
    <d v="2023-07-16T00:00:00"/>
    <n v="3"/>
    <n v="4"/>
    <x v="0"/>
  </r>
  <r>
    <s v="ORD00622"/>
    <d v="2023-07-11T00:00:00"/>
    <s v="CUST0200"/>
    <s v="Suresh"/>
    <s v="Delhi"/>
    <s v="Delhi"/>
    <x v="1"/>
    <x v="1"/>
    <s v="Men"/>
    <n v="698"/>
    <n v="988.53838340340678"/>
    <n v="2"/>
    <n v="15"/>
    <n v="1680.5152517857914"/>
    <n v="1396"/>
    <n v="284.51525178579141"/>
    <s v="Credit Card"/>
    <x v="0"/>
    <d v="2023-07-22T00:00:00"/>
    <n v="5"/>
    <n v="2"/>
    <x v="0"/>
  </r>
  <r>
    <s v="ORD00492"/>
    <d v="2023-07-12T00:00:00"/>
    <s v="CUST0118"/>
    <s v="Neha"/>
    <s v="Kolkata"/>
    <s v="West Bengal"/>
    <x v="9"/>
    <x v="2"/>
    <s v="TV"/>
    <n v="45904"/>
    <n v="67109.328056699916"/>
    <n v="1"/>
    <n v="20"/>
    <n v="53687.462445359939"/>
    <n v="45904"/>
    <n v="7783.462445359939"/>
    <s v="Debit Card"/>
    <x v="1"/>
    <m/>
    <n v="7"/>
    <n v="4"/>
    <x v="1"/>
  </r>
  <r>
    <s v="ORD00160"/>
    <d v="2023-07-13T00:00:00"/>
    <s v="CUST0007"/>
    <s v="Rohit"/>
    <s v="Mumbai"/>
    <s v="Maharashtra"/>
    <x v="5"/>
    <x v="0"/>
    <s v="Furniture"/>
    <n v="56456"/>
    <n v="67612.534709917061"/>
    <n v="2"/>
    <n v="10"/>
    <n v="121702.56247785072"/>
    <n v="112912"/>
    <n v="8790.562477850719"/>
    <s v="COD"/>
    <x v="0"/>
    <d v="2023-07-24T00:00:00"/>
    <n v="4"/>
    <n v="4"/>
    <x v="0"/>
  </r>
  <r>
    <s v="ORD00366"/>
    <d v="2023-07-13T00:00:00"/>
    <s v="CUST0267"/>
    <s v="Arjun"/>
    <s v="Ahmedabad"/>
    <s v="Gujarat"/>
    <x v="5"/>
    <x v="0"/>
    <s v="Furniture"/>
    <n v="23891"/>
    <n v="41783.06298181165"/>
    <n v="4"/>
    <n v="10"/>
    <n v="150419.02673452193"/>
    <n v="95564"/>
    <n v="54855.026734521933"/>
    <s v="Debit Card"/>
    <x v="1"/>
    <m/>
    <n v="10"/>
    <n v="1"/>
    <x v="1"/>
  </r>
  <r>
    <s v="ORD00834"/>
    <d v="2023-07-13T00:00:00"/>
    <s v="CUST0207"/>
    <s v="Rahul"/>
    <s v="Hyderabad"/>
    <s v="Telangana"/>
    <x v="2"/>
    <x v="1"/>
    <s v="Women"/>
    <n v="967"/>
    <n v="1244.7404936790792"/>
    <n v="3"/>
    <n v="5"/>
    <n v="3547.510406985376"/>
    <n v="2901"/>
    <n v="646.51040698537599"/>
    <s v="Debit Card"/>
    <x v="0"/>
    <d v="2023-07-21T00:00:00"/>
    <n v="1"/>
    <n v="5"/>
    <x v="0"/>
  </r>
  <r>
    <s v="ORD00136"/>
    <d v="2023-07-14T00:00:00"/>
    <s v="CUST0146"/>
    <s v="Amit"/>
    <s v="Ahmedabad"/>
    <s v="Gujarat"/>
    <x v="3"/>
    <x v="2"/>
    <s v="Accessories"/>
    <n v="1681"/>
    <n v="2611.4592166070806"/>
    <n v="1"/>
    <n v="15"/>
    <n v="2219.7403341160184"/>
    <n v="1681"/>
    <n v="538.7403341160184"/>
    <s v="Credit Card"/>
    <x v="0"/>
    <d v="2023-07-26T00:00:00"/>
    <n v="8"/>
    <n v="4"/>
    <x v="2"/>
  </r>
  <r>
    <s v="ORD01002"/>
    <d v="2023-07-14T00:00:00"/>
    <s v="CUST0134"/>
    <s v="Anjali"/>
    <s v="Hyderabad"/>
    <s v="Telangana"/>
    <x v="3"/>
    <x v="2"/>
    <s v="Accessories"/>
    <n v="880"/>
    <n v="1351.9467201582743"/>
    <n v="1"/>
    <n v="5"/>
    <n v="1284.3493841503605"/>
    <n v="880"/>
    <n v="404.34938415036049"/>
    <s v="Debit Card"/>
    <x v="1"/>
    <m/>
    <n v="10"/>
    <n v="1"/>
    <x v="1"/>
  </r>
  <r>
    <s v="ORD00332"/>
    <d v="2023-07-15T00:00:00"/>
    <s v="CUST0274"/>
    <s v="Deepika"/>
    <s v="Delhi"/>
    <s v="Delhi"/>
    <x v="0"/>
    <x v="0"/>
    <s v="Kitchen"/>
    <n v="6154"/>
    <n v="6660.1488594594048"/>
    <n v="1"/>
    <n v="10"/>
    <n v="5994.1339735134643"/>
    <n v="6154"/>
    <n v="-159.8660264865357"/>
    <s v="Credit Card"/>
    <x v="1"/>
    <m/>
    <n v="7"/>
    <n v="4"/>
    <x v="1"/>
  </r>
  <r>
    <s v="ORD00591"/>
    <d v="2023-07-15T00:00:00"/>
    <s v="CUST0017"/>
    <s v="Kavya"/>
    <s v="Hyderabad"/>
    <s v="Telangana"/>
    <x v="3"/>
    <x v="2"/>
    <s v="Accessories"/>
    <n v="1358"/>
    <n v="1569.6600628699034"/>
    <n v="1"/>
    <n v="5"/>
    <n v="1491.1770597264081"/>
    <n v="1358"/>
    <n v="133.17705972640806"/>
    <s v="COD"/>
    <x v="0"/>
    <d v="2023-07-24T00:00:00"/>
    <n v="5"/>
    <n v="3"/>
    <x v="0"/>
  </r>
  <r>
    <s v="ORD00917"/>
    <d v="2023-07-16T00:00:00"/>
    <s v="CUST0139"/>
    <s v="Arjun"/>
    <s v="Pune"/>
    <s v="Maharashtra"/>
    <x v="2"/>
    <x v="1"/>
    <s v="Women"/>
    <n v="694"/>
    <n v="1030.7368102475245"/>
    <n v="2"/>
    <n v="20"/>
    <n v="1649.1788963960394"/>
    <n v="1388"/>
    <n v="261.17889639603936"/>
    <s v="Credit Card"/>
    <x v="0"/>
    <d v="2023-07-22T00:00:00"/>
    <n v="1"/>
    <n v="4"/>
    <x v="0"/>
  </r>
  <r>
    <s v="ORD01133"/>
    <d v="2023-07-16T00:00:00"/>
    <s v="CUST0077"/>
    <s v="Swathi"/>
    <s v="Ahmedabad"/>
    <s v="Gujarat"/>
    <x v="5"/>
    <x v="0"/>
    <s v="Furniture"/>
    <n v="46437"/>
    <n v="57950.718019703585"/>
    <n v="4"/>
    <n v="20"/>
    <n v="185442.29766305149"/>
    <n v="185748"/>
    <n v="-305.70233694851049"/>
    <s v="Credit Card"/>
    <x v="0"/>
    <d v="2023-07-27T00:00:00"/>
    <n v="4"/>
    <n v="4"/>
    <x v="0"/>
  </r>
  <r>
    <s v="ORD00896"/>
    <d v="2023-07-17T00:00:00"/>
    <s v="CUST0139"/>
    <s v="Kavya"/>
    <s v="Ahmedabad"/>
    <s v="Gujarat"/>
    <x v="11"/>
    <x v="2"/>
    <s v="Computers"/>
    <n v="30575"/>
    <n v="49191.031615084052"/>
    <n v="1"/>
    <n v="0"/>
    <n v="49191.031615084052"/>
    <n v="30575"/>
    <n v="18616.031615084052"/>
    <s v="Credit Card"/>
    <x v="1"/>
    <m/>
    <n v="8"/>
    <n v="2"/>
    <x v="1"/>
  </r>
  <r>
    <s v="ORD00078"/>
    <d v="2023-07-18T00:00:00"/>
    <s v="CUST0265"/>
    <s v="Kavya"/>
    <s v="Mumbai"/>
    <s v="Maharashtra"/>
    <x v="7"/>
    <x v="3"/>
    <s v="Skincare"/>
    <n v="578"/>
    <n v="1007.4856797346499"/>
    <n v="1"/>
    <n v="0"/>
    <n v="1007.4856797346499"/>
    <n v="578"/>
    <n v="429.48567973464992"/>
    <s v="Debit Card"/>
    <x v="0"/>
    <d v="2023-07-24T00:00:00"/>
    <n v="1"/>
    <n v="4"/>
    <x v="0"/>
  </r>
  <r>
    <s v="ORD00309"/>
    <d v="2023-07-18T00:00:00"/>
    <s v="CUST0168"/>
    <s v="Suresh"/>
    <s v="Mumbai"/>
    <s v="Maharashtra"/>
    <x v="6"/>
    <x v="1"/>
    <s v="Men"/>
    <n v="811"/>
    <n v="1032.0570861007884"/>
    <n v="2"/>
    <n v="20"/>
    <n v="1651.2913377612615"/>
    <n v="1622"/>
    <n v="29.291337761261502"/>
    <s v="Debit Card"/>
    <x v="0"/>
    <d v="2023-07-26T00:00:00"/>
    <n v="3"/>
    <n v="2"/>
    <x v="0"/>
  </r>
  <r>
    <s v="ORD00929"/>
    <d v="2023-07-19T00:00:00"/>
    <s v="CUST0221"/>
    <s v="Swathi"/>
    <s v="Bangalore"/>
    <s v="Karnataka"/>
    <x v="11"/>
    <x v="2"/>
    <s v="Computers"/>
    <n v="41535"/>
    <n v="71979.805936384451"/>
    <n v="5"/>
    <n v="0"/>
    <n v="359899.02968192229"/>
    <n v="207675"/>
    <n v="152224.02968192229"/>
    <s v="Debit Card"/>
    <x v="1"/>
    <m/>
    <n v="8"/>
    <n v="4"/>
    <x v="1"/>
  </r>
  <r>
    <s v="ORD01025"/>
    <d v="2023-07-19T00:00:00"/>
    <s v="CUST0178"/>
    <s v="Pooja"/>
    <s v="Mumbai"/>
    <s v="Maharashtra"/>
    <x v="4"/>
    <x v="1"/>
    <s v="Footwear"/>
    <n v="960"/>
    <n v="1551.8349918964211"/>
    <n v="4"/>
    <n v="5"/>
    <n v="5896.9729692064002"/>
    <n v="3840"/>
    <n v="2056.9729692064002"/>
    <s v="COD"/>
    <x v="0"/>
    <d v="2023-07-30T00:00:00"/>
    <n v="4"/>
    <n v="3"/>
    <x v="0"/>
  </r>
  <r>
    <s v="ORD00148"/>
    <d v="2023-07-20T00:00:00"/>
    <s v="CUST0033"/>
    <s v="Sneha"/>
    <s v="Bangalore"/>
    <s v="Karnataka"/>
    <x v="1"/>
    <x v="1"/>
    <s v="Men"/>
    <n v="259"/>
    <n v="341.34186789830096"/>
    <n v="4"/>
    <n v="5"/>
    <n v="1297.0990980135437"/>
    <n v="1036"/>
    <n v="261.09909801354365"/>
    <s v="UPI"/>
    <x v="1"/>
    <m/>
    <n v="10"/>
    <n v="1"/>
    <x v="1"/>
  </r>
  <r>
    <s v="ORD00957"/>
    <d v="2023-07-20T00:00:00"/>
    <s v="CUST0196"/>
    <s v="Nikhil"/>
    <s v="Chennai"/>
    <s v="Tamil Nadu"/>
    <x v="10"/>
    <x v="2"/>
    <s v="Mobile"/>
    <n v="59753"/>
    <n v="97879.746146491074"/>
    <n v="4"/>
    <n v="15"/>
    <n v="332791.13689806964"/>
    <n v="239012"/>
    <n v="93779.136898069642"/>
    <s v="COD"/>
    <x v="0"/>
    <d v="2023-07-28T00:00:00"/>
    <n v="3"/>
    <n v="2"/>
    <x v="0"/>
  </r>
  <r>
    <s v="ORD00960"/>
    <d v="2023-07-20T00:00:00"/>
    <s v="CUST0183"/>
    <s v="Swathi"/>
    <s v="Pune"/>
    <s v="Maharashtra"/>
    <x v="1"/>
    <x v="1"/>
    <s v="Men"/>
    <n v="738"/>
    <n v="742.71673922300386"/>
    <n v="4"/>
    <n v="20"/>
    <n v="2376.6935655136126"/>
    <n v="2952"/>
    <n v="-575.30643448638739"/>
    <s v="COD"/>
    <x v="1"/>
    <m/>
    <n v="7"/>
    <n v="4"/>
    <x v="1"/>
  </r>
  <r>
    <s v="ORD01128"/>
    <d v="2023-07-20T00:00:00"/>
    <s v="CUST0125"/>
    <s v="Swathi"/>
    <s v="Delhi"/>
    <s v="Delhi"/>
    <x v="1"/>
    <x v="1"/>
    <s v="Men"/>
    <n v="492"/>
    <n v="742.46985382066021"/>
    <n v="1"/>
    <n v="5"/>
    <n v="705.34636112962721"/>
    <n v="492"/>
    <n v="213.34636112962721"/>
    <s v="Debit Card"/>
    <x v="0"/>
    <d v="2023-07-26T00:00:00"/>
    <n v="1"/>
    <n v="4"/>
    <x v="0"/>
  </r>
  <r>
    <s v="ORD00087"/>
    <d v="2023-07-21T00:00:00"/>
    <s v="CUST0086"/>
    <s v="Sneha"/>
    <s v="Bangalore"/>
    <s v="Karnataka"/>
    <x v="5"/>
    <x v="0"/>
    <s v="Furniture"/>
    <n v="30045"/>
    <n v="52548.458489733646"/>
    <n v="5"/>
    <n v="10"/>
    <n v="236468.0632038014"/>
    <n v="150225"/>
    <n v="86243.063203801401"/>
    <s v="COD"/>
    <x v="0"/>
    <d v="2023-07-31T00:00:00"/>
    <n v="4"/>
    <n v="2"/>
    <x v="0"/>
  </r>
  <r>
    <s v="ORD00204"/>
    <d v="2023-07-21T00:00:00"/>
    <s v="CUST0238"/>
    <s v="Rohit"/>
    <s v="Pune"/>
    <s v="Maharashtra"/>
    <x v="10"/>
    <x v="2"/>
    <s v="Mobile"/>
    <n v="76368"/>
    <n v="130420.84975660598"/>
    <n v="1"/>
    <n v="0"/>
    <n v="130420.84975660598"/>
    <n v="76368"/>
    <n v="54052.849756605981"/>
    <s v="UPI"/>
    <x v="1"/>
    <m/>
    <n v="9"/>
    <n v="1"/>
    <x v="1"/>
  </r>
  <r>
    <s v="ORD00410"/>
    <d v="2023-07-21T00:00:00"/>
    <s v="CUST0176"/>
    <s v="Ramesh"/>
    <s v="Mumbai"/>
    <s v="Maharashtra"/>
    <x v="0"/>
    <x v="0"/>
    <s v="Kitchen"/>
    <n v="5651"/>
    <n v="8450.7289680213471"/>
    <n v="5"/>
    <n v="10"/>
    <n v="38028.28035609606"/>
    <n v="28255"/>
    <n v="9773.2803560960601"/>
    <s v="Debit Card"/>
    <x v="0"/>
    <d v="2023-07-30T00:00:00"/>
    <n v="4"/>
    <n v="2"/>
    <x v="0"/>
  </r>
  <r>
    <s v="ORD00816"/>
    <d v="2023-07-21T00:00:00"/>
    <s v="CUST0291"/>
    <s v="Deepika"/>
    <s v="Kolkata"/>
    <s v="West Bengal"/>
    <x v="8"/>
    <x v="3"/>
    <s v="Fragrance"/>
    <n v="761"/>
    <n v="979.5455103967189"/>
    <n v="4"/>
    <n v="20"/>
    <n v="3134.5456332695007"/>
    <n v="3044"/>
    <n v="90.54563326950074"/>
    <s v="Debit Card"/>
    <x v="1"/>
    <m/>
    <n v="7"/>
    <n v="4"/>
    <x v="1"/>
  </r>
  <r>
    <s v="ORD00064"/>
    <d v="2023-07-22T00:00:00"/>
    <s v="CUST0190"/>
    <s v="Suresh"/>
    <s v="Delhi"/>
    <s v="Delhi"/>
    <x v="10"/>
    <x v="2"/>
    <s v="Mobile"/>
    <n v="87785"/>
    <n v="131467.91870471727"/>
    <n v="3"/>
    <n v="5"/>
    <n v="374683.56830844417"/>
    <n v="263355"/>
    <n v="111328.56830844417"/>
    <s v="UPI"/>
    <x v="1"/>
    <m/>
    <n v="9"/>
    <n v="1"/>
    <x v="1"/>
  </r>
  <r>
    <s v="ORD00610"/>
    <d v="2023-07-22T00:00:00"/>
    <s v="CUST0093"/>
    <s v="Neha"/>
    <s v="Chennai"/>
    <s v="Tamil Nadu"/>
    <x v="0"/>
    <x v="0"/>
    <s v="Kitchen"/>
    <n v="6102"/>
    <n v="6216.4953307785308"/>
    <n v="5"/>
    <n v="20"/>
    <n v="24865.981323114127"/>
    <n v="30510"/>
    <n v="-5644.018676885873"/>
    <s v="Credit Card"/>
    <x v="0"/>
    <d v="2023-08-01T00:00:00"/>
    <n v="5"/>
    <n v="3"/>
    <x v="0"/>
  </r>
  <r>
    <s v="ORD00091"/>
    <d v="2023-07-23T00:00:00"/>
    <s v="CUST0227"/>
    <s v="Meena"/>
    <s v="Kolkata"/>
    <s v="West Bengal"/>
    <x v="11"/>
    <x v="2"/>
    <s v="Computers"/>
    <n v="49535"/>
    <n v="84574.685472780344"/>
    <n v="4"/>
    <n v="20"/>
    <n v="270638.99351289711"/>
    <n v="198140"/>
    <n v="72498.993512897112"/>
    <s v="UPI"/>
    <x v="1"/>
    <m/>
    <n v="8"/>
    <n v="3"/>
    <x v="1"/>
  </r>
  <r>
    <s v="ORD00405"/>
    <d v="2023-07-23T00:00:00"/>
    <s v="CUST0035"/>
    <s v="Arjun"/>
    <s v="Delhi"/>
    <s v="Delhi"/>
    <x v="9"/>
    <x v="2"/>
    <s v="TV"/>
    <n v="50837"/>
    <n v="61149.193098552598"/>
    <n v="5"/>
    <n v="0"/>
    <n v="305745.96549276297"/>
    <n v="254185"/>
    <n v="51560.965492762974"/>
    <s v="COD"/>
    <x v="0"/>
    <d v="2023-08-01T00:00:00"/>
    <n v="2"/>
    <n v="5"/>
    <x v="0"/>
  </r>
  <r>
    <s v="ORD00706"/>
    <d v="2023-07-23T00:00:00"/>
    <s v="CUST0119"/>
    <s v="Pooja"/>
    <s v="Delhi"/>
    <s v="Delhi"/>
    <x v="5"/>
    <x v="0"/>
    <s v="Furniture"/>
    <n v="24475"/>
    <n v="37193.870246471248"/>
    <n v="4"/>
    <n v="10"/>
    <n v="133897.93288729648"/>
    <n v="97900"/>
    <n v="35997.932887296483"/>
    <s v="Credit Card"/>
    <x v="0"/>
    <d v="2023-08-01T00:00:00"/>
    <n v="4"/>
    <n v="3"/>
    <x v="0"/>
  </r>
  <r>
    <s v="ORD00103"/>
    <d v="2023-07-24T00:00:00"/>
    <s v="CUST0243"/>
    <s v="Sneha"/>
    <s v="Mumbai"/>
    <s v="Maharashtra"/>
    <x v="10"/>
    <x v="2"/>
    <s v="Mobile"/>
    <n v="53377"/>
    <n v="71184.371553751014"/>
    <n v="3"/>
    <n v="20"/>
    <n v="170842.49172900245"/>
    <n v="160131"/>
    <n v="10711.491729002446"/>
    <s v="COD"/>
    <x v="0"/>
    <d v="2023-08-02T00:00:00"/>
    <n v="5"/>
    <n v="4"/>
    <x v="0"/>
  </r>
  <r>
    <s v="ORD00238"/>
    <d v="2023-07-24T00:00:00"/>
    <s v="CUST0167"/>
    <s v="Swathi"/>
    <s v="Mumbai"/>
    <s v="Maharashtra"/>
    <x v="1"/>
    <x v="1"/>
    <s v="Men"/>
    <n v="472"/>
    <n v="794.41573190998201"/>
    <n v="2"/>
    <n v="5"/>
    <n v="1509.3898906289658"/>
    <n v="944"/>
    <n v="565.38989062896576"/>
    <s v="Credit Card"/>
    <x v="0"/>
    <d v="2023-07-31T00:00:00"/>
    <n v="4"/>
    <n v="3"/>
    <x v="0"/>
  </r>
  <r>
    <s v="ORD00128"/>
    <d v="2023-07-25T00:00:00"/>
    <s v="CUST0230"/>
    <s v="Kiran"/>
    <s v="Pune"/>
    <s v="Maharashtra"/>
    <x v="5"/>
    <x v="0"/>
    <s v="Furniture"/>
    <n v="30886"/>
    <n v="51790.344675283704"/>
    <n v="4"/>
    <n v="10"/>
    <n v="186445.24083102134"/>
    <n v="123544"/>
    <n v="62901.240831021336"/>
    <s v="COD"/>
    <x v="0"/>
    <d v="2023-08-06T00:00:00"/>
    <n v="5"/>
    <n v="2"/>
    <x v="0"/>
  </r>
  <r>
    <s v="ORD00322"/>
    <d v="2023-07-25T00:00:00"/>
    <s v="CUST0131"/>
    <s v="Rahul"/>
    <s v="Chennai"/>
    <s v="Tamil Nadu"/>
    <x v="2"/>
    <x v="1"/>
    <s v="Women"/>
    <n v="1165"/>
    <n v="1221.6825341703473"/>
    <n v="1"/>
    <n v="0"/>
    <n v="1221.6825341703473"/>
    <n v="1165"/>
    <n v="56.682534170347253"/>
    <s v="UPI"/>
    <x v="1"/>
    <m/>
    <n v="7"/>
    <n v="2"/>
    <x v="1"/>
  </r>
  <r>
    <s v="ORD00441"/>
    <d v="2023-07-25T00:00:00"/>
    <s v="CUST0041"/>
    <s v="Rahul"/>
    <s v="Bangalore"/>
    <s v="Karnataka"/>
    <x v="1"/>
    <x v="1"/>
    <s v="Men"/>
    <n v="276"/>
    <n v="413.33853118233037"/>
    <n v="3"/>
    <n v="5"/>
    <n v="1178.0148138696416"/>
    <n v="828"/>
    <n v="350.01481386964156"/>
    <s v="COD"/>
    <x v="0"/>
    <d v="2023-08-01T00:00:00"/>
    <n v="3"/>
    <n v="3"/>
    <x v="0"/>
  </r>
  <r>
    <s v="ORD00606"/>
    <d v="2023-07-25T00:00:00"/>
    <s v="CUST0099"/>
    <s v="Meena"/>
    <s v="Kolkata"/>
    <s v="West Bengal"/>
    <x v="2"/>
    <x v="1"/>
    <s v="Women"/>
    <n v="663"/>
    <n v="976.56718370545229"/>
    <n v="2"/>
    <n v="20"/>
    <n v="1562.5074939287238"/>
    <n v="1326"/>
    <n v="236.50749392872376"/>
    <s v="UPI"/>
    <x v="0"/>
    <d v="2023-07-29T00:00:00"/>
    <n v="1"/>
    <n v="5"/>
    <x v="0"/>
  </r>
  <r>
    <s v="ORD00863"/>
    <d v="2023-07-25T00:00:00"/>
    <s v="CUST0024"/>
    <s v="Kiran"/>
    <s v="Bangalore"/>
    <s v="Karnataka"/>
    <x v="4"/>
    <x v="1"/>
    <s v="Footwear"/>
    <n v="1254"/>
    <n v="1901.5995704718498"/>
    <n v="4"/>
    <n v="15"/>
    <n v="6465.438539604289"/>
    <n v="5016"/>
    <n v="1449.438539604289"/>
    <s v="Debit Card"/>
    <x v="1"/>
    <m/>
    <n v="9"/>
    <n v="1"/>
    <x v="1"/>
  </r>
  <r>
    <s v="ORD00122"/>
    <d v="2023-07-26T00:00:00"/>
    <s v="CUST0074"/>
    <s v="Rohit"/>
    <s v="Bangalore"/>
    <s v="Karnataka"/>
    <x v="7"/>
    <x v="3"/>
    <s v="Skincare"/>
    <n v="564"/>
    <n v="939.19089747917405"/>
    <n v="2"/>
    <n v="20"/>
    <n v="1502.7054359666786"/>
    <n v="1128"/>
    <n v="374.70543596667858"/>
    <s v="Credit Card"/>
    <x v="0"/>
    <d v="2023-08-05T00:00:00"/>
    <n v="6"/>
    <n v="4"/>
    <x v="2"/>
  </r>
  <r>
    <s v="ORD00744"/>
    <d v="2023-07-26T00:00:00"/>
    <s v="CUST0259"/>
    <s v="Kavya"/>
    <s v="Hyderabad"/>
    <s v="Telangana"/>
    <x v="10"/>
    <x v="2"/>
    <s v="Mobile"/>
    <n v="66953"/>
    <n v="89463.343153855749"/>
    <n v="1"/>
    <n v="15"/>
    <n v="76043.84168077739"/>
    <n v="66953"/>
    <n v="9090.8416807773901"/>
    <s v="COD"/>
    <x v="0"/>
    <d v="2023-08-08T00:00:00"/>
    <n v="7"/>
    <n v="4"/>
    <x v="2"/>
  </r>
  <r>
    <s v="ORD00099"/>
    <d v="2023-07-27T00:00:00"/>
    <s v="CUST0063"/>
    <s v="Meena"/>
    <s v="Mumbai"/>
    <s v="Maharashtra"/>
    <x v="5"/>
    <x v="0"/>
    <s v="Furniture"/>
    <n v="39775"/>
    <n v="64246.653594731149"/>
    <n v="4"/>
    <n v="10"/>
    <n v="231287.95294103216"/>
    <n v="159100"/>
    <n v="72187.952941032156"/>
    <s v="Debit Card"/>
    <x v="0"/>
    <d v="2023-08-03T00:00:00"/>
    <n v="4"/>
    <n v="4"/>
    <x v="0"/>
  </r>
  <r>
    <s v="ORD00569"/>
    <d v="2023-07-27T00:00:00"/>
    <s v="CUST0295"/>
    <s v="Kavya"/>
    <s v="Bangalore"/>
    <s v="Karnataka"/>
    <x v="5"/>
    <x v="0"/>
    <s v="Furniture"/>
    <n v="56675"/>
    <n v="59423.697751952255"/>
    <n v="2"/>
    <n v="20"/>
    <n v="95077.916403123614"/>
    <n v="113350"/>
    <n v="-18272.083596876386"/>
    <s v="Debit Card"/>
    <x v="0"/>
    <d v="2023-08-05T00:00:00"/>
    <n v="6"/>
    <n v="2"/>
    <x v="0"/>
  </r>
  <r>
    <s v="ORD00710"/>
    <d v="2023-07-27T00:00:00"/>
    <s v="CUST0136"/>
    <s v="Neha"/>
    <s v="Ahmedabad"/>
    <s v="Gujarat"/>
    <x v="1"/>
    <x v="1"/>
    <s v="Men"/>
    <n v="302"/>
    <n v="336.84303684454022"/>
    <n v="3"/>
    <n v="0"/>
    <n v="1010.5291105336207"/>
    <n v="906"/>
    <n v="104.52911053362072"/>
    <s v="Credit Card"/>
    <x v="0"/>
    <d v="2023-08-02T00:00:00"/>
    <n v="1"/>
    <n v="4"/>
    <x v="0"/>
  </r>
  <r>
    <s v="ORD00939"/>
    <d v="2023-07-27T00:00:00"/>
    <s v="CUST0146"/>
    <s v="Pooja"/>
    <s v="Delhi"/>
    <s v="Delhi"/>
    <x v="1"/>
    <x v="1"/>
    <s v="Men"/>
    <n v="663"/>
    <n v="1047.4786623755363"/>
    <n v="4"/>
    <n v="20"/>
    <n v="3351.9317196017164"/>
    <n v="2652"/>
    <n v="699.9317196017164"/>
    <s v="Credit Card"/>
    <x v="1"/>
    <m/>
    <n v="10"/>
    <n v="1"/>
    <x v="1"/>
  </r>
  <r>
    <s v="ORD00456"/>
    <d v="2023-07-28T00:00:00"/>
    <s v="CUST0070"/>
    <s v="Anjali"/>
    <s v="Pune"/>
    <s v="Maharashtra"/>
    <x v="1"/>
    <x v="1"/>
    <s v="Men"/>
    <n v="392"/>
    <n v="614.34128809058598"/>
    <n v="3"/>
    <n v="20"/>
    <n v="1474.4190914174064"/>
    <n v="1176"/>
    <n v="298.41909141740643"/>
    <s v="Debit Card"/>
    <x v="1"/>
    <m/>
    <n v="8"/>
    <n v="3"/>
    <x v="1"/>
  </r>
  <r>
    <s v="ORD00655"/>
    <d v="2023-07-28T00:00:00"/>
    <s v="CUST0124"/>
    <s v="Divya"/>
    <s v="Bangalore"/>
    <s v="Karnataka"/>
    <x v="9"/>
    <x v="2"/>
    <s v="TV"/>
    <n v="29439"/>
    <n v="52472.603720547842"/>
    <n v="1"/>
    <n v="10"/>
    <n v="47225.343348493057"/>
    <n v="29439"/>
    <n v="17786.343348493057"/>
    <s v="UPI"/>
    <x v="0"/>
    <d v="2023-08-09T00:00:00"/>
    <n v="5"/>
    <n v="3"/>
    <x v="0"/>
  </r>
  <r>
    <s v="ORD00677"/>
    <d v="2023-07-28T00:00:00"/>
    <s v="CUST0249"/>
    <s v="Kavya"/>
    <s v="Kolkata"/>
    <s v="West Bengal"/>
    <x v="2"/>
    <x v="1"/>
    <s v="Women"/>
    <n v="971"/>
    <n v="1380.0719157098581"/>
    <n v="3"/>
    <n v="20"/>
    <n v="3312.1725977036594"/>
    <n v="2913"/>
    <n v="399.17259770365945"/>
    <s v="Debit Card"/>
    <x v="1"/>
    <m/>
    <n v="7"/>
    <n v="2"/>
    <x v="1"/>
  </r>
  <r>
    <s v="ORD00722"/>
    <d v="2023-07-28T00:00:00"/>
    <s v="CUST0208"/>
    <s v="Rahul"/>
    <s v="Pune"/>
    <s v="Maharashtra"/>
    <x v="9"/>
    <x v="2"/>
    <s v="TV"/>
    <n v="73082"/>
    <n v="88859.302781489969"/>
    <n v="1"/>
    <n v="5"/>
    <n v="84416.33764241547"/>
    <n v="73082"/>
    <n v="11334.33764241547"/>
    <s v="Credit Card"/>
    <x v="1"/>
    <m/>
    <n v="7"/>
    <n v="3"/>
    <x v="1"/>
  </r>
  <r>
    <s v="ORD00534"/>
    <d v="2023-07-29T00:00:00"/>
    <s v="CUST0234"/>
    <s v="Pooja"/>
    <s v="Delhi"/>
    <s v="Delhi"/>
    <x v="3"/>
    <x v="2"/>
    <s v="Accessories"/>
    <n v="1317"/>
    <n v="1360.6555486612383"/>
    <n v="2"/>
    <n v="0"/>
    <n v="2721.3110973224766"/>
    <n v="2634"/>
    <n v="87.311097322476598"/>
    <s v="UPI"/>
    <x v="0"/>
    <d v="2023-08-07T00:00:00"/>
    <n v="5"/>
    <n v="3"/>
    <x v="0"/>
  </r>
  <r>
    <s v="ORD00521"/>
    <d v="2023-07-30T00:00:00"/>
    <s v="CUST0299"/>
    <s v="Swathi"/>
    <s v="Chennai"/>
    <s v="Tamil Nadu"/>
    <x v="11"/>
    <x v="2"/>
    <s v="Computers"/>
    <n v="31395"/>
    <n v="45336.371336491917"/>
    <n v="5"/>
    <n v="10"/>
    <n v="204013.67101421364"/>
    <n v="156975"/>
    <n v="47038.671014213644"/>
    <s v="UPI"/>
    <x v="1"/>
    <m/>
    <n v="9"/>
    <n v="1"/>
    <x v="1"/>
  </r>
  <r>
    <s v="ORD00861"/>
    <d v="2023-07-30T00:00:00"/>
    <s v="CUST0018"/>
    <s v="Neha"/>
    <s v="Ahmedabad"/>
    <s v="Gujarat"/>
    <x v="10"/>
    <x v="2"/>
    <s v="Mobile"/>
    <n v="89288"/>
    <n v="119315.90712094565"/>
    <n v="4"/>
    <n v="0"/>
    <n v="477263.62848378258"/>
    <n v="357152"/>
    <n v="120111.62848378258"/>
    <s v="Debit Card"/>
    <x v="0"/>
    <d v="2023-08-06T00:00:00"/>
    <n v="2"/>
    <n v="4"/>
    <x v="0"/>
  </r>
  <r>
    <s v="ORD00164"/>
    <d v="2023-08-01T00:00:00"/>
    <s v="CUST0017"/>
    <s v="Meena"/>
    <s v="Mumbai"/>
    <s v="Maharashtra"/>
    <x v="1"/>
    <x v="1"/>
    <s v="Men"/>
    <n v="282"/>
    <n v="311.57742610564111"/>
    <n v="4"/>
    <n v="15"/>
    <n v="1059.3632487591797"/>
    <n v="1128"/>
    <n v="-68.636751240820331"/>
    <s v="Debit Card"/>
    <x v="0"/>
    <d v="2023-08-10T00:00:00"/>
    <n v="4"/>
    <n v="3"/>
    <x v="0"/>
  </r>
  <r>
    <s v="ORD00806"/>
    <d v="2023-08-01T00:00:00"/>
    <s v="CUST0154"/>
    <s v="Rahul"/>
    <s v="Chennai"/>
    <s v="Tamil Nadu"/>
    <x v="4"/>
    <x v="1"/>
    <s v="Footwear"/>
    <n v="2564"/>
    <n v="4497.4759112790443"/>
    <n v="2"/>
    <n v="20"/>
    <n v="7195.9614580464713"/>
    <n v="5128"/>
    <n v="2067.9614580464713"/>
    <s v="Credit Card"/>
    <x v="1"/>
    <m/>
    <n v="10"/>
    <n v="1"/>
    <x v="1"/>
  </r>
  <r>
    <s v="ORD00051"/>
    <d v="2023-08-02T00:00:00"/>
    <s v="CUST0063"/>
    <s v="Vikram"/>
    <s v="Chennai"/>
    <s v="Tamil Nadu"/>
    <x v="3"/>
    <x v="2"/>
    <s v="Accessories"/>
    <n v="1797"/>
    <n v="2645.7942720735537"/>
    <n v="5"/>
    <n v="10"/>
    <n v="11906.074224330992"/>
    <n v="8985"/>
    <n v="2921.0742243309924"/>
    <s v="UPI"/>
    <x v="0"/>
    <d v="2023-08-12T00:00:00"/>
    <n v="6"/>
    <n v="3"/>
    <x v="0"/>
  </r>
  <r>
    <s v="ORD00460"/>
    <d v="2023-08-02T00:00:00"/>
    <s v="CUST0244"/>
    <s v="Kiran"/>
    <s v="Bangalore"/>
    <s v="Karnataka"/>
    <x v="5"/>
    <x v="0"/>
    <s v="Furniture"/>
    <n v="32294"/>
    <n v="49311.004003455339"/>
    <n v="3"/>
    <n v="5"/>
    <n v="140536.36140984771"/>
    <n v="96882"/>
    <n v="43654.361409847712"/>
    <s v="COD"/>
    <x v="0"/>
    <d v="2023-08-09T00:00:00"/>
    <n v="2"/>
    <n v="4"/>
    <x v="0"/>
  </r>
  <r>
    <s v="ORD00580"/>
    <d v="2023-08-02T00:00:00"/>
    <s v="CUST0254"/>
    <s v="Vikram"/>
    <s v="Chennai"/>
    <s v="Tamil Nadu"/>
    <x v="8"/>
    <x v="3"/>
    <s v="Fragrance"/>
    <n v="658"/>
    <n v="1029.4418656797818"/>
    <n v="3"/>
    <n v="15"/>
    <n v="2625.0767574834435"/>
    <n v="1974"/>
    <n v="651.07675748344354"/>
    <s v="COD"/>
    <x v="0"/>
    <d v="2023-08-11T00:00:00"/>
    <n v="2"/>
    <n v="4"/>
    <x v="0"/>
  </r>
  <r>
    <s v="ORD00864"/>
    <d v="2023-08-02T00:00:00"/>
    <s v="CUST0264"/>
    <s v="Neha"/>
    <s v="Bangalore"/>
    <s v="Karnataka"/>
    <x v="8"/>
    <x v="3"/>
    <s v="Fragrance"/>
    <n v="888"/>
    <n v="1036.267453984615"/>
    <n v="1"/>
    <n v="5"/>
    <n v="984.45408128538418"/>
    <n v="888"/>
    <n v="96.454081285384177"/>
    <s v="COD"/>
    <x v="0"/>
    <d v="2023-08-08T00:00:00"/>
    <n v="2"/>
    <n v="5"/>
    <x v="0"/>
  </r>
  <r>
    <s v="ORD00114"/>
    <d v="2023-08-03T00:00:00"/>
    <s v="CUST0254"/>
    <s v="Vikram"/>
    <s v="Hyderabad"/>
    <s v="Telangana"/>
    <x v="2"/>
    <x v="1"/>
    <s v="Women"/>
    <n v="1390"/>
    <n v="1870.4754195299367"/>
    <n v="4"/>
    <n v="10"/>
    <n v="6733.7115103077722"/>
    <n v="5560"/>
    <n v="1173.7115103077722"/>
    <s v="COD"/>
    <x v="1"/>
    <m/>
    <n v="10"/>
    <n v="1"/>
    <x v="1"/>
  </r>
  <r>
    <s v="ORD00158"/>
    <d v="2023-08-03T00:00:00"/>
    <s v="CUST0061"/>
    <s v="Arjun"/>
    <s v="Ahmedabad"/>
    <s v="Gujarat"/>
    <x v="7"/>
    <x v="3"/>
    <s v="Skincare"/>
    <n v="566"/>
    <n v="691.90194835892532"/>
    <n v="4"/>
    <n v="15"/>
    <n v="2352.4666244203459"/>
    <n v="2264"/>
    <n v="88.466624420345852"/>
    <s v="Credit Card"/>
    <x v="1"/>
    <m/>
    <n v="8"/>
    <n v="4"/>
    <x v="1"/>
  </r>
  <r>
    <s v="ORD00994"/>
    <d v="2023-08-03T00:00:00"/>
    <s v="CUST0080"/>
    <s v="Neha"/>
    <s v="Hyderabad"/>
    <s v="Telangana"/>
    <x v="6"/>
    <x v="1"/>
    <s v="Men"/>
    <n v="1288"/>
    <n v="1943.1326765493175"/>
    <n v="4"/>
    <n v="15"/>
    <n v="6606.6511002676789"/>
    <n v="5152"/>
    <n v="1454.6511002676789"/>
    <s v="COD"/>
    <x v="1"/>
    <m/>
    <n v="8"/>
    <n v="4"/>
    <x v="1"/>
  </r>
  <r>
    <s v="ORD01038"/>
    <d v="2023-08-03T00:00:00"/>
    <s v="CUST0258"/>
    <s v="Priya"/>
    <s v="Ahmedabad"/>
    <s v="Gujarat"/>
    <x v="8"/>
    <x v="3"/>
    <s v="Fragrance"/>
    <n v="582"/>
    <n v="705.44670454545258"/>
    <n v="1"/>
    <n v="20"/>
    <n v="564.35736363636204"/>
    <n v="582"/>
    <n v="-17.642636363637962"/>
    <s v="Credit Card"/>
    <x v="0"/>
    <d v="2023-08-11T00:00:00"/>
    <n v="5"/>
    <n v="3"/>
    <x v="0"/>
  </r>
  <r>
    <s v="ORD00669"/>
    <d v="2023-08-04T00:00:00"/>
    <s v="CUST0011"/>
    <s v="Nikhil"/>
    <s v="Kolkata"/>
    <s v="West Bengal"/>
    <x v="4"/>
    <x v="1"/>
    <s v="Footwear"/>
    <n v="2135"/>
    <n v="3430.1449852267119"/>
    <n v="1"/>
    <n v="15"/>
    <n v="2915.623237442705"/>
    <n v="2135"/>
    <n v="780.62323744270498"/>
    <s v="Debit Card"/>
    <x v="0"/>
    <d v="2023-08-13T00:00:00"/>
    <n v="2"/>
    <n v="4"/>
    <x v="0"/>
  </r>
  <r>
    <s v="ORD00859"/>
    <d v="2023-08-04T00:00:00"/>
    <s v="CUST0214"/>
    <s v="Rahul"/>
    <s v="Bangalore"/>
    <s v="Karnataka"/>
    <x v="3"/>
    <x v="2"/>
    <s v="Accessories"/>
    <n v="923"/>
    <n v="972.88081575804279"/>
    <n v="3"/>
    <n v="15"/>
    <n v="2480.8460801830088"/>
    <n v="2769"/>
    <n v="-288.15391981699122"/>
    <s v="COD"/>
    <x v="0"/>
    <d v="2023-08-12T00:00:00"/>
    <n v="5"/>
    <n v="2"/>
    <x v="0"/>
  </r>
  <r>
    <s v="ORD00865"/>
    <d v="2023-08-04T00:00:00"/>
    <s v="CUST0016"/>
    <s v="Amit"/>
    <s v="Mumbai"/>
    <s v="Maharashtra"/>
    <x v="8"/>
    <x v="3"/>
    <s v="Fragrance"/>
    <n v="981"/>
    <n v="1222.4215498636725"/>
    <n v="1"/>
    <n v="20"/>
    <n v="977.93723989093803"/>
    <n v="981"/>
    <n v="-3.0627601090619692"/>
    <s v="Credit Card"/>
    <x v="1"/>
    <m/>
    <n v="10"/>
    <n v="1"/>
    <x v="1"/>
  </r>
  <r>
    <s v="ORD00210"/>
    <d v="2023-08-05T00:00:00"/>
    <s v="CUST0026"/>
    <s v="Nikhil"/>
    <s v="Ahmedabad"/>
    <s v="Gujarat"/>
    <x v="0"/>
    <x v="0"/>
    <s v="Kitchen"/>
    <n v="5814"/>
    <n v="8495.8179382413709"/>
    <n v="1"/>
    <n v="20"/>
    <n v="6796.6543505930968"/>
    <n v="5814"/>
    <n v="982.65435059309675"/>
    <s v="COD"/>
    <x v="0"/>
    <d v="2023-08-10T00:00:00"/>
    <n v="2"/>
    <n v="5"/>
    <x v="0"/>
  </r>
  <r>
    <s v="ORD00269"/>
    <d v="2023-08-05T00:00:00"/>
    <s v="CUST0243"/>
    <s v="Rahul"/>
    <s v="Pune"/>
    <s v="Maharashtra"/>
    <x v="5"/>
    <x v="0"/>
    <s v="Furniture"/>
    <n v="52284"/>
    <n v="82542.930385566549"/>
    <n v="1"/>
    <n v="5"/>
    <n v="78415.783866288213"/>
    <n v="52284"/>
    <n v="26131.783866288213"/>
    <s v="COD"/>
    <x v="0"/>
    <d v="2023-08-11T00:00:00"/>
    <n v="3"/>
    <n v="3"/>
    <x v="0"/>
  </r>
  <r>
    <s v="ORD00358"/>
    <d v="2023-08-05T00:00:00"/>
    <s v="CUST0075"/>
    <s v="Anjali"/>
    <s v="Chennai"/>
    <s v="Tamil Nadu"/>
    <x v="2"/>
    <x v="1"/>
    <s v="Women"/>
    <n v="1968"/>
    <n v="2387.7637834500269"/>
    <n v="2"/>
    <n v="5"/>
    <n v="4536.7511885550512"/>
    <n v="3936"/>
    <n v="600.75118855505116"/>
    <s v="UPI"/>
    <x v="0"/>
    <d v="2023-08-12T00:00:00"/>
    <n v="3"/>
    <n v="4"/>
    <x v="0"/>
  </r>
  <r>
    <s v="ORD00402"/>
    <d v="2023-08-05T00:00:00"/>
    <s v="CUST0223"/>
    <s v="Deepika"/>
    <s v="Chennai"/>
    <s v="Tamil Nadu"/>
    <x v="6"/>
    <x v="1"/>
    <s v="Men"/>
    <n v="1038"/>
    <n v="1847.0558232493274"/>
    <n v="3"/>
    <n v="0"/>
    <n v="5541.1674697479821"/>
    <n v="3114"/>
    <n v="2427.1674697479821"/>
    <s v="UPI"/>
    <x v="0"/>
    <d v="2023-08-15T00:00:00"/>
    <n v="6"/>
    <n v="3"/>
    <x v="0"/>
  </r>
  <r>
    <s v="ORD00541"/>
    <d v="2023-08-05T00:00:00"/>
    <s v="CUST0050"/>
    <s v="Pooja"/>
    <s v="Hyderabad"/>
    <s v="Telangana"/>
    <x v="11"/>
    <x v="2"/>
    <s v="Computers"/>
    <n v="32864"/>
    <n v="54510.843814008171"/>
    <n v="4"/>
    <n v="0"/>
    <n v="218043.37525603268"/>
    <n v="131456"/>
    <n v="86587.375256032683"/>
    <s v="UPI"/>
    <x v="0"/>
    <d v="2023-08-15T00:00:00"/>
    <n v="5"/>
    <n v="3"/>
    <x v="0"/>
  </r>
  <r>
    <s v="ORD00648"/>
    <d v="2023-08-05T00:00:00"/>
    <s v="CUST0188"/>
    <s v="Suresh"/>
    <s v="Bangalore"/>
    <s v="Karnataka"/>
    <x v="2"/>
    <x v="1"/>
    <s v="Women"/>
    <n v="1163"/>
    <n v="2000.514701632183"/>
    <n v="4"/>
    <n v="0"/>
    <n v="8002.058806528732"/>
    <n v="4652"/>
    <n v="3350.058806528732"/>
    <s v="Debit Card"/>
    <x v="1"/>
    <m/>
    <n v="10"/>
    <n v="1"/>
    <x v="1"/>
  </r>
  <r>
    <s v="ORD00769"/>
    <d v="2023-08-05T00:00:00"/>
    <s v="CUST0241"/>
    <s v="Arjun"/>
    <s v="Ahmedabad"/>
    <s v="Gujarat"/>
    <x v="9"/>
    <x v="2"/>
    <s v="TV"/>
    <n v="35462"/>
    <n v="59959.728440435902"/>
    <n v="5"/>
    <n v="10"/>
    <n v="269818.77798196161"/>
    <n v="177310"/>
    <n v="92508.777981961612"/>
    <s v="Credit Card"/>
    <x v="0"/>
    <d v="2023-08-13T00:00:00"/>
    <n v="1"/>
    <n v="4"/>
    <x v="0"/>
  </r>
  <r>
    <s v="ORD00770"/>
    <d v="2023-08-05T00:00:00"/>
    <s v="CUST0100"/>
    <s v="Divya"/>
    <s v="Mumbai"/>
    <s v="Maharashtra"/>
    <x v="9"/>
    <x v="2"/>
    <s v="TV"/>
    <n v="51795"/>
    <n v="62609.352956722047"/>
    <n v="4"/>
    <n v="15"/>
    <n v="212871.80005285496"/>
    <n v="207180"/>
    <n v="5691.8000528549601"/>
    <s v="UPI"/>
    <x v="0"/>
    <d v="2023-08-11T00:00:00"/>
    <n v="3"/>
    <n v="3"/>
    <x v="0"/>
  </r>
  <r>
    <s v="ORD00922"/>
    <d v="2023-08-05T00:00:00"/>
    <s v="CUST0044"/>
    <s v="Kiran"/>
    <s v="Chennai"/>
    <s v="Tamil Nadu"/>
    <x v="7"/>
    <x v="3"/>
    <s v="Skincare"/>
    <n v="437"/>
    <n v="660.61776198559824"/>
    <n v="2"/>
    <n v="15"/>
    <n v="1123.050195375517"/>
    <n v="874"/>
    <n v="249.05019537551698"/>
    <s v="COD"/>
    <x v="0"/>
    <d v="2023-08-15T00:00:00"/>
    <n v="3"/>
    <n v="4"/>
    <x v="0"/>
  </r>
  <r>
    <s v="ORD00967"/>
    <d v="2023-08-05T00:00:00"/>
    <s v="CUST0213"/>
    <s v="Kavya"/>
    <s v="Delhi"/>
    <s v="Delhi"/>
    <x v="7"/>
    <x v="3"/>
    <s v="Skincare"/>
    <n v="479"/>
    <n v="543.46219100733265"/>
    <n v="4"/>
    <n v="0"/>
    <n v="2173.8487640293306"/>
    <n v="1916"/>
    <n v="257.8487640293306"/>
    <s v="COD"/>
    <x v="1"/>
    <m/>
    <n v="9"/>
    <n v="1"/>
    <x v="1"/>
  </r>
  <r>
    <s v="ORD01009"/>
    <d v="2023-08-05T00:00:00"/>
    <s v="CUST0281"/>
    <s v="Amit"/>
    <s v="Chennai"/>
    <s v="Tamil Nadu"/>
    <x v="10"/>
    <x v="2"/>
    <s v="Mobile"/>
    <n v="63276"/>
    <n v="64151.169023608112"/>
    <n v="1"/>
    <n v="15"/>
    <n v="54528.493670066891"/>
    <n v="63276"/>
    <n v="-8747.5063299331086"/>
    <s v="UPI"/>
    <x v="0"/>
    <d v="2023-08-13T00:00:00"/>
    <n v="4"/>
    <n v="3"/>
    <x v="0"/>
  </r>
  <r>
    <s v="ORD00326"/>
    <d v="2023-08-06T00:00:00"/>
    <s v="CUST0252"/>
    <s v="Deepika"/>
    <s v="Ahmedabad"/>
    <s v="Gujarat"/>
    <x v="7"/>
    <x v="3"/>
    <s v="Skincare"/>
    <n v="417"/>
    <n v="681.0727994501342"/>
    <n v="1"/>
    <n v="5"/>
    <n v="647.01915947762745"/>
    <n v="417"/>
    <n v="230.01915947762745"/>
    <s v="COD"/>
    <x v="1"/>
    <m/>
    <n v="10"/>
    <n v="1"/>
    <x v="1"/>
  </r>
  <r>
    <s v="ORD00756"/>
    <d v="2023-08-06T00:00:00"/>
    <s v="CUST0177"/>
    <s v="Rahul"/>
    <s v="Hyderabad"/>
    <s v="Telangana"/>
    <x v="11"/>
    <x v="2"/>
    <s v="Computers"/>
    <n v="48215"/>
    <n v="74130.491593077866"/>
    <n v="5"/>
    <n v="5"/>
    <n v="352119.83506711986"/>
    <n v="241075"/>
    <n v="111044.83506711986"/>
    <s v="Debit Card"/>
    <x v="1"/>
    <m/>
    <n v="9"/>
    <n v="1"/>
    <x v="1"/>
  </r>
  <r>
    <s v="ORD00893"/>
    <d v="2023-08-06T00:00:00"/>
    <s v="CUST0210"/>
    <s v="Priya"/>
    <s v="Hyderabad"/>
    <s v="Telangana"/>
    <x v="3"/>
    <x v="2"/>
    <s v="Accessories"/>
    <n v="1820"/>
    <n v="2113.5616966809048"/>
    <n v="2"/>
    <n v="0"/>
    <n v="4227.1233933618096"/>
    <n v="3640"/>
    <n v="587.12339336180958"/>
    <s v="COD"/>
    <x v="1"/>
    <m/>
    <n v="8"/>
    <n v="2"/>
    <x v="1"/>
  </r>
  <r>
    <s v="ORD00079"/>
    <d v="2023-08-07T00:00:00"/>
    <s v="CUST0242"/>
    <s v="Manoj"/>
    <s v="Hyderabad"/>
    <s v="Telangana"/>
    <x v="3"/>
    <x v="2"/>
    <s v="Accessories"/>
    <n v="810"/>
    <n v="958.16936607449861"/>
    <n v="1"/>
    <n v="0"/>
    <n v="958.16936607449861"/>
    <n v="810"/>
    <n v="148.16936607449861"/>
    <s v="UPI"/>
    <x v="1"/>
    <m/>
    <n v="8"/>
    <n v="4"/>
    <x v="1"/>
  </r>
  <r>
    <s v="ORD00715"/>
    <d v="2023-08-07T00:00:00"/>
    <s v="CUST0213"/>
    <s v="Rahul"/>
    <s v="Hyderabad"/>
    <s v="Telangana"/>
    <x v="1"/>
    <x v="1"/>
    <s v="Men"/>
    <n v="463"/>
    <n v="813.08139395289481"/>
    <n v="3"/>
    <n v="0"/>
    <n v="2439.2441818586844"/>
    <n v="1389"/>
    <n v="1050.2441818586844"/>
    <s v="UPI"/>
    <x v="1"/>
    <m/>
    <n v="7"/>
    <n v="3"/>
    <x v="1"/>
  </r>
  <r>
    <s v="ORD00767"/>
    <d v="2023-08-07T00:00:00"/>
    <s v="CUST0112"/>
    <s v="Kavya"/>
    <s v="Bangalore"/>
    <s v="Karnataka"/>
    <x v="6"/>
    <x v="1"/>
    <s v="Men"/>
    <n v="1479"/>
    <n v="1724.9630590982279"/>
    <n v="4"/>
    <n v="15"/>
    <n v="5864.8744009339744"/>
    <n v="5916"/>
    <n v="-51.125599066025643"/>
    <s v="Credit Card"/>
    <x v="1"/>
    <m/>
    <n v="7"/>
    <n v="3"/>
    <x v="1"/>
  </r>
  <r>
    <s v="ORD00856"/>
    <d v="2023-08-07T00:00:00"/>
    <s v="CUST0198"/>
    <s v="Rahul"/>
    <s v="Mumbai"/>
    <s v="Maharashtra"/>
    <x v="6"/>
    <x v="1"/>
    <s v="Men"/>
    <n v="1257"/>
    <n v="1747.9547290764096"/>
    <n v="5"/>
    <n v="5"/>
    <n v="8302.7849631129466"/>
    <n v="6285"/>
    <n v="2017.7849631129466"/>
    <s v="UPI"/>
    <x v="0"/>
    <d v="2023-08-19T00:00:00"/>
    <n v="7"/>
    <n v="4"/>
    <x v="2"/>
  </r>
  <r>
    <s v="ORD00949"/>
    <d v="2023-08-07T00:00:00"/>
    <s v="CUST0229"/>
    <s v="Ramesh"/>
    <s v="Delhi"/>
    <s v="Delhi"/>
    <x v="9"/>
    <x v="2"/>
    <s v="TV"/>
    <n v="60947"/>
    <n v="61889.491420013459"/>
    <n v="3"/>
    <n v="20"/>
    <n v="148534.77940803231"/>
    <n v="182841"/>
    <n v="-34306.220591967693"/>
    <s v="UPI"/>
    <x v="1"/>
    <m/>
    <n v="8"/>
    <n v="2"/>
    <x v="1"/>
  </r>
  <r>
    <s v="ORD00028"/>
    <d v="2023-08-08T00:00:00"/>
    <s v="CUST0268"/>
    <s v="Rahul"/>
    <s v="Delhi"/>
    <s v="Delhi"/>
    <x v="9"/>
    <x v="2"/>
    <s v="TV"/>
    <n v="34452"/>
    <n v="42650.837730057196"/>
    <n v="5"/>
    <n v="5"/>
    <n v="202591.47921777167"/>
    <n v="172260"/>
    <n v="30331.479217771674"/>
    <s v="Debit Card"/>
    <x v="1"/>
    <m/>
    <n v="9"/>
    <n v="1"/>
    <x v="1"/>
  </r>
  <r>
    <s v="ORD00242"/>
    <d v="2023-08-08T00:00:00"/>
    <s v="CUST0200"/>
    <s v="Kavya"/>
    <s v="Delhi"/>
    <s v="Delhi"/>
    <x v="6"/>
    <x v="1"/>
    <s v="Men"/>
    <n v="1445"/>
    <n v="2199.2347401645261"/>
    <n v="5"/>
    <n v="5"/>
    <n v="10446.365015781497"/>
    <n v="7225"/>
    <n v="3221.3650157814973"/>
    <s v="Credit Card"/>
    <x v="0"/>
    <d v="2023-08-19T00:00:00"/>
    <n v="8"/>
    <n v="4"/>
    <x v="2"/>
  </r>
  <r>
    <s v="ORD00384"/>
    <d v="2023-08-08T00:00:00"/>
    <s v="CUST0212"/>
    <s v="Swathi"/>
    <s v="Pune"/>
    <s v="Maharashtra"/>
    <x v="0"/>
    <x v="0"/>
    <s v="Kitchen"/>
    <n v="4419"/>
    <n v="7525.7816828420009"/>
    <n v="4"/>
    <n v="0"/>
    <n v="30103.126731368004"/>
    <n v="17676"/>
    <n v="12427.126731368004"/>
    <s v="Credit Card"/>
    <x v="1"/>
    <m/>
    <n v="10"/>
    <n v="1"/>
    <x v="1"/>
  </r>
  <r>
    <s v="ORD00567"/>
    <d v="2023-08-08T00:00:00"/>
    <s v="CUST0197"/>
    <s v="Ramesh"/>
    <s v="Hyderabad"/>
    <s v="Telangana"/>
    <x v="0"/>
    <x v="0"/>
    <s v="Kitchen"/>
    <n v="5824"/>
    <n v="6028.6841627221565"/>
    <n v="3"/>
    <n v="15"/>
    <n v="15373.144614941497"/>
    <n v="17472"/>
    <n v="-2098.8553850585031"/>
    <s v="Debit Card"/>
    <x v="1"/>
    <m/>
    <n v="10"/>
    <n v="1"/>
    <x v="1"/>
  </r>
  <r>
    <s v="ORD00572"/>
    <d v="2023-08-08T00:00:00"/>
    <s v="CUST0139"/>
    <s v="Rahul"/>
    <s v="Chennai"/>
    <s v="Tamil Nadu"/>
    <x v="6"/>
    <x v="1"/>
    <s v="Men"/>
    <n v="1231"/>
    <n v="1361.3578949463117"/>
    <n v="1"/>
    <n v="10"/>
    <n v="1225.2221054516806"/>
    <n v="1231"/>
    <n v="-5.7778945483194093"/>
    <s v="Debit Card"/>
    <x v="1"/>
    <m/>
    <n v="10"/>
    <n v="1"/>
    <x v="1"/>
  </r>
  <r>
    <s v="ORD00959"/>
    <d v="2023-08-08T00:00:00"/>
    <s v="CUST0095"/>
    <s v="Kavya"/>
    <s v="Kolkata"/>
    <s v="West Bengal"/>
    <x v="0"/>
    <x v="0"/>
    <s v="Kitchen"/>
    <n v="6956"/>
    <n v="10741.998581313086"/>
    <n v="3"/>
    <n v="5"/>
    <n v="30614.695956742296"/>
    <n v="20868"/>
    <n v="9746.6959567422964"/>
    <s v="Credit Card"/>
    <x v="1"/>
    <m/>
    <n v="7"/>
    <n v="3"/>
    <x v="1"/>
  </r>
  <r>
    <s v="ORD01075"/>
    <d v="2023-08-08T00:00:00"/>
    <s v="CUST0007"/>
    <s v="Rohit"/>
    <s v="Hyderabad"/>
    <s v="Telangana"/>
    <x v="3"/>
    <x v="2"/>
    <s v="Accessories"/>
    <n v="1970"/>
    <n v="2770.5466367790796"/>
    <n v="2"/>
    <n v="10"/>
    <n v="4986.9839462023438"/>
    <n v="3940"/>
    <n v="1046.9839462023438"/>
    <s v="COD"/>
    <x v="1"/>
    <m/>
    <n v="7"/>
    <n v="4"/>
    <x v="1"/>
  </r>
  <r>
    <s v="ORD00021"/>
    <d v="2023-08-09T00:00:00"/>
    <s v="CUST0099"/>
    <s v="Rahul"/>
    <s v="Pune"/>
    <s v="Maharashtra"/>
    <x v="8"/>
    <x v="3"/>
    <s v="Fragrance"/>
    <n v="740"/>
    <n v="1187.104747255981"/>
    <n v="4"/>
    <n v="0"/>
    <n v="4748.418989023924"/>
    <n v="2960"/>
    <n v="1788.418989023924"/>
    <s v="Credit Card"/>
    <x v="0"/>
    <d v="2023-08-16T00:00:00"/>
    <n v="2"/>
    <n v="5"/>
    <x v="0"/>
  </r>
  <r>
    <s v="ORD00508"/>
    <d v="2023-08-09T00:00:00"/>
    <s v="CUST0279"/>
    <s v="Deepika"/>
    <s v="Chennai"/>
    <s v="Tamil Nadu"/>
    <x v="5"/>
    <x v="0"/>
    <s v="Furniture"/>
    <n v="44603"/>
    <n v="63066.601690467331"/>
    <n v="1"/>
    <n v="15"/>
    <n v="53606.611436897227"/>
    <n v="44603"/>
    <n v="9003.6114368972267"/>
    <s v="COD"/>
    <x v="1"/>
    <m/>
    <n v="9"/>
    <n v="1"/>
    <x v="1"/>
  </r>
  <r>
    <s v="ORD00571"/>
    <d v="2023-08-09T00:00:00"/>
    <s v="CUST0215"/>
    <s v="Pooja"/>
    <s v="Pune"/>
    <s v="Maharashtra"/>
    <x v="4"/>
    <x v="1"/>
    <s v="Footwear"/>
    <n v="2496"/>
    <n v="4462.2838957862441"/>
    <n v="5"/>
    <n v="15"/>
    <n v="18964.706557091537"/>
    <n v="12480"/>
    <n v="6484.7065570915365"/>
    <s v="Debit Card"/>
    <x v="0"/>
    <d v="2023-08-17T00:00:00"/>
    <n v="4"/>
    <n v="3"/>
    <x v="0"/>
  </r>
  <r>
    <s v="ORD00739"/>
    <d v="2023-08-09T00:00:00"/>
    <s v="CUST0235"/>
    <s v="Arjun"/>
    <s v="Pune"/>
    <s v="Maharashtra"/>
    <x v="3"/>
    <x v="2"/>
    <s v="Accessories"/>
    <n v="1929"/>
    <n v="2784.7694633085557"/>
    <n v="5"/>
    <n v="20"/>
    <n v="11139.077853234223"/>
    <n v="9645"/>
    <n v="1494.0778532342229"/>
    <s v="Credit Card"/>
    <x v="1"/>
    <m/>
    <n v="10"/>
    <n v="1"/>
    <x v="1"/>
  </r>
  <r>
    <s v="ORD00978"/>
    <d v="2023-08-09T00:00:00"/>
    <s v="CUST0273"/>
    <s v="Kiran"/>
    <s v="Hyderabad"/>
    <s v="Telangana"/>
    <x v="2"/>
    <x v="1"/>
    <s v="Women"/>
    <n v="1414"/>
    <n v="2512.3388431574449"/>
    <n v="4"/>
    <n v="0"/>
    <n v="10049.35537262978"/>
    <n v="5656"/>
    <n v="4393.3553726297796"/>
    <s v="Credit Card"/>
    <x v="0"/>
    <d v="2023-08-16T00:00:00"/>
    <n v="2"/>
    <n v="4"/>
    <x v="0"/>
  </r>
  <r>
    <s v="ORD00472"/>
    <d v="2023-08-10T00:00:00"/>
    <s v="CUST0140"/>
    <s v="Anjali"/>
    <s v="Kolkata"/>
    <s v="West Bengal"/>
    <x v="8"/>
    <x v="3"/>
    <s v="Fragrance"/>
    <n v="708"/>
    <n v="1178.685762256099"/>
    <n v="2"/>
    <n v="10"/>
    <n v="2121.6343720609784"/>
    <n v="1416"/>
    <n v="705.63437206097842"/>
    <s v="Credit Card"/>
    <x v="1"/>
    <m/>
    <n v="8"/>
    <n v="3"/>
    <x v="1"/>
  </r>
  <r>
    <s v="ORD00176"/>
    <d v="2023-08-11T00:00:00"/>
    <s v="CUST0213"/>
    <s v="Arjun"/>
    <s v="Hyderabad"/>
    <s v="Telangana"/>
    <x v="4"/>
    <x v="1"/>
    <s v="Footwear"/>
    <n v="2517"/>
    <n v="2833.4200461865494"/>
    <n v="4"/>
    <n v="15"/>
    <n v="9633.6281570342671"/>
    <n v="10068"/>
    <n v="-434.37184296573287"/>
    <s v="Credit Card"/>
    <x v="0"/>
    <d v="2023-08-20T00:00:00"/>
    <n v="3"/>
    <n v="3"/>
    <x v="0"/>
  </r>
  <r>
    <s v="ORD00327"/>
    <d v="2023-08-12T00:00:00"/>
    <s v="CUST0008"/>
    <s v="Divya"/>
    <s v="Ahmedabad"/>
    <s v="Gujarat"/>
    <x v="5"/>
    <x v="0"/>
    <s v="Furniture"/>
    <n v="45092"/>
    <n v="70968.389577689406"/>
    <n v="3"/>
    <n v="10"/>
    <n v="191614.65185976139"/>
    <n v="135276"/>
    <n v="56338.65185976139"/>
    <s v="Debit Card"/>
    <x v="0"/>
    <d v="2023-08-18T00:00:00"/>
    <n v="2"/>
    <n v="5"/>
    <x v="0"/>
  </r>
  <r>
    <s v="ORD00847"/>
    <d v="2023-08-12T00:00:00"/>
    <s v="CUST0016"/>
    <s v="Deepika"/>
    <s v="Pune"/>
    <s v="Maharashtra"/>
    <x v="9"/>
    <x v="2"/>
    <s v="TV"/>
    <n v="75234"/>
    <n v="132339.71091681006"/>
    <n v="4"/>
    <n v="5"/>
    <n v="502890.9014838782"/>
    <n v="300936"/>
    <n v="201954.9014838782"/>
    <s v="UPI"/>
    <x v="0"/>
    <d v="2023-08-24T00:00:00"/>
    <n v="5"/>
    <n v="2"/>
    <x v="0"/>
  </r>
  <r>
    <s v="ORD01020"/>
    <d v="2023-08-12T00:00:00"/>
    <s v="CUST0064"/>
    <s v="Rohit"/>
    <s v="Hyderabad"/>
    <s v="Telangana"/>
    <x v="2"/>
    <x v="1"/>
    <s v="Women"/>
    <n v="1904"/>
    <n v="2360.1275908594566"/>
    <n v="4"/>
    <n v="0"/>
    <n v="9440.5103634378265"/>
    <n v="7616"/>
    <n v="1824.5103634378265"/>
    <s v="Debit Card"/>
    <x v="0"/>
    <d v="2023-08-16T00:00:00"/>
    <n v="1"/>
    <n v="5"/>
    <x v="0"/>
  </r>
  <r>
    <s v="ORD00152"/>
    <d v="2023-08-13T00:00:00"/>
    <s v="CUST0090"/>
    <s v="Kiran"/>
    <s v="Hyderabad"/>
    <s v="Telangana"/>
    <x v="11"/>
    <x v="2"/>
    <s v="Computers"/>
    <n v="38319"/>
    <n v="50116.29018606076"/>
    <n v="4"/>
    <n v="15"/>
    <n v="170395.38663260659"/>
    <n v="153276"/>
    <n v="17119.386632606591"/>
    <s v="COD"/>
    <x v="1"/>
    <m/>
    <n v="10"/>
    <n v="1"/>
    <x v="1"/>
  </r>
  <r>
    <s v="ORD00157"/>
    <d v="2023-08-13T00:00:00"/>
    <s v="CUST0157"/>
    <s v="Ramesh"/>
    <s v="Kolkata"/>
    <s v="West Bengal"/>
    <x v="4"/>
    <x v="1"/>
    <s v="Footwear"/>
    <n v="1087"/>
    <n v="1495.0889948739339"/>
    <n v="4"/>
    <n v="15"/>
    <n v="5083.3025825713748"/>
    <n v="4348"/>
    <n v="735.30258257137484"/>
    <s v="UPI"/>
    <x v="1"/>
    <m/>
    <n v="8"/>
    <n v="3"/>
    <x v="1"/>
  </r>
  <r>
    <s v="ORD00304"/>
    <d v="2023-08-13T00:00:00"/>
    <s v="CUST0259"/>
    <s v="Rahul"/>
    <s v="Kolkata"/>
    <s v="West Bengal"/>
    <x v="0"/>
    <x v="0"/>
    <s v="Kitchen"/>
    <n v="3307"/>
    <n v="5601.4056548108147"/>
    <n v="5"/>
    <n v="0"/>
    <n v="28007.028274054072"/>
    <n v="16535"/>
    <n v="11472.028274054072"/>
    <s v="Debit Card"/>
    <x v="1"/>
    <m/>
    <n v="8"/>
    <n v="2"/>
    <x v="1"/>
  </r>
  <r>
    <s v="ORD00337"/>
    <d v="2023-08-13T00:00:00"/>
    <s v="CUST0185"/>
    <s v="Swathi"/>
    <s v="Bangalore"/>
    <s v="Karnataka"/>
    <x v="3"/>
    <x v="2"/>
    <s v="Accessories"/>
    <n v="1045"/>
    <n v="1093.8433991308286"/>
    <n v="1"/>
    <n v="20"/>
    <n v="875.07471930466295"/>
    <n v="1045"/>
    <n v="-169.92528069533705"/>
    <s v="Debit Card"/>
    <x v="0"/>
    <d v="2023-08-27T00:00:00"/>
    <n v="7"/>
    <n v="2"/>
    <x v="0"/>
  </r>
  <r>
    <s v="ORD00589"/>
    <d v="2023-08-13T00:00:00"/>
    <s v="CUST0030"/>
    <s v="Manoj"/>
    <s v="Chennai"/>
    <s v="Tamil Nadu"/>
    <x v="5"/>
    <x v="0"/>
    <s v="Furniture"/>
    <n v="59952"/>
    <n v="75841.446135142658"/>
    <n v="1"/>
    <n v="10"/>
    <n v="68257.301521628397"/>
    <n v="59952"/>
    <n v="8305.3015216283966"/>
    <s v="Debit Card"/>
    <x v="1"/>
    <m/>
    <n v="8"/>
    <n v="4"/>
    <x v="1"/>
  </r>
  <r>
    <s v="ORD00737"/>
    <d v="2023-08-13T00:00:00"/>
    <s v="CUST0028"/>
    <s v="Anjali"/>
    <s v="Kolkata"/>
    <s v="West Bengal"/>
    <x v="11"/>
    <x v="2"/>
    <s v="Computers"/>
    <n v="38865"/>
    <n v="42726.623947236927"/>
    <n v="4"/>
    <n v="15"/>
    <n v="145270.52142060554"/>
    <n v="155460"/>
    <n v="-10189.478579394461"/>
    <s v="Credit Card"/>
    <x v="1"/>
    <m/>
    <n v="10"/>
    <n v="1"/>
    <x v="1"/>
  </r>
  <r>
    <s v="ORD00034"/>
    <d v="2023-08-14T00:00:00"/>
    <s v="CUST0222"/>
    <s v="Nikhil"/>
    <s v="Hyderabad"/>
    <s v="Telangana"/>
    <x v="10"/>
    <x v="2"/>
    <s v="Mobile"/>
    <n v="54910"/>
    <n v="95755.652235471658"/>
    <n v="4"/>
    <n v="10"/>
    <n v="344720.34804769797"/>
    <n v="219640"/>
    <n v="125080.34804769797"/>
    <s v="COD"/>
    <x v="1"/>
    <m/>
    <n v="7"/>
    <n v="2"/>
    <x v="1"/>
  </r>
  <r>
    <s v="ORD00505"/>
    <d v="2023-08-14T00:00:00"/>
    <s v="CUST0049"/>
    <s v="Nikhil"/>
    <s v="Pune"/>
    <s v="Maharashtra"/>
    <x v="0"/>
    <x v="0"/>
    <s v="Kitchen"/>
    <n v="4590"/>
    <n v="6377.595515654375"/>
    <n v="2"/>
    <n v="10"/>
    <n v="11479.671928177875"/>
    <n v="9180"/>
    <n v="2299.6719281778751"/>
    <s v="Debit Card"/>
    <x v="1"/>
    <m/>
    <n v="9"/>
    <n v="1"/>
    <x v="1"/>
  </r>
  <r>
    <s v="ORD00746"/>
    <d v="2023-08-14T00:00:00"/>
    <s v="CUST0095"/>
    <s v="Sneha"/>
    <s v="Pune"/>
    <s v="Maharashtra"/>
    <x v="8"/>
    <x v="3"/>
    <s v="Fragrance"/>
    <n v="854"/>
    <n v="1385.8533587618515"/>
    <n v="3"/>
    <n v="15"/>
    <n v="3533.9260648427212"/>
    <n v="2562"/>
    <n v="971.92606484272119"/>
    <s v="Credit Card"/>
    <x v="0"/>
    <d v="2023-08-28T00:00:00"/>
    <n v="7"/>
    <n v="2"/>
    <x v="0"/>
  </r>
  <r>
    <s v="ORD00461"/>
    <d v="2023-08-15T00:00:00"/>
    <s v="CUST0073"/>
    <s v="Priya"/>
    <s v="Ahmedabad"/>
    <s v="Gujarat"/>
    <x v="11"/>
    <x v="2"/>
    <s v="Computers"/>
    <n v="46484"/>
    <n v="65074.020071084735"/>
    <n v="1"/>
    <n v="20"/>
    <n v="52059.216056867794"/>
    <n v="46484"/>
    <n v="5575.2160568677937"/>
    <s v="UPI"/>
    <x v="1"/>
    <m/>
    <n v="8"/>
    <n v="3"/>
    <x v="1"/>
  </r>
  <r>
    <s v="ORD00630"/>
    <d v="2023-08-15T00:00:00"/>
    <s v="CUST0234"/>
    <s v="Deepika"/>
    <s v="Pune"/>
    <s v="Maharashtra"/>
    <x v="5"/>
    <x v="0"/>
    <s v="Furniture"/>
    <n v="38637"/>
    <n v="59163.387074226113"/>
    <n v="5"/>
    <n v="10"/>
    <n v="266235.24183401756"/>
    <n v="193185"/>
    <n v="73050.241834017565"/>
    <s v="Credit Card"/>
    <x v="0"/>
    <d v="2023-08-27T00:00:00"/>
    <n v="6"/>
    <n v="4"/>
    <x v="2"/>
  </r>
  <r>
    <s v="ORD00855"/>
    <d v="2023-08-15T00:00:00"/>
    <s v="CUST0046"/>
    <s v="Divya"/>
    <s v="Mumbai"/>
    <s v="Maharashtra"/>
    <x v="4"/>
    <x v="1"/>
    <s v="Footwear"/>
    <n v="1848"/>
    <n v="1964.5136851188374"/>
    <n v="2"/>
    <n v="5"/>
    <n v="3732.5760017257908"/>
    <n v="3696"/>
    <n v="36.576001725790775"/>
    <s v="Credit Card"/>
    <x v="0"/>
    <d v="2023-08-21T00:00:00"/>
    <n v="1"/>
    <n v="4"/>
    <x v="0"/>
  </r>
  <r>
    <s v="ORD00908"/>
    <d v="2023-08-15T00:00:00"/>
    <s v="CUST0110"/>
    <s v="Nikhil"/>
    <s v="Ahmedabad"/>
    <s v="Gujarat"/>
    <x v="1"/>
    <x v="1"/>
    <s v="Men"/>
    <n v="201"/>
    <n v="257.58689638069006"/>
    <n v="1"/>
    <n v="20"/>
    <n v="206.06951710455206"/>
    <n v="201"/>
    <n v="5.0695171045520624"/>
    <s v="Debit Card"/>
    <x v="1"/>
    <m/>
    <n v="8"/>
    <n v="4"/>
    <x v="1"/>
  </r>
  <r>
    <s v="ORD01185"/>
    <d v="2023-08-15T00:00:00"/>
    <s v="CUST0240"/>
    <s v="Meena"/>
    <s v="Delhi"/>
    <s v="Delhi"/>
    <x v="6"/>
    <x v="1"/>
    <s v="Men"/>
    <n v="868"/>
    <n v="1211.681228037987"/>
    <n v="3"/>
    <n v="10"/>
    <n v="3271.5393157025646"/>
    <n v="2604"/>
    <n v="667.53931570256464"/>
    <s v="COD"/>
    <x v="0"/>
    <d v="2023-08-21T00:00:00"/>
    <n v="3"/>
    <n v="3"/>
    <x v="0"/>
  </r>
  <r>
    <s v="ORD00194"/>
    <d v="2023-08-16T00:00:00"/>
    <s v="CUST0097"/>
    <s v="Sneha"/>
    <s v="Chennai"/>
    <s v="Tamil Nadu"/>
    <x v="8"/>
    <x v="3"/>
    <s v="Fragrance"/>
    <n v="692"/>
    <n v="896.65796329031321"/>
    <n v="5"/>
    <n v="10"/>
    <n v="4034.9608348064098"/>
    <n v="3460"/>
    <n v="574.96083480640982"/>
    <s v="Credit Card"/>
    <x v="1"/>
    <m/>
    <n v="7"/>
    <n v="4"/>
    <x v="1"/>
  </r>
  <r>
    <s v="ORD00647"/>
    <d v="2023-08-16T00:00:00"/>
    <s v="CUST0018"/>
    <s v="Suresh"/>
    <s v="Mumbai"/>
    <s v="Maharashtra"/>
    <x v="10"/>
    <x v="2"/>
    <s v="Mobile"/>
    <n v="52993"/>
    <n v="91881.807588598327"/>
    <n v="5"/>
    <n v="20"/>
    <n v="367527.23035439337"/>
    <n v="264965"/>
    <n v="102562.23035439337"/>
    <s v="UPI"/>
    <x v="1"/>
    <m/>
    <n v="8"/>
    <n v="3"/>
    <x v="1"/>
  </r>
  <r>
    <s v="ORD00914"/>
    <d v="2023-08-16T00:00:00"/>
    <s v="CUST0256"/>
    <s v="Deepika"/>
    <s v="Kolkata"/>
    <s v="West Bengal"/>
    <x v="4"/>
    <x v="1"/>
    <s v="Footwear"/>
    <n v="2827"/>
    <n v="4917.6984116411268"/>
    <n v="5"/>
    <n v="20"/>
    <n v="19670.793646564507"/>
    <n v="14135"/>
    <n v="5535.7936465645071"/>
    <s v="UPI"/>
    <x v="1"/>
    <m/>
    <n v="8"/>
    <n v="4"/>
    <x v="1"/>
  </r>
  <r>
    <s v="ORD01006"/>
    <d v="2023-08-16T00:00:00"/>
    <s v="CUST0021"/>
    <s v="Deepika"/>
    <s v="Mumbai"/>
    <s v="Maharashtra"/>
    <x v="10"/>
    <x v="2"/>
    <s v="Mobile"/>
    <n v="75274"/>
    <n v="87842.298650370285"/>
    <n v="5"/>
    <n v="10"/>
    <n v="395290.3439266663"/>
    <n v="376370"/>
    <n v="18920.343926666304"/>
    <s v="Debit Card"/>
    <x v="0"/>
    <d v="2023-08-25T00:00:00"/>
    <n v="4"/>
    <n v="4"/>
    <x v="0"/>
  </r>
  <r>
    <s v="ORD01022"/>
    <d v="2023-08-16T00:00:00"/>
    <s v="CUST0249"/>
    <s v="Arjun"/>
    <s v="Kolkata"/>
    <s v="West Bengal"/>
    <x v="6"/>
    <x v="1"/>
    <s v="Men"/>
    <n v="1292"/>
    <n v="1380.3634468273738"/>
    <n v="3"/>
    <n v="0"/>
    <n v="4141.0903404821211"/>
    <n v="3876"/>
    <n v="265.09034048212106"/>
    <s v="COD"/>
    <x v="0"/>
    <d v="2023-08-27T00:00:00"/>
    <n v="4"/>
    <n v="4"/>
    <x v="0"/>
  </r>
  <r>
    <s v="ORD01058"/>
    <d v="2023-08-16T00:00:00"/>
    <s v="CUST0233"/>
    <s v="Rahul"/>
    <s v="Mumbai"/>
    <s v="Maharashtra"/>
    <x v="4"/>
    <x v="1"/>
    <s v="Footwear"/>
    <n v="1258"/>
    <n v="2154.8382916678293"/>
    <n v="4"/>
    <n v="10"/>
    <n v="7757.4178500041853"/>
    <n v="5032"/>
    <n v="2725.4178500041853"/>
    <s v="UPI"/>
    <x v="1"/>
    <m/>
    <n v="8"/>
    <n v="3"/>
    <x v="1"/>
  </r>
  <r>
    <s v="ORD00370"/>
    <d v="2023-08-17T00:00:00"/>
    <s v="CUST0180"/>
    <s v="Rohit"/>
    <s v="Pune"/>
    <s v="Maharashtra"/>
    <x v="0"/>
    <x v="0"/>
    <s v="Kitchen"/>
    <n v="4249"/>
    <n v="4588.6996316412415"/>
    <n v="3"/>
    <n v="20"/>
    <n v="11012.87911593898"/>
    <n v="12747"/>
    <n v="-1734.1208840610198"/>
    <s v="COD"/>
    <x v="1"/>
    <m/>
    <n v="7"/>
    <n v="2"/>
    <x v="1"/>
  </r>
  <r>
    <s v="ORD00761"/>
    <d v="2023-08-17T00:00:00"/>
    <s v="CUST0151"/>
    <s v="Sneha"/>
    <s v="Delhi"/>
    <s v="Delhi"/>
    <x v="1"/>
    <x v="1"/>
    <s v="Men"/>
    <n v="677"/>
    <n v="855.8032514048956"/>
    <n v="5"/>
    <n v="5"/>
    <n v="4065.065444173254"/>
    <n v="3385"/>
    <n v="680.06544417325404"/>
    <s v="Credit Card"/>
    <x v="0"/>
    <d v="2023-08-26T00:00:00"/>
    <n v="2"/>
    <n v="4"/>
    <x v="0"/>
  </r>
  <r>
    <s v="ORD00872"/>
    <d v="2023-08-17T00:00:00"/>
    <s v="CUST0207"/>
    <s v="Sneha"/>
    <s v="Mumbai"/>
    <s v="Maharashtra"/>
    <x v="6"/>
    <x v="1"/>
    <s v="Men"/>
    <n v="1160"/>
    <n v="1987.0943006379953"/>
    <n v="5"/>
    <n v="20"/>
    <n v="7948.3772025519811"/>
    <n v="5800"/>
    <n v="2148.3772025519811"/>
    <s v="Debit Card"/>
    <x v="1"/>
    <m/>
    <n v="7"/>
    <n v="4"/>
    <x v="1"/>
  </r>
  <r>
    <s v="ORD00890"/>
    <d v="2023-08-17T00:00:00"/>
    <s v="CUST0085"/>
    <s v="Meena"/>
    <s v="Ahmedabad"/>
    <s v="Gujarat"/>
    <x v="5"/>
    <x v="0"/>
    <s v="Furniture"/>
    <n v="24143"/>
    <n v="27207.469412408143"/>
    <n v="5"/>
    <n v="15"/>
    <n v="115631.74500273459"/>
    <n v="120715"/>
    <n v="-5083.2549972654087"/>
    <s v="COD"/>
    <x v="1"/>
    <m/>
    <n v="7"/>
    <n v="3"/>
    <x v="1"/>
  </r>
  <r>
    <s v="ORD00953"/>
    <d v="2023-08-17T00:00:00"/>
    <s v="CUST0071"/>
    <s v="Priya"/>
    <s v="Hyderabad"/>
    <s v="Telangana"/>
    <x v="8"/>
    <x v="3"/>
    <s v="Fragrance"/>
    <n v="910"/>
    <n v="1285.2431616187132"/>
    <n v="3"/>
    <n v="20"/>
    <n v="3084.583587884912"/>
    <n v="2730"/>
    <n v="354.58358788491205"/>
    <s v="Debit Card"/>
    <x v="0"/>
    <d v="2023-08-29T00:00:00"/>
    <n v="7"/>
    <n v="3"/>
    <x v="0"/>
  </r>
  <r>
    <s v="ORD00573"/>
    <d v="2023-08-19T00:00:00"/>
    <s v="CUST0134"/>
    <s v="Vikram"/>
    <s v="Kolkata"/>
    <s v="West Bengal"/>
    <x v="3"/>
    <x v="2"/>
    <s v="Accessories"/>
    <n v="1716"/>
    <n v="2258.9258381910554"/>
    <n v="5"/>
    <n v="0"/>
    <n v="11294.629190955276"/>
    <n v="8580"/>
    <n v="2714.6291909552765"/>
    <s v="Credit Card"/>
    <x v="1"/>
    <m/>
    <n v="10"/>
    <n v="1"/>
    <x v="1"/>
  </r>
  <r>
    <s v="ORD00708"/>
    <d v="2023-08-19T00:00:00"/>
    <s v="CUST0005"/>
    <s v="Pooja"/>
    <s v="Kolkata"/>
    <s v="West Bengal"/>
    <x v="1"/>
    <x v="1"/>
    <s v="Men"/>
    <n v="459"/>
    <n v="766.63901088195735"/>
    <n v="1"/>
    <n v="20"/>
    <n v="613.31120870556595"/>
    <n v="459"/>
    <n v="154.31120870556595"/>
    <s v="Credit Card"/>
    <x v="0"/>
    <d v="2023-08-27T00:00:00"/>
    <n v="5"/>
    <n v="3"/>
    <x v="0"/>
  </r>
  <r>
    <s v="ORD00502"/>
    <d v="2023-08-20T00:00:00"/>
    <s v="CUST0266"/>
    <s v="Priya"/>
    <s v="Delhi"/>
    <s v="Delhi"/>
    <x v="0"/>
    <x v="0"/>
    <s v="Kitchen"/>
    <n v="4972"/>
    <n v="4980.950619547476"/>
    <n v="3"/>
    <n v="15"/>
    <n v="12701.424079846065"/>
    <n v="14916"/>
    <n v="-2214.5759201539349"/>
    <s v="Debit Card"/>
    <x v="1"/>
    <m/>
    <n v="10"/>
    <n v="1"/>
    <x v="1"/>
  </r>
  <r>
    <s v="ORD00766"/>
    <d v="2023-08-20T00:00:00"/>
    <s v="CUST0142"/>
    <s v="Vikram"/>
    <s v="Kolkata"/>
    <s v="West Bengal"/>
    <x v="0"/>
    <x v="0"/>
    <s v="Kitchen"/>
    <n v="6963"/>
    <n v="10127.186270812506"/>
    <n v="2"/>
    <n v="10"/>
    <n v="18228.935287462511"/>
    <n v="13926"/>
    <n v="4302.935287462511"/>
    <s v="UPI"/>
    <x v="1"/>
    <m/>
    <n v="7"/>
    <n v="2"/>
    <x v="1"/>
  </r>
  <r>
    <s v="ORD01012"/>
    <d v="2023-08-20T00:00:00"/>
    <s v="CUST0013"/>
    <s v="Suresh"/>
    <s v="Ahmedabad"/>
    <s v="Gujarat"/>
    <x v="11"/>
    <x v="2"/>
    <s v="Computers"/>
    <n v="42934"/>
    <n v="48897.553033698568"/>
    <n v="4"/>
    <n v="0"/>
    <n v="195590.21213479427"/>
    <n v="171736"/>
    <n v="23854.212134794274"/>
    <s v="COD"/>
    <x v="0"/>
    <d v="2023-09-02T00:00:00"/>
    <n v="6"/>
    <n v="2"/>
    <x v="0"/>
  </r>
  <r>
    <s v="ORD00082"/>
    <d v="2023-08-21T00:00:00"/>
    <s v="CUST0095"/>
    <s v="Meena"/>
    <s v="Hyderabad"/>
    <s v="Telangana"/>
    <x v="11"/>
    <x v="2"/>
    <s v="Computers"/>
    <n v="49928"/>
    <n v="62211.758237139889"/>
    <n v="5"/>
    <n v="20"/>
    <n v="248847.03294855959"/>
    <n v="249640"/>
    <n v="-792.96705144041334"/>
    <s v="UPI"/>
    <x v="0"/>
    <d v="2023-08-30T00:00:00"/>
    <n v="6"/>
    <n v="2"/>
    <x v="0"/>
  </r>
  <r>
    <s v="ORD00525"/>
    <d v="2023-08-21T00:00:00"/>
    <s v="CUST0048"/>
    <s v="Swathi"/>
    <s v="Delhi"/>
    <s v="Delhi"/>
    <x v="0"/>
    <x v="0"/>
    <s v="Kitchen"/>
    <n v="5041"/>
    <n v="5608.0502439634165"/>
    <n v="1"/>
    <n v="5"/>
    <n v="5327.6477317652452"/>
    <n v="5041"/>
    <n v="286.64773176524523"/>
    <s v="Debit Card"/>
    <x v="0"/>
    <d v="2023-08-29T00:00:00"/>
    <n v="1"/>
    <n v="5"/>
    <x v="0"/>
  </r>
  <r>
    <s v="ORD00779"/>
    <d v="2023-08-21T00:00:00"/>
    <s v="CUST0195"/>
    <s v="Priya"/>
    <s v="Bangalore"/>
    <s v="Karnataka"/>
    <x v="10"/>
    <x v="2"/>
    <s v="Mobile"/>
    <n v="87294"/>
    <n v="127270.45954881873"/>
    <n v="3"/>
    <n v="10"/>
    <n v="343630.24078181054"/>
    <n v="261882"/>
    <n v="81748.240781810542"/>
    <s v="Debit Card"/>
    <x v="0"/>
    <d v="2023-08-31T00:00:00"/>
    <n v="6"/>
    <n v="3"/>
    <x v="0"/>
  </r>
  <r>
    <s v="ORD00389"/>
    <d v="2023-08-22T00:00:00"/>
    <s v="CUST0016"/>
    <s v="Sneha"/>
    <s v="Mumbai"/>
    <s v="Maharashtra"/>
    <x v="6"/>
    <x v="1"/>
    <s v="Men"/>
    <n v="804"/>
    <n v="1366.927241464535"/>
    <n v="3"/>
    <n v="20"/>
    <n v="3280.6253795148841"/>
    <n v="2412"/>
    <n v="868.62537951488412"/>
    <s v="COD"/>
    <x v="0"/>
    <d v="2023-08-26T00:00:00"/>
    <n v="1"/>
    <n v="5"/>
    <x v="0"/>
  </r>
  <r>
    <s v="ORD00529"/>
    <d v="2023-08-22T00:00:00"/>
    <s v="CUST0181"/>
    <s v="Kavya"/>
    <s v="Pune"/>
    <s v="Maharashtra"/>
    <x v="5"/>
    <x v="0"/>
    <s v="Furniture"/>
    <n v="23844"/>
    <n v="26669.590859883654"/>
    <n v="2"/>
    <n v="5"/>
    <n v="50672.22263377894"/>
    <n v="47688"/>
    <n v="2984.2226337789398"/>
    <s v="UPI"/>
    <x v="0"/>
    <d v="2023-09-03T00:00:00"/>
    <n v="5"/>
    <n v="3"/>
    <x v="0"/>
  </r>
  <r>
    <s v="ORD00799"/>
    <d v="2023-08-22T00:00:00"/>
    <s v="CUST0204"/>
    <s v="Arjun"/>
    <s v="Mumbai"/>
    <s v="Maharashtra"/>
    <x v="8"/>
    <x v="3"/>
    <s v="Fragrance"/>
    <n v="651"/>
    <n v="1052.2213349095694"/>
    <n v="5"/>
    <n v="10"/>
    <n v="4734.996007093062"/>
    <n v="3255"/>
    <n v="1479.996007093062"/>
    <s v="Credit Card"/>
    <x v="0"/>
    <d v="2023-09-03T00:00:00"/>
    <n v="6"/>
    <n v="4"/>
    <x v="2"/>
  </r>
  <r>
    <s v="ORD00956"/>
    <d v="2023-08-22T00:00:00"/>
    <s v="CUST0293"/>
    <s v="Neha"/>
    <s v="Mumbai"/>
    <s v="Maharashtra"/>
    <x v="10"/>
    <x v="2"/>
    <s v="Mobile"/>
    <n v="85729"/>
    <n v="105337.11123662392"/>
    <n v="5"/>
    <n v="15"/>
    <n v="447682.72275565169"/>
    <n v="428645"/>
    <n v="19037.722755651688"/>
    <s v="COD"/>
    <x v="1"/>
    <m/>
    <n v="8"/>
    <n v="3"/>
    <x v="1"/>
  </r>
  <r>
    <s v="ORD01017"/>
    <d v="2023-08-22T00:00:00"/>
    <s v="CUST0137"/>
    <s v="Pooja"/>
    <s v="Kolkata"/>
    <s v="West Bengal"/>
    <x v="8"/>
    <x v="3"/>
    <s v="Fragrance"/>
    <n v="991"/>
    <n v="1071.8815374618102"/>
    <n v="4"/>
    <n v="20"/>
    <n v="3430.0209198777929"/>
    <n v="3964"/>
    <n v="-533.97908012220705"/>
    <s v="Credit Card"/>
    <x v="1"/>
    <m/>
    <n v="9"/>
    <n v="1"/>
    <x v="1"/>
  </r>
  <r>
    <s v="ORD00156"/>
    <d v="2023-08-23T00:00:00"/>
    <s v="CUST0275"/>
    <s v="Amit"/>
    <s v="Hyderabad"/>
    <s v="Telangana"/>
    <x v="1"/>
    <x v="1"/>
    <s v="Men"/>
    <n v="634"/>
    <n v="883.75786634252506"/>
    <n v="2"/>
    <n v="20"/>
    <n v="1414.0125861480401"/>
    <n v="1268"/>
    <n v="146.0125861480401"/>
    <s v="Debit Card"/>
    <x v="1"/>
    <m/>
    <n v="10"/>
    <n v="1"/>
    <x v="1"/>
  </r>
  <r>
    <s v="ORD00315"/>
    <d v="2023-08-23T00:00:00"/>
    <s v="CUST0236"/>
    <s v="Neha"/>
    <s v="Chennai"/>
    <s v="Tamil Nadu"/>
    <x v="4"/>
    <x v="1"/>
    <s v="Footwear"/>
    <n v="1624"/>
    <n v="1745.646736399543"/>
    <n v="2"/>
    <n v="10"/>
    <n v="3142.1641255191776"/>
    <n v="3248"/>
    <n v="-105.83587448082244"/>
    <s v="COD"/>
    <x v="0"/>
    <d v="2023-08-30T00:00:00"/>
    <n v="4"/>
    <n v="2"/>
    <x v="0"/>
  </r>
  <r>
    <s v="ORD00506"/>
    <d v="2023-08-24T00:00:00"/>
    <s v="CUST0229"/>
    <s v="Kiran"/>
    <s v="Mumbai"/>
    <s v="Maharashtra"/>
    <x v="4"/>
    <x v="1"/>
    <s v="Footwear"/>
    <n v="1404"/>
    <n v="1627.2642236899212"/>
    <n v="5"/>
    <n v="15"/>
    <n v="6915.8729506821646"/>
    <n v="7020"/>
    <n v="-104.12704931783537"/>
    <s v="Debit Card"/>
    <x v="0"/>
    <d v="2023-08-29T00:00:00"/>
    <n v="1"/>
    <n v="4"/>
    <x v="0"/>
  </r>
  <r>
    <s v="ORD00532"/>
    <d v="2023-08-24T00:00:00"/>
    <s v="CUST0243"/>
    <s v="Ramesh"/>
    <s v="Pune"/>
    <s v="Maharashtra"/>
    <x v="0"/>
    <x v="0"/>
    <s v="Kitchen"/>
    <n v="5336"/>
    <n v="7273.8535624886608"/>
    <n v="4"/>
    <n v="5"/>
    <n v="27640.643537456908"/>
    <n v="21344"/>
    <n v="6296.6435374569082"/>
    <s v="Credit Card"/>
    <x v="0"/>
    <d v="2023-09-01T00:00:00"/>
    <n v="3"/>
    <n v="2"/>
    <x v="0"/>
  </r>
  <r>
    <s v="ORD00760"/>
    <d v="2023-08-24T00:00:00"/>
    <s v="CUST0205"/>
    <s v="Rahul"/>
    <s v="Hyderabad"/>
    <s v="Telangana"/>
    <x v="6"/>
    <x v="1"/>
    <s v="Men"/>
    <n v="1362"/>
    <n v="2213.116794509926"/>
    <n v="1"/>
    <n v="0"/>
    <n v="2213.116794509926"/>
    <n v="1362"/>
    <n v="851.11679450992597"/>
    <s v="Credit Card"/>
    <x v="0"/>
    <d v="2023-09-03T00:00:00"/>
    <n v="4"/>
    <n v="2"/>
    <x v="0"/>
  </r>
  <r>
    <s v="ORD01005"/>
    <d v="2023-08-24T00:00:00"/>
    <s v="CUST0077"/>
    <s v="Kavya"/>
    <s v="Hyderabad"/>
    <s v="Telangana"/>
    <x v="6"/>
    <x v="1"/>
    <s v="Men"/>
    <n v="973"/>
    <n v="1637.9246576383168"/>
    <n v="5"/>
    <n v="15"/>
    <n v="6961.1797949628462"/>
    <n v="4865"/>
    <n v="2096.1797949628462"/>
    <s v="COD"/>
    <x v="0"/>
    <d v="2023-09-01T00:00:00"/>
    <n v="1"/>
    <n v="4"/>
    <x v="0"/>
  </r>
  <r>
    <s v="ORD00444"/>
    <d v="2023-08-25T00:00:00"/>
    <s v="CUST0221"/>
    <s v="Nikhil"/>
    <s v="Bangalore"/>
    <s v="Karnataka"/>
    <x v="11"/>
    <x v="2"/>
    <s v="Computers"/>
    <n v="39921"/>
    <n v="71297.666620355289"/>
    <n v="4"/>
    <n v="15"/>
    <n v="242412.06650920797"/>
    <n v="159684"/>
    <n v="82728.066509207973"/>
    <s v="Credit Card"/>
    <x v="0"/>
    <d v="2023-09-06T00:00:00"/>
    <n v="6"/>
    <n v="2"/>
    <x v="0"/>
  </r>
  <r>
    <s v="ORD00186"/>
    <d v="2023-08-26T00:00:00"/>
    <s v="CUST0070"/>
    <s v="Nikhil"/>
    <s v="Kolkata"/>
    <s v="West Bengal"/>
    <x v="0"/>
    <x v="0"/>
    <s v="Kitchen"/>
    <n v="4394"/>
    <n v="6126.2367033933278"/>
    <n v="3"/>
    <n v="10"/>
    <n v="16540.839099161989"/>
    <n v="13182"/>
    <n v="3358.839099161989"/>
    <s v="Credit Card"/>
    <x v="1"/>
    <m/>
    <n v="8"/>
    <n v="4"/>
    <x v="1"/>
  </r>
  <r>
    <s v="ORD00782"/>
    <d v="2023-08-26T00:00:00"/>
    <s v="CUST0226"/>
    <s v="Meena"/>
    <s v="Chennai"/>
    <s v="Tamil Nadu"/>
    <x v="8"/>
    <x v="3"/>
    <s v="Fragrance"/>
    <n v="956"/>
    <n v="1061.5437790388892"/>
    <n v="2"/>
    <n v="15"/>
    <n v="1804.6244243661115"/>
    <n v="1912"/>
    <n v="-107.3755756338885"/>
    <s v="UPI"/>
    <x v="0"/>
    <d v="2023-09-01T00:00:00"/>
    <n v="3"/>
    <n v="3"/>
    <x v="0"/>
  </r>
  <r>
    <s v="ORD00912"/>
    <d v="2023-08-26T00:00:00"/>
    <s v="CUST0034"/>
    <s v="Suresh"/>
    <s v="Chennai"/>
    <s v="Tamil Nadu"/>
    <x v="3"/>
    <x v="2"/>
    <s v="Accessories"/>
    <n v="1084"/>
    <n v="1478.1936626951785"/>
    <n v="3"/>
    <n v="10"/>
    <n v="3991.1228892769823"/>
    <n v="3252"/>
    <n v="739.12288927698228"/>
    <s v="COD"/>
    <x v="0"/>
    <d v="2023-09-05T00:00:00"/>
    <n v="6"/>
    <n v="2"/>
    <x v="0"/>
  </r>
  <r>
    <s v="ORD01141"/>
    <d v="2023-08-26T00:00:00"/>
    <s v="CUST0269"/>
    <s v="Pooja"/>
    <s v="Chennai"/>
    <s v="Tamil Nadu"/>
    <x v="9"/>
    <x v="2"/>
    <s v="TV"/>
    <n v="46095"/>
    <n v="46491.982708796291"/>
    <n v="3"/>
    <n v="10"/>
    <n v="125528.35331375001"/>
    <n v="138285"/>
    <n v="-12756.646686249995"/>
    <s v="COD"/>
    <x v="0"/>
    <d v="2023-09-07T00:00:00"/>
    <n v="8"/>
    <n v="4"/>
    <x v="2"/>
  </r>
  <r>
    <s v="ORD00071"/>
    <d v="2023-08-27T00:00:00"/>
    <s v="CUST0024"/>
    <s v="Anjali"/>
    <s v="Kolkata"/>
    <s v="West Bengal"/>
    <x v="2"/>
    <x v="1"/>
    <s v="Women"/>
    <n v="1716"/>
    <n v="2163.5287180135506"/>
    <n v="5"/>
    <n v="20"/>
    <n v="8654.1148720542024"/>
    <n v="8580"/>
    <n v="74.114872054202351"/>
    <s v="Credit Card"/>
    <x v="0"/>
    <d v="2023-09-04T00:00:00"/>
    <n v="3"/>
    <n v="2"/>
    <x v="0"/>
  </r>
  <r>
    <s v="ORD00121"/>
    <d v="2023-08-27T00:00:00"/>
    <s v="CUST0102"/>
    <s v="Manoj"/>
    <s v="Mumbai"/>
    <s v="Maharashtra"/>
    <x v="1"/>
    <x v="1"/>
    <s v="Men"/>
    <n v="591"/>
    <n v="1022.4839189335879"/>
    <n v="3"/>
    <n v="20"/>
    <n v="2453.9614054406111"/>
    <n v="1773"/>
    <n v="680.96140544061109"/>
    <s v="UPI"/>
    <x v="0"/>
    <d v="2023-09-04T00:00:00"/>
    <n v="2"/>
    <n v="5"/>
    <x v="0"/>
  </r>
  <r>
    <s v="ORD00181"/>
    <d v="2023-08-27T00:00:00"/>
    <s v="CUST0206"/>
    <s v="Deepika"/>
    <s v="Ahmedabad"/>
    <s v="Gujarat"/>
    <x v="10"/>
    <x v="2"/>
    <s v="Mobile"/>
    <n v="81227"/>
    <n v="117129.93705252545"/>
    <n v="5"/>
    <n v="15"/>
    <n v="497802.23247323313"/>
    <n v="406135"/>
    <n v="91667.232473233133"/>
    <s v="COD"/>
    <x v="1"/>
    <m/>
    <n v="8"/>
    <n v="3"/>
    <x v="1"/>
  </r>
  <r>
    <s v="ORD00561"/>
    <d v="2023-08-27T00:00:00"/>
    <s v="CUST0107"/>
    <s v="Divya"/>
    <s v="Ahmedabad"/>
    <s v="Gujarat"/>
    <x v="5"/>
    <x v="0"/>
    <s v="Furniture"/>
    <n v="31141"/>
    <n v="54219.132386225239"/>
    <n v="5"/>
    <n v="15"/>
    <n v="230431.31264145728"/>
    <n v="155705"/>
    <n v="74726.312641457276"/>
    <s v="Debit Card"/>
    <x v="0"/>
    <d v="2023-09-08T00:00:00"/>
    <n v="6"/>
    <n v="3"/>
    <x v="0"/>
  </r>
  <r>
    <s v="ORD00607"/>
    <d v="2023-08-27T00:00:00"/>
    <s v="CUST0021"/>
    <s v="Vikram"/>
    <s v="Bangalore"/>
    <s v="Karnataka"/>
    <x v="8"/>
    <x v="3"/>
    <s v="Fragrance"/>
    <n v="907"/>
    <n v="1210.4950112957442"/>
    <n v="1"/>
    <n v="15"/>
    <n v="1028.9207596013825"/>
    <n v="907"/>
    <n v="121.92075960138254"/>
    <s v="COD"/>
    <x v="1"/>
    <m/>
    <n v="9"/>
    <n v="1"/>
    <x v="1"/>
  </r>
  <r>
    <s v="ORD01090"/>
    <d v="2023-08-27T00:00:00"/>
    <s v="CUST0033"/>
    <s v="Nikhil"/>
    <s v="Bangalore"/>
    <s v="Karnataka"/>
    <x v="7"/>
    <x v="3"/>
    <s v="Skincare"/>
    <n v="337"/>
    <n v="580.14499007316908"/>
    <n v="5"/>
    <n v="15"/>
    <n v="2465.6162078109687"/>
    <n v="1685"/>
    <n v="780.61620781096872"/>
    <s v="Debit Card"/>
    <x v="1"/>
    <m/>
    <n v="10"/>
    <n v="1"/>
    <x v="1"/>
  </r>
  <r>
    <s v="ORD00377"/>
    <d v="2023-08-28T00:00:00"/>
    <s v="CUST0244"/>
    <s v="Sneha"/>
    <s v="Delhi"/>
    <s v="Delhi"/>
    <x v="7"/>
    <x v="3"/>
    <s v="Skincare"/>
    <n v="315"/>
    <n v="478.59470849520579"/>
    <n v="4"/>
    <n v="10"/>
    <n v="1722.9409505827409"/>
    <n v="1260"/>
    <n v="462.94095058274092"/>
    <s v="UPI"/>
    <x v="1"/>
    <m/>
    <n v="9"/>
    <n v="1"/>
    <x v="1"/>
  </r>
  <r>
    <s v="ORD00609"/>
    <d v="2023-08-28T00:00:00"/>
    <s v="CUST0074"/>
    <s v="Neha"/>
    <s v="Chennai"/>
    <s v="Tamil Nadu"/>
    <x v="2"/>
    <x v="1"/>
    <s v="Women"/>
    <n v="750"/>
    <n v="1236.5810619245156"/>
    <n v="4"/>
    <n v="10"/>
    <n v="4451.6918229282564"/>
    <n v="3000"/>
    <n v="1451.6918229282564"/>
    <s v="COD"/>
    <x v="0"/>
    <d v="2023-09-06T00:00:00"/>
    <n v="6"/>
    <n v="4"/>
    <x v="2"/>
  </r>
  <r>
    <s v="ORD00723"/>
    <d v="2023-08-28T00:00:00"/>
    <s v="CUST0271"/>
    <s v="Kavya"/>
    <s v="Mumbai"/>
    <s v="Maharashtra"/>
    <x v="10"/>
    <x v="2"/>
    <s v="Mobile"/>
    <n v="66484"/>
    <n v="85856.101235535039"/>
    <n v="3"/>
    <n v="10"/>
    <n v="231811.47333594461"/>
    <n v="199452"/>
    <n v="32359.473335944611"/>
    <s v="Credit Card"/>
    <x v="0"/>
    <d v="2023-09-03T00:00:00"/>
    <n v="1"/>
    <n v="4"/>
    <x v="0"/>
  </r>
  <r>
    <s v="ORD00905"/>
    <d v="2023-08-28T00:00:00"/>
    <s v="CUST0212"/>
    <s v="Sneha"/>
    <s v="Hyderabad"/>
    <s v="Telangana"/>
    <x v="3"/>
    <x v="2"/>
    <s v="Accessories"/>
    <n v="1473"/>
    <n v="2049.4306524251128"/>
    <n v="3"/>
    <n v="0"/>
    <n v="6148.2919572753381"/>
    <n v="4419"/>
    <n v="1729.2919572753381"/>
    <s v="Debit Card"/>
    <x v="1"/>
    <m/>
    <n v="9"/>
    <n v="1"/>
    <x v="1"/>
  </r>
  <r>
    <s v="ORD01000"/>
    <d v="2023-08-28T00:00:00"/>
    <s v="CUST0011"/>
    <s v="Arjun"/>
    <s v="Mumbai"/>
    <s v="Maharashtra"/>
    <x v="6"/>
    <x v="1"/>
    <s v="Men"/>
    <n v="1461"/>
    <n v="1542.5033297517452"/>
    <n v="3"/>
    <n v="10"/>
    <n v="4164.7589903297121"/>
    <n v="4383"/>
    <n v="-218.24100967028789"/>
    <s v="Credit Card"/>
    <x v="1"/>
    <m/>
    <n v="9"/>
    <n v="1"/>
    <x v="1"/>
  </r>
  <r>
    <s v="ORD00036"/>
    <d v="2023-08-29T00:00:00"/>
    <s v="CUST0191"/>
    <s v="Vikram"/>
    <s v="Chennai"/>
    <s v="Tamil Nadu"/>
    <x v="2"/>
    <x v="1"/>
    <s v="Women"/>
    <n v="785"/>
    <n v="1184.4880214997102"/>
    <n v="1"/>
    <n v="5"/>
    <n v="1125.2636204247246"/>
    <n v="785"/>
    <n v="340.26362042472465"/>
    <s v="Debit Card"/>
    <x v="1"/>
    <m/>
    <n v="10"/>
    <n v="1"/>
    <x v="1"/>
  </r>
  <r>
    <s v="ORD00189"/>
    <d v="2023-08-29T00:00:00"/>
    <s v="CUST0135"/>
    <s v="Anjali"/>
    <s v="Bangalore"/>
    <s v="Karnataka"/>
    <x v="11"/>
    <x v="2"/>
    <s v="Computers"/>
    <n v="44455"/>
    <n v="53824.304644632692"/>
    <n v="1"/>
    <n v="5"/>
    <n v="51133.089412401052"/>
    <n v="44455"/>
    <n v="6678.089412401052"/>
    <s v="Debit Card"/>
    <x v="0"/>
    <d v="2023-09-10T00:00:00"/>
    <n v="5"/>
    <n v="3"/>
    <x v="0"/>
  </r>
  <r>
    <s v="ORD00224"/>
    <d v="2023-08-29T00:00:00"/>
    <s v="CUST0253"/>
    <s v="Suresh"/>
    <s v="Mumbai"/>
    <s v="Maharashtra"/>
    <x v="1"/>
    <x v="1"/>
    <s v="Men"/>
    <n v="512"/>
    <n v="798.17379389871894"/>
    <n v="1"/>
    <n v="10"/>
    <n v="718.35641450884702"/>
    <n v="512"/>
    <n v="206.35641450884702"/>
    <s v="Debit Card"/>
    <x v="1"/>
    <m/>
    <n v="8"/>
    <n v="3"/>
    <x v="1"/>
  </r>
  <r>
    <s v="ORD00753"/>
    <d v="2023-08-29T00:00:00"/>
    <s v="CUST0069"/>
    <s v="Priya"/>
    <s v="Bangalore"/>
    <s v="Karnataka"/>
    <x v="7"/>
    <x v="3"/>
    <s v="Skincare"/>
    <n v="280"/>
    <n v="484.30090540978421"/>
    <n v="2"/>
    <n v="0"/>
    <n v="968.60181081956841"/>
    <n v="560"/>
    <n v="408.60181081956841"/>
    <s v="UPI"/>
    <x v="1"/>
    <m/>
    <n v="10"/>
    <n v="1"/>
    <x v="1"/>
  </r>
  <r>
    <s v="ORD01004"/>
    <d v="2023-08-29T00:00:00"/>
    <s v="CUST0259"/>
    <s v="Manoj"/>
    <s v="Bangalore"/>
    <s v="Karnataka"/>
    <x v="1"/>
    <x v="1"/>
    <s v="Men"/>
    <n v="366"/>
    <n v="459.87376664760455"/>
    <n v="5"/>
    <n v="20"/>
    <n v="1839.4950665904184"/>
    <n v="1830"/>
    <n v="9.4950665904184461"/>
    <s v="UPI"/>
    <x v="0"/>
    <d v="2023-09-07T00:00:00"/>
    <n v="5"/>
    <n v="4"/>
    <x v="0"/>
  </r>
  <r>
    <s v="ORD00197"/>
    <d v="2023-08-30T00:00:00"/>
    <s v="CUST0256"/>
    <s v="Manoj"/>
    <s v="Delhi"/>
    <s v="Delhi"/>
    <x v="6"/>
    <x v="1"/>
    <s v="Men"/>
    <n v="1426"/>
    <n v="1456.876584760412"/>
    <n v="3"/>
    <n v="0"/>
    <n v="4370.6297542812363"/>
    <n v="4278"/>
    <n v="92.629754281236274"/>
    <s v="Credit Card"/>
    <x v="0"/>
    <d v="2023-09-05T00:00:00"/>
    <n v="2"/>
    <n v="5"/>
    <x v="0"/>
  </r>
  <r>
    <s v="ORD00702"/>
    <d v="2023-08-30T00:00:00"/>
    <s v="CUST0123"/>
    <s v="Amit"/>
    <s v="Bangalore"/>
    <s v="Karnataka"/>
    <x v="7"/>
    <x v="3"/>
    <s v="Skincare"/>
    <n v="394"/>
    <n v="694.22467756558319"/>
    <n v="2"/>
    <n v="5"/>
    <n v="1319.0268873746079"/>
    <n v="788"/>
    <n v="531.0268873746079"/>
    <s v="COD"/>
    <x v="0"/>
    <d v="2023-09-08T00:00:00"/>
    <n v="2"/>
    <n v="5"/>
    <x v="0"/>
  </r>
  <r>
    <s v="ORD00214"/>
    <d v="2023-08-31T00:00:00"/>
    <s v="CUST0004"/>
    <s v="Meena"/>
    <s v="Kolkata"/>
    <s v="West Bengal"/>
    <x v="7"/>
    <x v="3"/>
    <s v="Skincare"/>
    <n v="553"/>
    <n v="992.12709168900221"/>
    <n v="3"/>
    <n v="5"/>
    <n v="2827.5622113136565"/>
    <n v="1659"/>
    <n v="1168.5622113136565"/>
    <s v="COD"/>
    <x v="1"/>
    <m/>
    <n v="10"/>
    <n v="1"/>
    <x v="1"/>
  </r>
  <r>
    <s v="ORD00977"/>
    <d v="2023-08-31T00:00:00"/>
    <s v="CUST0298"/>
    <s v="Rohit"/>
    <s v="Bangalore"/>
    <s v="Karnataka"/>
    <x v="11"/>
    <x v="2"/>
    <s v="Computers"/>
    <n v="42836"/>
    <n v="73728.623223057584"/>
    <n v="3"/>
    <n v="20"/>
    <n v="176948.6957353382"/>
    <n v="128508"/>
    <n v="48440.695735338202"/>
    <s v="Debit Card"/>
    <x v="1"/>
    <m/>
    <n v="9"/>
    <n v="1"/>
    <x v="1"/>
  </r>
  <r>
    <s v="ORD00651"/>
    <d v="2023-09-01T00:00:00"/>
    <s v="CUST0077"/>
    <s v="Ramesh"/>
    <s v="Ahmedabad"/>
    <s v="Gujarat"/>
    <x v="9"/>
    <x v="2"/>
    <s v="TV"/>
    <n v="33979"/>
    <n v="45261.012021381255"/>
    <n v="5"/>
    <n v="15"/>
    <n v="192359.30109087034"/>
    <n v="169895"/>
    <n v="22464.301090870344"/>
    <s v="UPI"/>
    <x v="0"/>
    <d v="2023-09-11T00:00:00"/>
    <n v="4"/>
    <n v="3"/>
    <x v="0"/>
  </r>
  <r>
    <s v="ORD00895"/>
    <d v="2023-09-01T00:00:00"/>
    <s v="CUST0269"/>
    <s v="Suresh"/>
    <s v="Bangalore"/>
    <s v="Karnataka"/>
    <x v="9"/>
    <x v="2"/>
    <s v="TV"/>
    <n v="46336"/>
    <n v="51508.288177488866"/>
    <n v="3"/>
    <n v="10"/>
    <n v="139072.37807921995"/>
    <n v="139008"/>
    <n v="64.378079219954088"/>
    <s v="COD"/>
    <x v="0"/>
    <d v="2023-09-12T00:00:00"/>
    <n v="6"/>
    <n v="4"/>
    <x v="2"/>
  </r>
  <r>
    <s v="ORD00261"/>
    <d v="2023-09-02T00:00:00"/>
    <s v="CUST0024"/>
    <s v="Rohit"/>
    <s v="Chennai"/>
    <s v="Tamil Nadu"/>
    <x v="9"/>
    <x v="2"/>
    <s v="TV"/>
    <n v="74980"/>
    <n v="108186.46840287359"/>
    <n v="5"/>
    <n v="0"/>
    <n v="540932.34201436793"/>
    <n v="374900"/>
    <n v="166032.34201436793"/>
    <s v="Credit Card"/>
    <x v="1"/>
    <m/>
    <n v="8"/>
    <n v="2"/>
    <x v="1"/>
  </r>
  <r>
    <s v="ORD00318"/>
    <d v="2023-09-02T00:00:00"/>
    <s v="CUST0115"/>
    <s v="Nikhil"/>
    <s v="Chennai"/>
    <s v="Tamil Nadu"/>
    <x v="8"/>
    <x v="3"/>
    <s v="Fragrance"/>
    <n v="716"/>
    <n v="737.50355796587155"/>
    <n v="1"/>
    <n v="20"/>
    <n v="590.00284637269726"/>
    <n v="716"/>
    <n v="-125.99715362730274"/>
    <s v="Credit Card"/>
    <x v="0"/>
    <d v="2023-09-08T00:00:00"/>
    <n v="3"/>
    <n v="3"/>
    <x v="0"/>
  </r>
  <r>
    <s v="ORD00552"/>
    <d v="2023-09-02T00:00:00"/>
    <s v="CUST0007"/>
    <s v="Suresh"/>
    <s v="Hyderabad"/>
    <s v="Telangana"/>
    <x v="6"/>
    <x v="1"/>
    <s v="Men"/>
    <n v="1025"/>
    <n v="1725.4665007643962"/>
    <n v="2"/>
    <n v="15"/>
    <n v="2933.2930512994735"/>
    <n v="2050"/>
    <n v="883.29305129947352"/>
    <s v="UPI"/>
    <x v="0"/>
    <d v="2023-09-12T00:00:00"/>
    <n v="4"/>
    <n v="2"/>
    <x v="0"/>
  </r>
  <r>
    <s v="ORD00817"/>
    <d v="2023-09-02T00:00:00"/>
    <s v="CUST0192"/>
    <s v="Meena"/>
    <s v="Pune"/>
    <s v="Maharashtra"/>
    <x v="11"/>
    <x v="2"/>
    <s v="Computers"/>
    <n v="42357"/>
    <n v="57860.830322199057"/>
    <n v="4"/>
    <n v="0"/>
    <n v="231443.32128879623"/>
    <n v="169428"/>
    <n v="62015.321288796229"/>
    <s v="COD"/>
    <x v="1"/>
    <m/>
    <n v="7"/>
    <n v="3"/>
    <x v="1"/>
  </r>
  <r>
    <s v="ORD00964"/>
    <d v="2023-09-02T00:00:00"/>
    <s v="CUST0246"/>
    <s v="Rohit"/>
    <s v="Hyderabad"/>
    <s v="Telangana"/>
    <x v="11"/>
    <x v="2"/>
    <s v="Computers"/>
    <n v="42796"/>
    <n v="60352.074069712115"/>
    <n v="3"/>
    <n v="15"/>
    <n v="153897.78887776588"/>
    <n v="128388"/>
    <n v="25509.788877765881"/>
    <s v="UPI"/>
    <x v="1"/>
    <m/>
    <n v="10"/>
    <n v="1"/>
    <x v="1"/>
  </r>
  <r>
    <s v="ORD01053"/>
    <d v="2023-09-02T00:00:00"/>
    <s v="CUST0085"/>
    <s v="Kiran"/>
    <s v="Delhi"/>
    <s v="Delhi"/>
    <x v="4"/>
    <x v="1"/>
    <s v="Footwear"/>
    <n v="2752"/>
    <n v="3428.0204420007412"/>
    <n v="4"/>
    <n v="0"/>
    <n v="13712.081768002965"/>
    <n v="11008"/>
    <n v="2704.081768002965"/>
    <s v="UPI"/>
    <x v="1"/>
    <m/>
    <n v="8"/>
    <n v="2"/>
    <x v="1"/>
  </r>
  <r>
    <s v="ORD00035"/>
    <d v="2023-09-03T00:00:00"/>
    <s v="CUST0170"/>
    <s v="Vikram"/>
    <s v="Bangalore"/>
    <s v="Karnataka"/>
    <x v="9"/>
    <x v="2"/>
    <s v="TV"/>
    <n v="34160"/>
    <n v="37427.471007809414"/>
    <n v="1"/>
    <n v="20"/>
    <n v="29941.976806247534"/>
    <n v="34160"/>
    <n v="-4218.0231937524659"/>
    <s v="COD"/>
    <x v="1"/>
    <m/>
    <n v="10"/>
    <n v="1"/>
    <x v="1"/>
  </r>
  <r>
    <s v="ORD00566"/>
    <d v="2023-09-03T00:00:00"/>
    <s v="CUST0080"/>
    <s v="Kiran"/>
    <s v="Bangalore"/>
    <s v="Karnataka"/>
    <x v="7"/>
    <x v="3"/>
    <s v="Skincare"/>
    <n v="255"/>
    <n v="331.20601270841746"/>
    <n v="2"/>
    <n v="0"/>
    <n v="662.41202541683492"/>
    <n v="510"/>
    <n v="152.41202541683492"/>
    <s v="UPI"/>
    <x v="0"/>
    <d v="2023-09-14T00:00:00"/>
    <n v="5"/>
    <n v="4"/>
    <x v="0"/>
  </r>
  <r>
    <s v="ORD00818"/>
    <d v="2023-09-03T00:00:00"/>
    <s v="CUST0296"/>
    <s v="Pooja"/>
    <s v="Delhi"/>
    <s v="Delhi"/>
    <x v="2"/>
    <x v="1"/>
    <s v="Women"/>
    <n v="1642"/>
    <n v="2081.6018907766202"/>
    <n v="5"/>
    <n v="20"/>
    <n v="8326.4075631064807"/>
    <n v="8210"/>
    <n v="116.40756310648067"/>
    <s v="UPI"/>
    <x v="1"/>
    <m/>
    <n v="7"/>
    <n v="2"/>
    <x v="1"/>
  </r>
  <r>
    <s v="ORD00826"/>
    <d v="2023-09-03T00:00:00"/>
    <s v="CUST0096"/>
    <s v="Meena"/>
    <s v="Chennai"/>
    <s v="Tamil Nadu"/>
    <x v="5"/>
    <x v="0"/>
    <s v="Furniture"/>
    <n v="28591"/>
    <n v="40855.275791723318"/>
    <n v="1"/>
    <n v="0"/>
    <n v="40855.275791723318"/>
    <n v="28591"/>
    <n v="12264.275791723318"/>
    <s v="COD"/>
    <x v="0"/>
    <d v="2023-09-13T00:00:00"/>
    <n v="3"/>
    <n v="2"/>
    <x v="0"/>
  </r>
  <r>
    <s v="ORD00393"/>
    <d v="2023-09-04T00:00:00"/>
    <s v="CUST0075"/>
    <s v="Anjali"/>
    <s v="Hyderabad"/>
    <s v="Telangana"/>
    <x v="10"/>
    <x v="2"/>
    <s v="Mobile"/>
    <n v="77328"/>
    <n v="125212.72087838216"/>
    <n v="3"/>
    <n v="5"/>
    <n v="356856.25450338912"/>
    <n v="231984"/>
    <n v="124872.25450338912"/>
    <s v="Credit Card"/>
    <x v="1"/>
    <m/>
    <n v="9"/>
    <n v="1"/>
    <x v="1"/>
  </r>
  <r>
    <s v="ORD00991"/>
    <d v="2023-09-04T00:00:00"/>
    <s v="CUST0020"/>
    <s v="Meena"/>
    <s v="Hyderabad"/>
    <s v="Telangana"/>
    <x v="5"/>
    <x v="0"/>
    <s v="Furniture"/>
    <n v="21285"/>
    <n v="37686.16765486166"/>
    <n v="3"/>
    <n v="0"/>
    <n v="113058.50296458497"/>
    <n v="63855"/>
    <n v="49203.502964584972"/>
    <s v="Credit Card"/>
    <x v="1"/>
    <m/>
    <n v="7"/>
    <n v="3"/>
    <x v="1"/>
  </r>
  <r>
    <s v="ORD00793"/>
    <d v="2023-09-05T00:00:00"/>
    <s v="CUST0293"/>
    <s v="Sneha"/>
    <s v="Hyderabad"/>
    <s v="Telangana"/>
    <x v="7"/>
    <x v="3"/>
    <s v="Skincare"/>
    <n v="384"/>
    <n v="439.57838380175792"/>
    <n v="5"/>
    <n v="5"/>
    <n v="2087.99732305835"/>
    <n v="1920"/>
    <n v="167.99732305835005"/>
    <s v="Debit Card"/>
    <x v="0"/>
    <d v="2023-09-15T00:00:00"/>
    <n v="6"/>
    <n v="2"/>
    <x v="0"/>
  </r>
  <r>
    <s v="ORD00825"/>
    <d v="2023-09-05T00:00:00"/>
    <s v="CUST0172"/>
    <s v="Anjali"/>
    <s v="Delhi"/>
    <s v="Delhi"/>
    <x v="9"/>
    <x v="2"/>
    <s v="TV"/>
    <n v="47192"/>
    <n v="73624.570258095031"/>
    <n v="1"/>
    <n v="10"/>
    <n v="66262.113232285526"/>
    <n v="47192"/>
    <n v="19070.113232285526"/>
    <s v="UPI"/>
    <x v="0"/>
    <d v="2023-09-18T00:00:00"/>
    <n v="6"/>
    <n v="3"/>
    <x v="0"/>
  </r>
  <r>
    <s v="ORD00047"/>
    <d v="2023-09-06T00:00:00"/>
    <s v="CUST0193"/>
    <s v="Swathi"/>
    <s v="Bangalore"/>
    <s v="Karnataka"/>
    <x v="5"/>
    <x v="0"/>
    <s v="Furniture"/>
    <n v="23955"/>
    <n v="40400.872993616933"/>
    <n v="1"/>
    <n v="10"/>
    <n v="36360.785694255239"/>
    <n v="23955"/>
    <n v="12405.785694255239"/>
    <s v="COD"/>
    <x v="1"/>
    <m/>
    <n v="10"/>
    <n v="1"/>
    <x v="1"/>
  </r>
  <r>
    <s v="ORD00396"/>
    <d v="2023-09-06T00:00:00"/>
    <s v="CUST0284"/>
    <s v="Vikram"/>
    <s v="Delhi"/>
    <s v="Delhi"/>
    <x v="4"/>
    <x v="1"/>
    <s v="Footwear"/>
    <n v="1512"/>
    <n v="2522.0324095027363"/>
    <n v="4"/>
    <n v="20"/>
    <n v="8070.5037104087569"/>
    <n v="6048"/>
    <n v="2022.5037104087569"/>
    <s v="Debit Card"/>
    <x v="0"/>
    <d v="2023-09-18T00:00:00"/>
    <n v="6"/>
    <n v="3"/>
    <x v="0"/>
  </r>
  <r>
    <s v="ORD00697"/>
    <d v="2023-09-06T00:00:00"/>
    <s v="CUST0057"/>
    <s v="Suresh"/>
    <s v="Bangalore"/>
    <s v="Karnataka"/>
    <x v="5"/>
    <x v="0"/>
    <s v="Furniture"/>
    <n v="23674"/>
    <n v="39939.515913058574"/>
    <n v="5"/>
    <n v="0"/>
    <n v="199697.57956529286"/>
    <n v="118370"/>
    <n v="81327.579565292865"/>
    <s v="COD"/>
    <x v="1"/>
    <m/>
    <n v="9"/>
    <n v="1"/>
    <x v="1"/>
  </r>
  <r>
    <s v="ORD00830"/>
    <d v="2023-09-06T00:00:00"/>
    <s v="CUST0110"/>
    <s v="Deepika"/>
    <s v="Mumbai"/>
    <s v="Maharashtra"/>
    <x v="11"/>
    <x v="2"/>
    <s v="Computers"/>
    <n v="47616"/>
    <n v="77170.171730120099"/>
    <n v="3"/>
    <n v="10"/>
    <n v="208359.46367132428"/>
    <n v="142848"/>
    <n v="65511.46367132428"/>
    <s v="UPI"/>
    <x v="0"/>
    <d v="2023-09-14T00:00:00"/>
    <n v="5"/>
    <n v="4"/>
    <x v="0"/>
  </r>
  <r>
    <s v="ORD01008"/>
    <d v="2023-09-06T00:00:00"/>
    <s v="CUST0214"/>
    <s v="Sneha"/>
    <s v="Chennai"/>
    <s v="Tamil Nadu"/>
    <x v="1"/>
    <x v="1"/>
    <s v="Men"/>
    <n v="359"/>
    <n v="558.63497536635703"/>
    <n v="5"/>
    <n v="15"/>
    <n v="2374.1986453070176"/>
    <n v="1795"/>
    <n v="579.19864530701761"/>
    <s v="COD"/>
    <x v="0"/>
    <d v="2023-09-13T00:00:00"/>
    <n v="4"/>
    <n v="4"/>
    <x v="0"/>
  </r>
  <r>
    <s v="ORD01137"/>
    <d v="2023-09-06T00:00:00"/>
    <s v="CUST0002"/>
    <s v="Suresh"/>
    <s v="Delhi"/>
    <s v="Delhi"/>
    <x v="7"/>
    <x v="3"/>
    <s v="Skincare"/>
    <n v="328"/>
    <n v="544.35553274262509"/>
    <n v="4"/>
    <n v="0"/>
    <n v="2177.4221309705003"/>
    <n v="1312"/>
    <n v="865.42213097050035"/>
    <s v="UPI"/>
    <x v="1"/>
    <m/>
    <n v="10"/>
    <n v="1"/>
    <x v="1"/>
  </r>
  <r>
    <s v="ORD00019"/>
    <d v="2023-09-07T00:00:00"/>
    <s v="CUST0251"/>
    <s v="Nikhil"/>
    <s v="Chennai"/>
    <s v="Tamil Nadu"/>
    <x v="9"/>
    <x v="2"/>
    <s v="TV"/>
    <n v="27874"/>
    <n v="32938.456482107547"/>
    <n v="4"/>
    <n v="0"/>
    <n v="131753.82592843019"/>
    <n v="111496"/>
    <n v="20257.825928430189"/>
    <s v="Credit Card"/>
    <x v="0"/>
    <d v="2023-09-18T00:00:00"/>
    <n v="4"/>
    <n v="2"/>
    <x v="0"/>
  </r>
  <r>
    <s v="ORD00232"/>
    <d v="2023-09-07T00:00:00"/>
    <s v="CUST0142"/>
    <s v="Kavya"/>
    <s v="Hyderabad"/>
    <s v="Telangana"/>
    <x v="5"/>
    <x v="0"/>
    <s v="Furniture"/>
    <n v="42931"/>
    <n v="53014.452505069261"/>
    <n v="1"/>
    <n v="20"/>
    <n v="42411.562004055413"/>
    <n v="42931"/>
    <n v="-519.43799594458687"/>
    <s v="UPI"/>
    <x v="1"/>
    <m/>
    <n v="8"/>
    <n v="4"/>
    <x v="1"/>
  </r>
  <r>
    <s v="ORD00330"/>
    <d v="2023-09-07T00:00:00"/>
    <s v="CUST0223"/>
    <s v="Ramesh"/>
    <s v="Chennai"/>
    <s v="Tamil Nadu"/>
    <x v="6"/>
    <x v="1"/>
    <s v="Men"/>
    <n v="1086"/>
    <n v="1812.0060736238647"/>
    <n v="2"/>
    <n v="20"/>
    <n v="2899.2097177981836"/>
    <n v="2172"/>
    <n v="727.20971779818365"/>
    <s v="UPI"/>
    <x v="0"/>
    <d v="2023-09-12T00:00:00"/>
    <n v="2"/>
    <n v="5"/>
    <x v="0"/>
  </r>
  <r>
    <s v="ORD00401"/>
    <d v="2023-09-07T00:00:00"/>
    <s v="CUST0138"/>
    <s v="Swathi"/>
    <s v="Bangalore"/>
    <s v="Karnataka"/>
    <x v="10"/>
    <x v="2"/>
    <s v="Mobile"/>
    <n v="55664"/>
    <n v="84623.031436266261"/>
    <n v="3"/>
    <n v="20"/>
    <n v="203095.27544703905"/>
    <n v="166992"/>
    <n v="36103.27544703905"/>
    <s v="Credit Card"/>
    <x v="1"/>
    <m/>
    <n v="7"/>
    <n v="2"/>
    <x v="1"/>
  </r>
  <r>
    <s v="ORD00432"/>
    <d v="2023-09-07T00:00:00"/>
    <s v="CUST0154"/>
    <s v="Vikram"/>
    <s v="Hyderabad"/>
    <s v="Telangana"/>
    <x v="0"/>
    <x v="0"/>
    <s v="Kitchen"/>
    <n v="3313"/>
    <n v="3690.4520713128854"/>
    <n v="5"/>
    <n v="10"/>
    <n v="16607.034320907984"/>
    <n v="16565"/>
    <n v="42.034320907983783"/>
    <s v="UPI"/>
    <x v="1"/>
    <m/>
    <n v="9"/>
    <n v="1"/>
    <x v="1"/>
  </r>
  <r>
    <s v="ORD00765"/>
    <d v="2023-09-07T00:00:00"/>
    <s v="CUST0153"/>
    <s v="Kavya"/>
    <s v="Mumbai"/>
    <s v="Maharashtra"/>
    <x v="8"/>
    <x v="3"/>
    <s v="Fragrance"/>
    <n v="962"/>
    <n v="1141.8456439133445"/>
    <n v="3"/>
    <n v="20"/>
    <n v="2740.4295453920272"/>
    <n v="2886"/>
    <n v="-145.57045460797281"/>
    <s v="COD"/>
    <x v="1"/>
    <m/>
    <n v="7"/>
    <n v="4"/>
    <x v="1"/>
  </r>
  <r>
    <s v="ORD00820"/>
    <d v="2023-09-07T00:00:00"/>
    <s v="CUST0257"/>
    <s v="Rahul"/>
    <s v="Mumbai"/>
    <s v="Maharashtra"/>
    <x v="4"/>
    <x v="1"/>
    <s v="Footwear"/>
    <n v="2737"/>
    <n v="2966.2022293325072"/>
    <n v="1"/>
    <n v="20"/>
    <n v="2372.9617834660057"/>
    <n v="2737"/>
    <n v="-364.03821653399427"/>
    <s v="COD"/>
    <x v="1"/>
    <m/>
    <n v="10"/>
    <n v="1"/>
    <x v="1"/>
  </r>
  <r>
    <s v="ORD00919"/>
    <d v="2023-09-08T00:00:00"/>
    <s v="CUST0181"/>
    <s v="Suresh"/>
    <s v="Ahmedabad"/>
    <s v="Gujarat"/>
    <x v="8"/>
    <x v="3"/>
    <s v="Fragrance"/>
    <n v="846"/>
    <n v="1364.0773810429621"/>
    <n v="1"/>
    <n v="10"/>
    <n v="1227.6696429386659"/>
    <n v="846"/>
    <n v="381.6696429386659"/>
    <s v="Credit Card"/>
    <x v="1"/>
    <m/>
    <n v="8"/>
    <n v="3"/>
    <x v="1"/>
  </r>
  <r>
    <s v="ORD00453"/>
    <d v="2023-09-09T00:00:00"/>
    <s v="CUST0203"/>
    <s v="Priya"/>
    <s v="Delhi"/>
    <s v="Delhi"/>
    <x v="11"/>
    <x v="2"/>
    <s v="Computers"/>
    <n v="30656"/>
    <n v="48633.892921291146"/>
    <n v="2"/>
    <n v="5"/>
    <n v="92404.396550453181"/>
    <n v="61312"/>
    <n v="31092.396550453181"/>
    <s v="UPI"/>
    <x v="1"/>
    <m/>
    <n v="9"/>
    <n v="1"/>
    <x v="1"/>
  </r>
  <r>
    <s v="ORD00482"/>
    <d v="2023-09-10T00:00:00"/>
    <s v="CUST0102"/>
    <s v="Deepika"/>
    <s v="Chennai"/>
    <s v="Tamil Nadu"/>
    <x v="5"/>
    <x v="0"/>
    <s v="Furniture"/>
    <n v="53750"/>
    <n v="68613.876636893314"/>
    <n v="2"/>
    <n v="5"/>
    <n v="130366.36561009729"/>
    <n v="107500"/>
    <n v="22866.365610097288"/>
    <s v="Debit Card"/>
    <x v="0"/>
    <d v="2023-09-19T00:00:00"/>
    <n v="5"/>
    <n v="4"/>
    <x v="0"/>
  </r>
  <r>
    <s v="ORD00190"/>
    <d v="2023-09-12T00:00:00"/>
    <s v="CUST0139"/>
    <s v="Anjali"/>
    <s v="Delhi"/>
    <s v="Delhi"/>
    <x v="9"/>
    <x v="2"/>
    <s v="TV"/>
    <n v="61178"/>
    <n v="82298.528766224466"/>
    <n v="2"/>
    <n v="5"/>
    <n v="156367.20465582647"/>
    <n v="122356"/>
    <n v="34011.20465582647"/>
    <s v="Credit Card"/>
    <x v="0"/>
    <d v="2023-09-19T00:00:00"/>
    <n v="1"/>
    <n v="5"/>
    <x v="0"/>
  </r>
  <r>
    <s v="ORD00578"/>
    <d v="2023-09-13T00:00:00"/>
    <s v="CUST0064"/>
    <s v="Vikram"/>
    <s v="Chennai"/>
    <s v="Tamil Nadu"/>
    <x v="6"/>
    <x v="1"/>
    <s v="Men"/>
    <n v="804"/>
    <n v="1259.7758051333947"/>
    <n v="2"/>
    <n v="0"/>
    <n v="2519.5516102667893"/>
    <n v="1608"/>
    <n v="911.55161026678934"/>
    <s v="COD"/>
    <x v="0"/>
    <d v="2023-09-22T00:00:00"/>
    <n v="4"/>
    <n v="4"/>
    <x v="0"/>
  </r>
  <r>
    <s v="ORD00306"/>
    <d v="2023-09-14T00:00:00"/>
    <s v="CUST0096"/>
    <s v="Sneha"/>
    <s v="Delhi"/>
    <s v="Delhi"/>
    <x v="2"/>
    <x v="1"/>
    <s v="Women"/>
    <n v="1769"/>
    <n v="2862.1368423398881"/>
    <n v="4"/>
    <n v="5"/>
    <n v="10876.120000891575"/>
    <n v="7076"/>
    <n v="3800.1200008915748"/>
    <s v="Debit Card"/>
    <x v="1"/>
    <m/>
    <n v="10"/>
    <n v="1"/>
    <x v="1"/>
  </r>
  <r>
    <s v="ORD00342"/>
    <d v="2023-09-15T00:00:00"/>
    <s v="CUST0246"/>
    <s v="Meena"/>
    <s v="Kolkata"/>
    <s v="West Bengal"/>
    <x v="2"/>
    <x v="1"/>
    <s v="Women"/>
    <n v="952"/>
    <n v="1659.5647964070274"/>
    <n v="5"/>
    <n v="15"/>
    <n v="7053.1503847298663"/>
    <n v="4760"/>
    <n v="2293.1503847298663"/>
    <s v="COD"/>
    <x v="0"/>
    <d v="2023-09-25T00:00:00"/>
    <n v="3"/>
    <n v="4"/>
    <x v="0"/>
  </r>
  <r>
    <s v="ORD00388"/>
    <d v="2023-09-15T00:00:00"/>
    <s v="CUST0030"/>
    <s v="Kavya"/>
    <s v="Kolkata"/>
    <s v="West Bengal"/>
    <x v="11"/>
    <x v="2"/>
    <s v="Computers"/>
    <n v="47307"/>
    <n v="71785.589747488862"/>
    <n v="1"/>
    <n v="15"/>
    <n v="61017.751285365528"/>
    <n v="47307"/>
    <n v="13710.751285365528"/>
    <s v="Debit Card"/>
    <x v="0"/>
    <d v="2023-09-21T00:00:00"/>
    <n v="3"/>
    <n v="3"/>
    <x v="0"/>
  </r>
  <r>
    <s v="ORD00979"/>
    <d v="2023-09-15T00:00:00"/>
    <s v="CUST0015"/>
    <s v="Deepika"/>
    <s v="Ahmedabad"/>
    <s v="Gujarat"/>
    <x v="0"/>
    <x v="0"/>
    <s v="Kitchen"/>
    <n v="6891"/>
    <n v="8880.3294985906032"/>
    <n v="1"/>
    <n v="10"/>
    <n v="7992.2965487315432"/>
    <n v="6891"/>
    <n v="1101.2965487315432"/>
    <s v="COD"/>
    <x v="1"/>
    <m/>
    <n v="10"/>
    <n v="1"/>
    <x v="1"/>
  </r>
  <r>
    <s v="ORD00341"/>
    <d v="2023-09-16T00:00:00"/>
    <s v="CUST0025"/>
    <s v="Suresh"/>
    <s v="Mumbai"/>
    <s v="Maharashtra"/>
    <x v="8"/>
    <x v="3"/>
    <s v="Fragrance"/>
    <n v="718"/>
    <n v="827.63985046876746"/>
    <n v="1"/>
    <n v="10"/>
    <n v="744.87586542189069"/>
    <n v="718"/>
    <n v="26.875865421890694"/>
    <s v="Debit Card"/>
    <x v="1"/>
    <m/>
    <n v="9"/>
    <n v="1"/>
    <x v="1"/>
  </r>
  <r>
    <s v="ORD00800"/>
    <d v="2023-09-16T00:00:00"/>
    <s v="CUST0088"/>
    <s v="Meena"/>
    <s v="Chennai"/>
    <s v="Tamil Nadu"/>
    <x v="7"/>
    <x v="3"/>
    <s v="Skincare"/>
    <n v="595"/>
    <n v="884.30353590960192"/>
    <n v="3"/>
    <n v="0"/>
    <n v="2652.9106077288056"/>
    <n v="1785"/>
    <n v="867.91060772880564"/>
    <s v="Credit Card"/>
    <x v="0"/>
    <d v="2023-09-21T00:00:00"/>
    <n v="1"/>
    <n v="5"/>
    <x v="0"/>
  </r>
  <r>
    <s v="ORD00329"/>
    <d v="2023-09-17T00:00:00"/>
    <s v="CUST0076"/>
    <s v="Meena"/>
    <s v="Ahmedabad"/>
    <s v="Gujarat"/>
    <x v="8"/>
    <x v="3"/>
    <s v="Fragrance"/>
    <n v="687"/>
    <n v="1077.6663577323045"/>
    <n v="1"/>
    <n v="20"/>
    <n v="862.13308618584369"/>
    <n v="687"/>
    <n v="175.13308618584369"/>
    <s v="UPI"/>
    <x v="0"/>
    <d v="2023-09-25T00:00:00"/>
    <n v="4"/>
    <n v="2"/>
    <x v="0"/>
  </r>
  <r>
    <s v="ORD00475"/>
    <d v="2023-09-17T00:00:00"/>
    <s v="CUST0027"/>
    <s v="Amit"/>
    <s v="Bangalore"/>
    <s v="Karnataka"/>
    <x v="8"/>
    <x v="3"/>
    <s v="Fragrance"/>
    <n v="945"/>
    <n v="1436.3723130018745"/>
    <n v="4"/>
    <n v="10"/>
    <n v="5170.9403268067481"/>
    <n v="3780"/>
    <n v="1390.9403268067481"/>
    <s v="COD"/>
    <x v="0"/>
    <d v="2023-09-25T00:00:00"/>
    <n v="3"/>
    <n v="4"/>
    <x v="0"/>
  </r>
  <r>
    <s v="ORD00602"/>
    <d v="2023-09-17T00:00:00"/>
    <s v="CUST0111"/>
    <s v="Deepika"/>
    <s v="Ahmedabad"/>
    <s v="Gujarat"/>
    <x v="1"/>
    <x v="1"/>
    <s v="Men"/>
    <n v="728"/>
    <n v="910.1071959407634"/>
    <n v="1"/>
    <n v="10"/>
    <n v="819.09647634668704"/>
    <n v="728"/>
    <n v="91.096476346687041"/>
    <s v="Credit Card"/>
    <x v="0"/>
    <d v="2023-09-24T00:00:00"/>
    <n v="2"/>
    <n v="5"/>
    <x v="0"/>
  </r>
  <r>
    <s v="ORD00003"/>
    <d v="2023-09-18T00:00:00"/>
    <s v="CUST0158"/>
    <s v="Rahul"/>
    <s v="Mumbai"/>
    <s v="Maharashtra"/>
    <x v="4"/>
    <x v="1"/>
    <s v="Footwear"/>
    <n v="2149"/>
    <n v="3275.4656842300978"/>
    <n v="3"/>
    <n v="5"/>
    <n v="9335.077200055779"/>
    <n v="6447"/>
    <n v="2888.077200055779"/>
    <s v="Credit Card"/>
    <x v="1"/>
    <m/>
    <n v="8"/>
    <n v="4"/>
    <x v="1"/>
  </r>
  <r>
    <s v="ORD00308"/>
    <d v="2023-09-18T00:00:00"/>
    <s v="CUST0183"/>
    <s v="Deepika"/>
    <s v="Hyderabad"/>
    <s v="Telangana"/>
    <x v="0"/>
    <x v="0"/>
    <s v="Kitchen"/>
    <n v="5880"/>
    <n v="10125.489376456851"/>
    <n v="3"/>
    <n v="10"/>
    <n v="27338.821316433499"/>
    <n v="17640"/>
    <n v="9698.8213164334993"/>
    <s v="Debit Card"/>
    <x v="0"/>
    <d v="2023-09-30T00:00:00"/>
    <n v="6"/>
    <n v="3"/>
    <x v="0"/>
  </r>
  <r>
    <s v="ORD00554"/>
    <d v="2023-09-18T00:00:00"/>
    <s v="CUST0175"/>
    <s v="Suresh"/>
    <s v="Pune"/>
    <s v="Maharashtra"/>
    <x v="4"/>
    <x v="1"/>
    <s v="Footwear"/>
    <n v="935"/>
    <n v="1239.122274853441"/>
    <n v="3"/>
    <n v="0"/>
    <n v="3717.366824560323"/>
    <n v="2805"/>
    <n v="912.36682456032304"/>
    <s v="UPI"/>
    <x v="0"/>
    <d v="2023-09-26T00:00:00"/>
    <n v="5"/>
    <n v="3"/>
    <x v="0"/>
  </r>
  <r>
    <s v="ORD00898"/>
    <d v="2023-09-18T00:00:00"/>
    <s v="CUST0105"/>
    <s v="Kavya"/>
    <s v="Kolkata"/>
    <s v="West Bengal"/>
    <x v="4"/>
    <x v="1"/>
    <s v="Footwear"/>
    <n v="2873"/>
    <n v="3410.9284145676138"/>
    <n v="5"/>
    <n v="0"/>
    <n v="17054.642072838069"/>
    <n v="14365"/>
    <n v="2689.642072838069"/>
    <s v="UPI"/>
    <x v="0"/>
    <d v="2023-09-29T00:00:00"/>
    <n v="5"/>
    <n v="4"/>
    <x v="0"/>
  </r>
  <r>
    <s v="ORD00721"/>
    <d v="2023-09-19T00:00:00"/>
    <s v="CUST0241"/>
    <s v="Swathi"/>
    <s v="Pune"/>
    <s v="Maharashtra"/>
    <x v="2"/>
    <x v="1"/>
    <s v="Women"/>
    <n v="883"/>
    <n v="1576.6172885014591"/>
    <n v="2"/>
    <n v="5"/>
    <n v="2995.5728481527722"/>
    <n v="1766"/>
    <n v="1229.5728481527722"/>
    <s v="Credit Card"/>
    <x v="0"/>
    <d v="2023-09-26T00:00:00"/>
    <n v="4"/>
    <n v="3"/>
    <x v="0"/>
  </r>
  <r>
    <s v="ORD00411"/>
    <d v="2023-09-20T00:00:00"/>
    <s v="CUST0039"/>
    <s v="Manoj"/>
    <s v="Chennai"/>
    <s v="Tamil Nadu"/>
    <x v="0"/>
    <x v="0"/>
    <s v="Kitchen"/>
    <n v="6010"/>
    <n v="7653.6314651401817"/>
    <n v="2"/>
    <n v="0"/>
    <n v="15307.262930280363"/>
    <n v="12020"/>
    <n v="3287.2629302803634"/>
    <s v="UPI"/>
    <x v="0"/>
    <d v="2023-09-26T00:00:00"/>
    <n v="1"/>
    <n v="4"/>
    <x v="0"/>
  </r>
  <r>
    <s v="ORD00177"/>
    <d v="2023-09-21T00:00:00"/>
    <s v="CUST0208"/>
    <s v="Kavya"/>
    <s v="Delhi"/>
    <s v="Delhi"/>
    <x v="4"/>
    <x v="1"/>
    <s v="Footwear"/>
    <n v="904"/>
    <n v="1102.823576203635"/>
    <n v="5"/>
    <n v="0"/>
    <n v="5514.1178810181746"/>
    <n v="4520"/>
    <n v="994.11788101817456"/>
    <s v="UPI"/>
    <x v="1"/>
    <m/>
    <n v="9"/>
    <n v="1"/>
    <x v="1"/>
  </r>
  <r>
    <s v="ORD00351"/>
    <d v="2023-09-22T00:00:00"/>
    <s v="CUST0213"/>
    <s v="Anjali"/>
    <s v="Chennai"/>
    <s v="Tamil Nadu"/>
    <x v="11"/>
    <x v="2"/>
    <s v="Computers"/>
    <n v="42825"/>
    <n v="72568.336320234506"/>
    <n v="4"/>
    <n v="10"/>
    <n v="261246.01075284422"/>
    <n v="171300"/>
    <n v="89946.010752844217"/>
    <s v="COD"/>
    <x v="1"/>
    <m/>
    <n v="9"/>
    <n v="1"/>
    <x v="1"/>
  </r>
  <r>
    <s v="ORD00717"/>
    <d v="2023-09-22T00:00:00"/>
    <s v="CUST0163"/>
    <s v="Pooja"/>
    <s v="Bangalore"/>
    <s v="Karnataka"/>
    <x v="11"/>
    <x v="2"/>
    <s v="Computers"/>
    <n v="47559"/>
    <n v="85045.451431552341"/>
    <n v="1"/>
    <n v="15"/>
    <n v="72288.633716819488"/>
    <n v="47559"/>
    <n v="24729.633716819488"/>
    <s v="COD"/>
    <x v="0"/>
    <d v="2023-10-03T00:00:00"/>
    <n v="5"/>
    <n v="4"/>
    <x v="0"/>
  </r>
  <r>
    <s v="ORD00109"/>
    <d v="2023-09-23T00:00:00"/>
    <s v="CUST0098"/>
    <s v="Rahul"/>
    <s v="Mumbai"/>
    <s v="Maharashtra"/>
    <x v="11"/>
    <x v="2"/>
    <s v="Computers"/>
    <n v="36269"/>
    <n v="60787.706230277363"/>
    <n v="3"/>
    <n v="20"/>
    <n v="145890.49495266567"/>
    <n v="108807"/>
    <n v="37083.494952665671"/>
    <s v="Debit Card"/>
    <x v="1"/>
    <m/>
    <n v="8"/>
    <n v="2"/>
    <x v="1"/>
  </r>
  <r>
    <s v="ORD00325"/>
    <d v="2023-09-23T00:00:00"/>
    <s v="CUST0294"/>
    <s v="Nikhil"/>
    <s v="Bangalore"/>
    <s v="Karnataka"/>
    <x v="11"/>
    <x v="2"/>
    <s v="Computers"/>
    <n v="30666"/>
    <n v="50466.718344081673"/>
    <n v="1"/>
    <n v="0"/>
    <n v="50466.718344081673"/>
    <n v="30666"/>
    <n v="19800.718344081673"/>
    <s v="Debit Card"/>
    <x v="0"/>
    <d v="2023-09-30T00:00:00"/>
    <n v="4"/>
    <n v="4"/>
    <x v="0"/>
  </r>
  <r>
    <s v="ORD00652"/>
    <d v="2023-09-23T00:00:00"/>
    <s v="CUST0298"/>
    <s v="Anjali"/>
    <s v="Hyderabad"/>
    <s v="Telangana"/>
    <x v="7"/>
    <x v="3"/>
    <s v="Skincare"/>
    <n v="319"/>
    <n v="465.79559138880336"/>
    <n v="2"/>
    <n v="5"/>
    <n v="885.01162363872629"/>
    <n v="638"/>
    <n v="247.01162363872629"/>
    <s v="COD"/>
    <x v="0"/>
    <d v="2023-09-30T00:00:00"/>
    <n v="4"/>
    <n v="3"/>
    <x v="0"/>
  </r>
  <r>
    <s v="ORD00804"/>
    <d v="2023-09-23T00:00:00"/>
    <s v="CUST0287"/>
    <s v="Manoj"/>
    <s v="Pune"/>
    <s v="Maharashtra"/>
    <x v="7"/>
    <x v="3"/>
    <s v="Skincare"/>
    <n v="504"/>
    <n v="535.81752937446788"/>
    <n v="5"/>
    <n v="20"/>
    <n v="2143.2701174978715"/>
    <n v="2520"/>
    <n v="-376.72988250212848"/>
    <s v="Credit Card"/>
    <x v="1"/>
    <m/>
    <n v="9"/>
    <n v="1"/>
    <x v="1"/>
  </r>
  <r>
    <s v="ORD00161"/>
    <d v="2023-09-24T00:00:00"/>
    <s v="CUST0252"/>
    <s v="Nikhil"/>
    <s v="Delhi"/>
    <s v="Delhi"/>
    <x v="11"/>
    <x v="2"/>
    <s v="Computers"/>
    <n v="45435"/>
    <n v="64311.686635328726"/>
    <n v="1"/>
    <n v="5"/>
    <n v="61096.102303562286"/>
    <n v="45435"/>
    <n v="15661.102303562286"/>
    <s v="UPI"/>
    <x v="0"/>
    <d v="2023-10-05T00:00:00"/>
    <n v="4"/>
    <n v="2"/>
    <x v="0"/>
  </r>
  <r>
    <s v="ORD00179"/>
    <d v="2023-09-24T00:00:00"/>
    <s v="CUST0233"/>
    <s v="Divya"/>
    <s v="Bangalore"/>
    <s v="Karnataka"/>
    <x v="10"/>
    <x v="2"/>
    <s v="Mobile"/>
    <n v="53402"/>
    <n v="58932.696544521306"/>
    <n v="5"/>
    <n v="15"/>
    <n v="250463.96031421554"/>
    <n v="267010"/>
    <n v="-16546.039685784461"/>
    <s v="COD"/>
    <x v="1"/>
    <m/>
    <n v="9"/>
    <n v="1"/>
    <x v="1"/>
  </r>
  <r>
    <s v="ORD00449"/>
    <d v="2023-09-24T00:00:00"/>
    <s v="CUST0155"/>
    <s v="Sneha"/>
    <s v="Hyderabad"/>
    <s v="Telangana"/>
    <x v="5"/>
    <x v="0"/>
    <s v="Furniture"/>
    <n v="50274"/>
    <n v="89197.290398587618"/>
    <n v="2"/>
    <n v="0"/>
    <n v="178394.58079717524"/>
    <n v="100548"/>
    <n v="77846.580797175237"/>
    <s v="UPI"/>
    <x v="1"/>
    <m/>
    <n v="8"/>
    <n v="2"/>
    <x v="1"/>
  </r>
  <r>
    <s v="ORD00616"/>
    <d v="2023-09-24T00:00:00"/>
    <s v="CUST0044"/>
    <s v="Kiran"/>
    <s v="Bangalore"/>
    <s v="Karnataka"/>
    <x v="5"/>
    <x v="0"/>
    <s v="Furniture"/>
    <n v="25027"/>
    <n v="42408.73753456799"/>
    <n v="4"/>
    <n v="10"/>
    <n v="152671.45512444476"/>
    <n v="100108"/>
    <n v="52563.455124444765"/>
    <s v="UPI"/>
    <x v="0"/>
    <d v="2023-10-02T00:00:00"/>
    <n v="2"/>
    <n v="4"/>
    <x v="0"/>
  </r>
  <r>
    <s v="ORD00879"/>
    <d v="2023-09-24T00:00:00"/>
    <s v="CUST0153"/>
    <s v="Ramesh"/>
    <s v="Chennai"/>
    <s v="Tamil Nadu"/>
    <x v="5"/>
    <x v="0"/>
    <s v="Furniture"/>
    <n v="40861"/>
    <n v="63489.717782312546"/>
    <n v="5"/>
    <n v="0"/>
    <n v="317448.58891156275"/>
    <n v="204305"/>
    <n v="113143.58891156275"/>
    <s v="Credit Card"/>
    <x v="0"/>
    <d v="2023-10-07T00:00:00"/>
    <n v="6"/>
    <n v="2"/>
    <x v="0"/>
  </r>
  <r>
    <s v="ORD00884"/>
    <d v="2023-09-24T00:00:00"/>
    <s v="CUST0155"/>
    <s v="Kavya"/>
    <s v="Hyderabad"/>
    <s v="Telangana"/>
    <x v="5"/>
    <x v="0"/>
    <s v="Furniture"/>
    <n v="56519"/>
    <n v="95354.53517831229"/>
    <n v="2"/>
    <n v="5"/>
    <n v="181173.61683879333"/>
    <n v="113038"/>
    <n v="68135.616838793328"/>
    <s v="UPI"/>
    <x v="0"/>
    <d v="2023-10-02T00:00:00"/>
    <n v="4"/>
    <n v="4"/>
    <x v="0"/>
  </r>
  <r>
    <s v="ORD00017"/>
    <d v="2023-09-25T00:00:00"/>
    <s v="CUST0174"/>
    <s v="Pooja"/>
    <s v="Kolkata"/>
    <s v="West Bengal"/>
    <x v="5"/>
    <x v="0"/>
    <s v="Furniture"/>
    <n v="25401"/>
    <n v="34269.991334880957"/>
    <n v="1"/>
    <n v="15"/>
    <n v="29129.492634648814"/>
    <n v="25401"/>
    <n v="3728.4926346488137"/>
    <s v="Credit Card"/>
    <x v="0"/>
    <d v="2023-10-06T00:00:00"/>
    <n v="6"/>
    <n v="3"/>
    <x v="0"/>
  </r>
  <r>
    <s v="ORD00517"/>
    <d v="2023-09-25T00:00:00"/>
    <s v="CUST0104"/>
    <s v="Vikram"/>
    <s v="Delhi"/>
    <s v="Delhi"/>
    <x v="10"/>
    <x v="2"/>
    <s v="Mobile"/>
    <n v="86220"/>
    <n v="128931.79324069449"/>
    <n v="5"/>
    <n v="10"/>
    <n v="580193.06958312518"/>
    <n v="431100"/>
    <n v="149093.06958312518"/>
    <s v="Credit Card"/>
    <x v="0"/>
    <d v="2023-10-03T00:00:00"/>
    <n v="1"/>
    <n v="5"/>
    <x v="0"/>
  </r>
  <r>
    <s v="ORD00634"/>
    <d v="2023-09-25T00:00:00"/>
    <s v="CUST0266"/>
    <s v="Vikram"/>
    <s v="Mumbai"/>
    <s v="Maharashtra"/>
    <x v="8"/>
    <x v="3"/>
    <s v="Fragrance"/>
    <n v="863"/>
    <n v="1373.7522651782867"/>
    <n v="5"/>
    <n v="15"/>
    <n v="5838.4471270077183"/>
    <n v="4315"/>
    <n v="1523.4471270077183"/>
    <s v="Credit Card"/>
    <x v="0"/>
    <d v="2023-10-04T00:00:00"/>
    <n v="5"/>
    <n v="2"/>
    <x v="0"/>
  </r>
  <r>
    <s v="ORD00815"/>
    <d v="2023-09-25T00:00:00"/>
    <s v="CUST0081"/>
    <s v="Swathi"/>
    <s v="Ahmedabad"/>
    <s v="Gujarat"/>
    <x v="9"/>
    <x v="2"/>
    <s v="TV"/>
    <n v="49392"/>
    <n v="60028.719670464146"/>
    <n v="2"/>
    <n v="0"/>
    <n v="120057.43934092829"/>
    <n v="98784"/>
    <n v="21273.439340928293"/>
    <s v="COD"/>
    <x v="0"/>
    <d v="2023-10-05T00:00:00"/>
    <n v="3"/>
    <n v="4"/>
    <x v="0"/>
  </r>
  <r>
    <s v="ORD00894"/>
    <d v="2023-09-25T00:00:00"/>
    <s v="CUST0120"/>
    <s v="Priya"/>
    <s v="Mumbai"/>
    <s v="Maharashtra"/>
    <x v="11"/>
    <x v="2"/>
    <s v="Computers"/>
    <n v="43759"/>
    <n v="49910.483964648483"/>
    <n v="5"/>
    <n v="0"/>
    <n v="249552.41982324241"/>
    <n v="218795"/>
    <n v="30757.41982324241"/>
    <s v="Credit Card"/>
    <x v="0"/>
    <d v="2023-09-30T00:00:00"/>
    <n v="1"/>
    <n v="4"/>
    <x v="0"/>
  </r>
  <r>
    <s v="ORD01186"/>
    <d v="2023-09-25T00:00:00"/>
    <s v="CUST0223"/>
    <s v="Manoj"/>
    <s v="Pune"/>
    <s v="Maharashtra"/>
    <x v="4"/>
    <x v="1"/>
    <s v="Footwear"/>
    <n v="2496"/>
    <n v="4256.8229940802939"/>
    <n v="1"/>
    <n v="10"/>
    <n v="3831.1406946722645"/>
    <n v="2496"/>
    <n v="1335.1406946722645"/>
    <s v="UPI"/>
    <x v="0"/>
    <d v="2023-10-04T00:00:00"/>
    <n v="5"/>
    <n v="2"/>
    <x v="0"/>
  </r>
  <r>
    <s v="ORD00105"/>
    <d v="2023-09-26T00:00:00"/>
    <s v="CUST0172"/>
    <s v="Meena"/>
    <s v="Bangalore"/>
    <s v="Karnataka"/>
    <x v="9"/>
    <x v="2"/>
    <s v="TV"/>
    <n v="44381"/>
    <n v="48985.964743263081"/>
    <n v="4"/>
    <n v="15"/>
    <n v="166552.28012709448"/>
    <n v="177524"/>
    <n v="-10971.719872905524"/>
    <s v="Debit Card"/>
    <x v="1"/>
    <m/>
    <n v="9"/>
    <n v="1"/>
    <x v="1"/>
  </r>
  <r>
    <s v="ORD00131"/>
    <d v="2023-09-26T00:00:00"/>
    <s v="CUST0114"/>
    <s v="Meena"/>
    <s v="Bangalore"/>
    <s v="Karnataka"/>
    <x v="11"/>
    <x v="2"/>
    <s v="Computers"/>
    <n v="34462"/>
    <n v="36083.994260207211"/>
    <n v="2"/>
    <n v="20"/>
    <n v="57734.390816331543"/>
    <n v="68924"/>
    <n v="-11189.609183668457"/>
    <s v="COD"/>
    <x v="1"/>
    <m/>
    <n v="10"/>
    <n v="1"/>
    <x v="1"/>
  </r>
  <r>
    <s v="ORD00563"/>
    <d v="2023-09-26T00:00:00"/>
    <s v="CUST0261"/>
    <s v="Rohit"/>
    <s v="Pune"/>
    <s v="Maharashtra"/>
    <x v="8"/>
    <x v="3"/>
    <s v="Fragrance"/>
    <n v="599"/>
    <n v="602.23512318308883"/>
    <n v="4"/>
    <n v="0"/>
    <n v="2408.9404927323553"/>
    <n v="2396"/>
    <n v="12.940492732355324"/>
    <s v="Debit Card"/>
    <x v="0"/>
    <d v="2023-10-08T00:00:00"/>
    <n v="8"/>
    <n v="4"/>
    <x v="2"/>
  </r>
  <r>
    <s v="ORD00786"/>
    <d v="2023-09-26T00:00:00"/>
    <s v="CUST0159"/>
    <s v="Swathi"/>
    <s v="Delhi"/>
    <s v="Delhi"/>
    <x v="9"/>
    <x v="2"/>
    <s v="TV"/>
    <n v="34862"/>
    <n v="59049.004257977518"/>
    <n v="4"/>
    <n v="15"/>
    <n v="200766.61447712357"/>
    <n v="139448"/>
    <n v="61318.61447712357"/>
    <s v="Debit Card"/>
    <x v="0"/>
    <d v="2023-10-02T00:00:00"/>
    <n v="2"/>
    <n v="5"/>
    <x v="0"/>
  </r>
  <r>
    <s v="ORD01061"/>
    <d v="2023-09-27T00:00:00"/>
    <s v="CUST0164"/>
    <s v="Vikram"/>
    <s v="Mumbai"/>
    <s v="Maharashtra"/>
    <x v="5"/>
    <x v="0"/>
    <s v="Furniture"/>
    <n v="26035"/>
    <n v="37019.494989124018"/>
    <n v="3"/>
    <n v="20"/>
    <n v="88846.787973897648"/>
    <n v="78105"/>
    <n v="10741.787973897648"/>
    <s v="Debit Card"/>
    <x v="1"/>
    <m/>
    <n v="9"/>
    <n v="1"/>
    <x v="1"/>
  </r>
  <r>
    <s v="ORD01108"/>
    <d v="2023-09-27T00:00:00"/>
    <s v="CUST0165"/>
    <s v="Nikhil"/>
    <s v="Mumbai"/>
    <s v="Maharashtra"/>
    <x v="4"/>
    <x v="1"/>
    <s v="Footwear"/>
    <n v="2074"/>
    <n v="2831.8390115728303"/>
    <n v="1"/>
    <n v="10"/>
    <n v="2548.6551104155474"/>
    <n v="2074"/>
    <n v="474.65511041554737"/>
    <s v="Credit Card"/>
    <x v="1"/>
    <m/>
    <n v="10"/>
    <n v="1"/>
    <x v="1"/>
  </r>
  <r>
    <s v="ORD00297"/>
    <d v="2023-09-28T00:00:00"/>
    <s v="CUST0111"/>
    <s v="Meena"/>
    <s v="Chennai"/>
    <s v="Tamil Nadu"/>
    <x v="3"/>
    <x v="2"/>
    <s v="Accessories"/>
    <n v="1894"/>
    <n v="2032.7250059665198"/>
    <n v="5"/>
    <n v="0"/>
    <n v="10163.625029832599"/>
    <n v="9470"/>
    <n v="693.62502983259947"/>
    <s v="Debit Card"/>
    <x v="1"/>
    <m/>
    <n v="9"/>
    <n v="1"/>
    <x v="1"/>
  </r>
  <r>
    <s v="ORD00392"/>
    <d v="2023-09-28T00:00:00"/>
    <s v="CUST0186"/>
    <s v="Amit"/>
    <s v="Kolkata"/>
    <s v="West Bengal"/>
    <x v="8"/>
    <x v="3"/>
    <s v="Fragrance"/>
    <n v="877"/>
    <n v="1199.2807170124534"/>
    <n v="4"/>
    <n v="15"/>
    <n v="4077.5544378423415"/>
    <n v="3508"/>
    <n v="569.55443784234149"/>
    <s v="Debit Card"/>
    <x v="0"/>
    <d v="2023-10-10T00:00:00"/>
    <n v="8"/>
    <n v="3"/>
    <x v="0"/>
  </r>
  <r>
    <s v="ORD00417"/>
    <d v="2023-09-28T00:00:00"/>
    <s v="CUST0183"/>
    <s v="Divya"/>
    <s v="Bangalore"/>
    <s v="Karnataka"/>
    <x v="8"/>
    <x v="3"/>
    <s v="Fragrance"/>
    <n v="502"/>
    <n v="552.65930619269727"/>
    <n v="2"/>
    <n v="5"/>
    <n v="1050.0526817661248"/>
    <n v="1004"/>
    <n v="46.052681766124806"/>
    <s v="Credit Card"/>
    <x v="1"/>
    <m/>
    <n v="9"/>
    <n v="1"/>
    <x v="1"/>
  </r>
  <r>
    <s v="ORD00827"/>
    <d v="2023-09-28T00:00:00"/>
    <s v="CUST0201"/>
    <s v="Kavya"/>
    <s v="Hyderabad"/>
    <s v="Telangana"/>
    <x v="10"/>
    <x v="2"/>
    <s v="Mobile"/>
    <n v="53372"/>
    <n v="88234.15884746729"/>
    <n v="2"/>
    <n v="5"/>
    <n v="167644.90181018785"/>
    <n v="106744"/>
    <n v="60900.901810187846"/>
    <s v="UPI"/>
    <x v="0"/>
    <d v="2023-10-06T00:00:00"/>
    <n v="5"/>
    <n v="2"/>
    <x v="0"/>
  </r>
  <r>
    <s v="ORD01048"/>
    <d v="2023-09-28T00:00:00"/>
    <s v="CUST0239"/>
    <s v="Priya"/>
    <s v="Pune"/>
    <s v="Maharashtra"/>
    <x v="7"/>
    <x v="3"/>
    <s v="Skincare"/>
    <n v="458"/>
    <n v="718.96220157598066"/>
    <n v="2"/>
    <n v="0"/>
    <n v="1437.9244031519613"/>
    <n v="916"/>
    <n v="521.92440315196131"/>
    <s v="UPI"/>
    <x v="1"/>
    <m/>
    <n v="7"/>
    <n v="4"/>
    <x v="1"/>
  </r>
  <r>
    <s v="ORD00052"/>
    <d v="2023-09-29T00:00:00"/>
    <s v="CUST0012"/>
    <s v="Pooja"/>
    <s v="Pune"/>
    <s v="Maharashtra"/>
    <x v="0"/>
    <x v="0"/>
    <s v="Kitchen"/>
    <n v="4024"/>
    <n v="5765.2560179849206"/>
    <n v="2"/>
    <n v="15"/>
    <n v="9800.9352305743651"/>
    <n v="8048"/>
    <n v="1752.9352305743651"/>
    <s v="Credit Card"/>
    <x v="0"/>
    <d v="2023-10-09T00:00:00"/>
    <n v="5"/>
    <n v="2"/>
    <x v="0"/>
  </r>
  <r>
    <s v="ORD00167"/>
    <d v="2023-09-29T00:00:00"/>
    <s v="CUST0010"/>
    <s v="Manoj"/>
    <s v="Ahmedabad"/>
    <s v="Gujarat"/>
    <x v="3"/>
    <x v="2"/>
    <s v="Accessories"/>
    <n v="505"/>
    <n v="689.87039272694972"/>
    <n v="5"/>
    <n v="15"/>
    <n v="2931.9491690895361"/>
    <n v="2525"/>
    <n v="406.9491690895361"/>
    <s v="Debit Card"/>
    <x v="0"/>
    <d v="2023-10-10T00:00:00"/>
    <n v="8"/>
    <n v="2"/>
    <x v="0"/>
  </r>
  <r>
    <s v="ORD00299"/>
    <d v="2023-09-29T00:00:00"/>
    <s v="CUST0168"/>
    <s v="Divya"/>
    <s v="Bangalore"/>
    <s v="Karnataka"/>
    <x v="10"/>
    <x v="2"/>
    <s v="Mobile"/>
    <n v="85645"/>
    <n v="105941.10767658638"/>
    <n v="1"/>
    <n v="5"/>
    <n v="100644.05229275706"/>
    <n v="85645"/>
    <n v="14999.052292757056"/>
    <s v="COD"/>
    <x v="0"/>
    <d v="2023-10-08T00:00:00"/>
    <n v="6"/>
    <n v="4"/>
    <x v="2"/>
  </r>
  <r>
    <s v="ORD00582"/>
    <d v="2023-09-29T00:00:00"/>
    <s v="CUST0003"/>
    <s v="Sneha"/>
    <s v="Hyderabad"/>
    <s v="Telangana"/>
    <x v="3"/>
    <x v="2"/>
    <s v="Accessories"/>
    <n v="1196"/>
    <n v="1817.1483370569181"/>
    <n v="2"/>
    <n v="20"/>
    <n v="2907.4373392910693"/>
    <n v="2392"/>
    <n v="515.43733929106929"/>
    <s v="UPI"/>
    <x v="0"/>
    <d v="2023-10-05T00:00:00"/>
    <n v="2"/>
    <n v="4"/>
    <x v="0"/>
  </r>
  <r>
    <s v="ORD00750"/>
    <d v="2023-09-29T00:00:00"/>
    <s v="CUST0209"/>
    <s v="Anjali"/>
    <s v="Hyderabad"/>
    <s v="Telangana"/>
    <x v="5"/>
    <x v="0"/>
    <s v="Furniture"/>
    <n v="30234"/>
    <n v="46070.594365832541"/>
    <n v="3"/>
    <n v="0"/>
    <n v="138211.78309749762"/>
    <n v="90702"/>
    <n v="47509.783097497624"/>
    <s v="COD"/>
    <x v="1"/>
    <m/>
    <n v="8"/>
    <n v="2"/>
    <x v="1"/>
  </r>
  <r>
    <s v="ORD00016"/>
    <d v="2023-09-30T00:00:00"/>
    <s v="CUST0099"/>
    <s v="Arjun"/>
    <s v="Chennai"/>
    <s v="Tamil Nadu"/>
    <x v="0"/>
    <x v="0"/>
    <s v="Kitchen"/>
    <n v="4657"/>
    <n v="7692.2850431121033"/>
    <n v="5"/>
    <n v="0"/>
    <n v="38461.425215560514"/>
    <n v="23285"/>
    <n v="15176.425215560514"/>
    <s v="Debit Card"/>
    <x v="0"/>
    <d v="2023-10-09T00:00:00"/>
    <n v="5"/>
    <n v="2"/>
    <x v="0"/>
  </r>
  <r>
    <s v="ORD00420"/>
    <d v="2023-09-30T00:00:00"/>
    <s v="CUST0277"/>
    <s v="Rohit"/>
    <s v="Mumbai"/>
    <s v="Maharashtra"/>
    <x v="9"/>
    <x v="2"/>
    <s v="TV"/>
    <n v="74968"/>
    <n v="116905.6542913976"/>
    <n v="5"/>
    <n v="10"/>
    <n v="526075.44431128923"/>
    <n v="374840"/>
    <n v="151235.44431128923"/>
    <s v="COD"/>
    <x v="0"/>
    <d v="2023-10-10T00:00:00"/>
    <n v="4"/>
    <n v="2"/>
    <x v="0"/>
  </r>
  <r>
    <s v="ORD00535"/>
    <d v="2023-09-30T00:00:00"/>
    <s v="CUST0091"/>
    <s v="Vikram"/>
    <s v="Hyderabad"/>
    <s v="Telangana"/>
    <x v="2"/>
    <x v="1"/>
    <s v="Women"/>
    <n v="988"/>
    <n v="1251.9552371042801"/>
    <n v="3"/>
    <n v="15"/>
    <n v="3192.4858546159139"/>
    <n v="2964"/>
    <n v="228.48585461591392"/>
    <s v="COD"/>
    <x v="1"/>
    <m/>
    <n v="7"/>
    <n v="3"/>
    <x v="1"/>
  </r>
  <r>
    <s v="ORD00590"/>
    <d v="2023-09-30T00:00:00"/>
    <s v="CUST0175"/>
    <s v="Deepika"/>
    <s v="Pune"/>
    <s v="Maharashtra"/>
    <x v="4"/>
    <x v="1"/>
    <s v="Footwear"/>
    <n v="1575"/>
    <n v="2693.6641466826813"/>
    <n v="1"/>
    <n v="10"/>
    <n v="2424.2977320144132"/>
    <n v="1575"/>
    <n v="849.29773201441321"/>
    <s v="Debit Card"/>
    <x v="0"/>
    <d v="2023-10-07T00:00:00"/>
    <n v="2"/>
    <n v="4"/>
    <x v="0"/>
  </r>
  <r>
    <s v="ORD00632"/>
    <d v="2023-09-30T00:00:00"/>
    <s v="CUST0234"/>
    <s v="Manoj"/>
    <s v="Ahmedabad"/>
    <s v="Gujarat"/>
    <x v="2"/>
    <x v="1"/>
    <s v="Women"/>
    <n v="1071"/>
    <n v="1136.5125370160893"/>
    <n v="5"/>
    <n v="15"/>
    <n v="4830.1782823183794"/>
    <n v="5355"/>
    <n v="-524.82171768162061"/>
    <s v="Credit Card"/>
    <x v="0"/>
    <d v="2023-10-08T00:00:00"/>
    <n v="4"/>
    <n v="4"/>
    <x v="0"/>
  </r>
  <r>
    <s v="ORD00369"/>
    <d v="2023-10-01T00:00:00"/>
    <s v="CUST0140"/>
    <s v="Ramesh"/>
    <s v="Mumbai"/>
    <s v="Maharashtra"/>
    <x v="6"/>
    <x v="1"/>
    <s v="Men"/>
    <n v="1343"/>
    <n v="1405.9501988948475"/>
    <n v="4"/>
    <n v="10"/>
    <n v="5061.420716021451"/>
    <n v="5372"/>
    <n v="-310.57928397854903"/>
    <s v="COD"/>
    <x v="1"/>
    <m/>
    <n v="10"/>
    <n v="1"/>
    <x v="1"/>
  </r>
  <r>
    <s v="ORD00783"/>
    <d v="2023-10-01T00:00:00"/>
    <s v="CUST0038"/>
    <s v="Rohit"/>
    <s v="Delhi"/>
    <s v="Delhi"/>
    <x v="7"/>
    <x v="3"/>
    <s v="Skincare"/>
    <n v="302"/>
    <n v="513.37764823158432"/>
    <n v="1"/>
    <n v="20"/>
    <n v="410.7021185852675"/>
    <n v="302"/>
    <n v="108.7021185852675"/>
    <s v="COD"/>
    <x v="1"/>
    <m/>
    <n v="10"/>
    <n v="1"/>
    <x v="1"/>
  </r>
  <r>
    <s v="ORD00938"/>
    <d v="2023-10-01T00:00:00"/>
    <s v="CUST0163"/>
    <s v="Ramesh"/>
    <s v="Kolkata"/>
    <s v="West Bengal"/>
    <x v="7"/>
    <x v="3"/>
    <s v="Skincare"/>
    <n v="468"/>
    <n v="567.14522656767133"/>
    <n v="5"/>
    <n v="5"/>
    <n v="2693.9398261964384"/>
    <n v="2340"/>
    <n v="353.93982619643839"/>
    <s v="Debit Card"/>
    <x v="1"/>
    <m/>
    <n v="9"/>
    <n v="1"/>
    <x v="1"/>
  </r>
  <r>
    <s v="ORD00605"/>
    <d v="2023-10-02T00:00:00"/>
    <s v="CUST0289"/>
    <s v="Neha"/>
    <s v="Pune"/>
    <s v="Maharashtra"/>
    <x v="2"/>
    <x v="1"/>
    <s v="Women"/>
    <n v="808"/>
    <n v="912.84486971813055"/>
    <n v="5"/>
    <n v="0"/>
    <n v="4564.2243485906529"/>
    <n v="4040"/>
    <n v="524.22434859065288"/>
    <s v="UPI"/>
    <x v="0"/>
    <d v="2023-10-12T00:00:00"/>
    <n v="7"/>
    <n v="3"/>
    <x v="0"/>
  </r>
  <r>
    <s v="ORD00688"/>
    <d v="2023-10-02T00:00:00"/>
    <s v="CUST0090"/>
    <s v="Rahul"/>
    <s v="Hyderabad"/>
    <s v="Telangana"/>
    <x v="2"/>
    <x v="1"/>
    <s v="Women"/>
    <n v="1253"/>
    <n v="1342.2826842976488"/>
    <n v="1"/>
    <n v="20"/>
    <n v="1073.8261474381191"/>
    <n v="1253"/>
    <n v="-179.17385256188095"/>
    <s v="COD"/>
    <x v="0"/>
    <d v="2023-10-12T00:00:00"/>
    <n v="6"/>
    <n v="3"/>
    <x v="0"/>
  </r>
  <r>
    <s v="ORD00833"/>
    <d v="2023-10-02T00:00:00"/>
    <s v="CUST0077"/>
    <s v="Sneha"/>
    <s v="Delhi"/>
    <s v="Delhi"/>
    <x v="2"/>
    <x v="1"/>
    <s v="Women"/>
    <n v="1592"/>
    <n v="1921.3992258366382"/>
    <n v="3"/>
    <n v="10"/>
    <n v="5187.7779097589237"/>
    <n v="4776"/>
    <n v="411.77790975892367"/>
    <s v="COD"/>
    <x v="0"/>
    <d v="2023-10-09T00:00:00"/>
    <n v="2"/>
    <n v="5"/>
    <x v="0"/>
  </r>
  <r>
    <s v="ORD01041"/>
    <d v="2023-10-02T00:00:00"/>
    <s v="CUST0039"/>
    <s v="Ramesh"/>
    <s v="Kolkata"/>
    <s v="West Bengal"/>
    <x v="6"/>
    <x v="1"/>
    <s v="Men"/>
    <n v="932"/>
    <n v="1580.2795868094274"/>
    <n v="2"/>
    <n v="15"/>
    <n v="2686.4752975760266"/>
    <n v="1864"/>
    <n v="822.47529757602661"/>
    <s v="COD"/>
    <x v="1"/>
    <m/>
    <n v="9"/>
    <n v="1"/>
    <x v="1"/>
  </r>
  <r>
    <s v="ORD01132"/>
    <d v="2023-10-02T00:00:00"/>
    <s v="CUST0122"/>
    <s v="Meena"/>
    <s v="Delhi"/>
    <s v="Delhi"/>
    <x v="4"/>
    <x v="1"/>
    <s v="Footwear"/>
    <n v="922"/>
    <n v="1337.3238270550257"/>
    <n v="3"/>
    <n v="20"/>
    <n v="3209.5771849320622"/>
    <n v="2766"/>
    <n v="443.57718493206221"/>
    <s v="Credit Card"/>
    <x v="1"/>
    <m/>
    <n v="9"/>
    <n v="1"/>
    <x v="1"/>
  </r>
  <r>
    <s v="ORD00001"/>
    <d v="2023-10-03T00:00:00"/>
    <s v="CUST0013"/>
    <s v="Priya"/>
    <s v="Delhi"/>
    <s v="Delhi"/>
    <x v="3"/>
    <x v="2"/>
    <s v="Accessories"/>
    <n v="1713"/>
    <n v="1989.8490926630138"/>
    <n v="1"/>
    <n v="10"/>
    <n v="1790.8641833967124"/>
    <n v="1713"/>
    <n v="77.864183396712406"/>
    <s v="COD"/>
    <x v="0"/>
    <d v="2023-10-15T00:00:00"/>
    <n v="5"/>
    <n v="3"/>
    <x v="0"/>
  </r>
  <r>
    <s v="ORD00730"/>
    <d v="2023-10-03T00:00:00"/>
    <s v="CUST0208"/>
    <s v="Amit"/>
    <s v="Delhi"/>
    <s v="Delhi"/>
    <x v="5"/>
    <x v="0"/>
    <s v="Furniture"/>
    <n v="55335"/>
    <n v="78113.339045849585"/>
    <n v="5"/>
    <n v="5"/>
    <n v="371038.3604677855"/>
    <n v="276675"/>
    <n v="94363.360467785504"/>
    <s v="Credit Card"/>
    <x v="1"/>
    <m/>
    <n v="10"/>
    <n v="1"/>
    <x v="1"/>
  </r>
  <r>
    <s v="ORD01082"/>
    <d v="2023-10-03T00:00:00"/>
    <s v="CUST0084"/>
    <s v="Pooja"/>
    <s v="Ahmedabad"/>
    <s v="Gujarat"/>
    <x v="11"/>
    <x v="2"/>
    <s v="Computers"/>
    <n v="34246"/>
    <n v="44474.43112559773"/>
    <n v="4"/>
    <n v="10"/>
    <n v="160107.95205215184"/>
    <n v="136984"/>
    <n v="23123.952052151843"/>
    <s v="Debit Card"/>
    <x v="0"/>
    <d v="2023-10-08T00:00:00"/>
    <n v="1"/>
    <n v="4"/>
    <x v="0"/>
  </r>
  <r>
    <s v="ORD00943"/>
    <d v="2023-10-04T00:00:00"/>
    <s v="CUST0297"/>
    <s v="Rahul"/>
    <s v="Bangalore"/>
    <s v="Karnataka"/>
    <x v="6"/>
    <x v="1"/>
    <s v="Men"/>
    <n v="866"/>
    <n v="1142.5409551585226"/>
    <n v="3"/>
    <n v="15"/>
    <n v="2913.4794356542325"/>
    <n v="2598"/>
    <n v="315.47943565423247"/>
    <s v="COD"/>
    <x v="1"/>
    <m/>
    <n v="8"/>
    <n v="3"/>
    <x v="1"/>
  </r>
  <r>
    <s v="ORD00147"/>
    <d v="2023-10-05T00:00:00"/>
    <s v="CUST0169"/>
    <s v="Priya"/>
    <s v="Pune"/>
    <s v="Maharashtra"/>
    <x v="8"/>
    <x v="3"/>
    <s v="Fragrance"/>
    <n v="827"/>
    <n v="1078.2324266946162"/>
    <n v="1"/>
    <n v="15"/>
    <n v="916.49756269042371"/>
    <n v="827"/>
    <n v="89.497562690423706"/>
    <s v="UPI"/>
    <x v="0"/>
    <d v="2023-10-17T00:00:00"/>
    <n v="5"/>
    <n v="4"/>
    <x v="0"/>
  </r>
  <r>
    <s v="ORD00693"/>
    <d v="2023-10-05T00:00:00"/>
    <s v="CUST0161"/>
    <s v="Vikram"/>
    <s v="Kolkata"/>
    <s v="West Bengal"/>
    <x v="2"/>
    <x v="1"/>
    <s v="Women"/>
    <n v="1337"/>
    <n v="1762.1092040276255"/>
    <n v="3"/>
    <n v="15"/>
    <n v="4493.3784702704452"/>
    <n v="4011"/>
    <n v="482.37847027044518"/>
    <s v="Debit Card"/>
    <x v="0"/>
    <d v="2023-10-15T00:00:00"/>
    <n v="5"/>
    <n v="3"/>
    <x v="0"/>
  </r>
  <r>
    <s v="ORD00718"/>
    <d v="2023-10-05T00:00:00"/>
    <s v="CUST0219"/>
    <s v="Manoj"/>
    <s v="Kolkata"/>
    <s v="West Bengal"/>
    <x v="6"/>
    <x v="1"/>
    <s v="Men"/>
    <n v="1102"/>
    <n v="1670.2491594492333"/>
    <n v="5"/>
    <n v="20"/>
    <n v="6680.996637796934"/>
    <n v="5510"/>
    <n v="1170.996637796934"/>
    <s v="Debit Card"/>
    <x v="0"/>
    <d v="2023-10-17T00:00:00"/>
    <n v="5"/>
    <n v="2"/>
    <x v="0"/>
  </r>
  <r>
    <s v="ORD00951"/>
    <d v="2023-10-05T00:00:00"/>
    <s v="CUST0220"/>
    <s v="Divya"/>
    <s v="Hyderabad"/>
    <s v="Telangana"/>
    <x v="1"/>
    <x v="1"/>
    <s v="Men"/>
    <n v="346"/>
    <n v="410.48264152162244"/>
    <n v="1"/>
    <n v="10"/>
    <n v="369.43437736946021"/>
    <n v="346"/>
    <n v="23.434377369460208"/>
    <s v="UPI"/>
    <x v="0"/>
    <d v="2023-10-14T00:00:00"/>
    <n v="5"/>
    <n v="3"/>
    <x v="0"/>
  </r>
  <r>
    <s v="ORD01131"/>
    <d v="2023-10-05T00:00:00"/>
    <s v="CUST0082"/>
    <s v="Divya"/>
    <s v="Pune"/>
    <s v="Maharashtra"/>
    <x v="9"/>
    <x v="2"/>
    <s v="TV"/>
    <n v="30926"/>
    <n v="51732.556096976667"/>
    <n v="5"/>
    <n v="20"/>
    <n v="206930.2243879067"/>
    <n v="154630"/>
    <n v="52300.224387906695"/>
    <s v="Credit Card"/>
    <x v="0"/>
    <d v="2023-10-15T00:00:00"/>
    <n v="4"/>
    <n v="4"/>
    <x v="0"/>
  </r>
  <r>
    <s v="ORD00173"/>
    <d v="2023-10-07T00:00:00"/>
    <s v="CUST0234"/>
    <s v="Priya"/>
    <s v="Bangalore"/>
    <s v="Karnataka"/>
    <x v="1"/>
    <x v="1"/>
    <s v="Men"/>
    <n v="547"/>
    <n v="630.21353482506072"/>
    <n v="5"/>
    <n v="0"/>
    <n v="3151.0676741253037"/>
    <n v="2735"/>
    <n v="416.06767412530371"/>
    <s v="Debit Card"/>
    <x v="1"/>
    <m/>
    <n v="10"/>
    <n v="1"/>
    <x v="1"/>
  </r>
  <r>
    <s v="ORD00439"/>
    <d v="2023-10-07T00:00:00"/>
    <s v="CUST0187"/>
    <s v="Pooja"/>
    <s v="Mumbai"/>
    <s v="Maharashtra"/>
    <x v="5"/>
    <x v="0"/>
    <s v="Furniture"/>
    <n v="47071"/>
    <n v="70955.564097642622"/>
    <n v="2"/>
    <n v="10"/>
    <n v="127720.01537575672"/>
    <n v="94142"/>
    <n v="33578.015375756717"/>
    <s v="COD"/>
    <x v="1"/>
    <m/>
    <n v="9"/>
    <n v="1"/>
    <x v="1"/>
  </r>
  <r>
    <s v="ORD00429"/>
    <d v="2023-10-08T00:00:00"/>
    <s v="CUST0173"/>
    <s v="Priya"/>
    <s v="Mumbai"/>
    <s v="Maharashtra"/>
    <x v="6"/>
    <x v="1"/>
    <s v="Men"/>
    <n v="1349"/>
    <n v="1816.8088088617983"/>
    <n v="3"/>
    <n v="15"/>
    <n v="4632.8624625975854"/>
    <n v="4047"/>
    <n v="585.86246259758536"/>
    <s v="Credit Card"/>
    <x v="1"/>
    <m/>
    <n v="8"/>
    <n v="2"/>
    <x v="1"/>
  </r>
  <r>
    <s v="ORD00911"/>
    <d v="2023-10-08T00:00:00"/>
    <s v="CUST0250"/>
    <s v="Kavya"/>
    <s v="Hyderabad"/>
    <s v="Telangana"/>
    <x v="10"/>
    <x v="2"/>
    <s v="Mobile"/>
    <n v="61713"/>
    <n v="66343.81468542559"/>
    <n v="3"/>
    <n v="15"/>
    <n v="169176.72744783523"/>
    <n v="185139"/>
    <n v="-15962.272552164766"/>
    <s v="Credit Card"/>
    <x v="1"/>
    <m/>
    <n v="7"/>
    <n v="4"/>
    <x v="1"/>
  </r>
  <r>
    <s v="ORD00287"/>
    <d v="2023-10-09T00:00:00"/>
    <s v="CUST0157"/>
    <s v="Amit"/>
    <s v="Bangalore"/>
    <s v="Karnataka"/>
    <x v="11"/>
    <x v="2"/>
    <s v="Computers"/>
    <n v="46122"/>
    <n v="66707.651733269828"/>
    <n v="5"/>
    <n v="15"/>
    <n v="283507.51986639673"/>
    <n v="230610"/>
    <n v="52897.519866396731"/>
    <s v="Credit Card"/>
    <x v="0"/>
    <d v="2023-10-14T00:00:00"/>
    <n v="1"/>
    <n v="4"/>
    <x v="0"/>
  </r>
  <r>
    <s v="ORD01064"/>
    <d v="2023-10-09T00:00:00"/>
    <s v="CUST0188"/>
    <s v="Suresh"/>
    <s v="Hyderabad"/>
    <s v="Telangana"/>
    <x v="0"/>
    <x v="0"/>
    <s v="Kitchen"/>
    <n v="4577"/>
    <n v="7482.1448926907451"/>
    <n v="2"/>
    <n v="0"/>
    <n v="14964.28978538149"/>
    <n v="9154"/>
    <n v="5810.2897853814902"/>
    <s v="Debit Card"/>
    <x v="1"/>
    <m/>
    <n v="9"/>
    <n v="1"/>
    <x v="1"/>
  </r>
  <r>
    <s v="ORD01085"/>
    <d v="2023-10-09T00:00:00"/>
    <s v="CUST0163"/>
    <s v="Swathi"/>
    <s v="Mumbai"/>
    <s v="Maharashtra"/>
    <x v="0"/>
    <x v="0"/>
    <s v="Kitchen"/>
    <n v="5009"/>
    <n v="5930.4729428878318"/>
    <n v="1"/>
    <n v="15"/>
    <n v="5040.9020014546568"/>
    <n v="5009"/>
    <n v="31.902001454656784"/>
    <s v="Debit Card"/>
    <x v="0"/>
    <d v="2023-10-17T00:00:00"/>
    <n v="5"/>
    <n v="3"/>
    <x v="0"/>
  </r>
  <r>
    <s v="ORD00218"/>
    <d v="2023-10-10T00:00:00"/>
    <s v="CUST0018"/>
    <s v="Kiran"/>
    <s v="Ahmedabad"/>
    <s v="Gujarat"/>
    <x v="1"/>
    <x v="1"/>
    <s v="Men"/>
    <n v="436"/>
    <n v="669.01199672619578"/>
    <n v="2"/>
    <n v="15"/>
    <n v="1137.3203944345328"/>
    <n v="872"/>
    <n v="265.32039443453277"/>
    <s v="UPI"/>
    <x v="1"/>
    <m/>
    <n v="8"/>
    <n v="2"/>
    <x v="1"/>
  </r>
  <r>
    <s v="ORD00515"/>
    <d v="2023-10-10T00:00:00"/>
    <s v="CUST0165"/>
    <s v="Manoj"/>
    <s v="Delhi"/>
    <s v="Delhi"/>
    <x v="0"/>
    <x v="0"/>
    <s v="Kitchen"/>
    <n v="3228"/>
    <n v="5800.0612658078398"/>
    <n v="2"/>
    <n v="0"/>
    <n v="11600.12253161568"/>
    <n v="6456"/>
    <n v="5144.1225316156797"/>
    <s v="Debit Card"/>
    <x v="1"/>
    <m/>
    <n v="9"/>
    <n v="1"/>
    <x v="1"/>
  </r>
  <r>
    <s v="ORD00089"/>
    <d v="2023-10-11T00:00:00"/>
    <s v="CUST0111"/>
    <s v="Manoj"/>
    <s v="Delhi"/>
    <s v="Delhi"/>
    <x v="7"/>
    <x v="3"/>
    <s v="Skincare"/>
    <n v="527"/>
    <n v="889.54756346634701"/>
    <n v="3"/>
    <n v="10"/>
    <n v="2401.7784213591367"/>
    <n v="1581"/>
    <n v="820.7784213591367"/>
    <s v="COD"/>
    <x v="0"/>
    <d v="2023-10-22T00:00:00"/>
    <n v="6"/>
    <n v="2"/>
    <x v="0"/>
  </r>
  <r>
    <s v="ORD00280"/>
    <d v="2023-10-11T00:00:00"/>
    <s v="CUST0121"/>
    <s v="Divya"/>
    <s v="Hyderabad"/>
    <s v="Telangana"/>
    <x v="8"/>
    <x v="3"/>
    <s v="Fragrance"/>
    <n v="642"/>
    <n v="1011.7847796648326"/>
    <n v="4"/>
    <n v="15"/>
    <n v="3440.0682508604309"/>
    <n v="2568"/>
    <n v="872.06825086043091"/>
    <s v="Credit Card"/>
    <x v="0"/>
    <d v="2023-10-24T00:00:00"/>
    <n v="8"/>
    <n v="3"/>
    <x v="0"/>
  </r>
  <r>
    <s v="ORD00373"/>
    <d v="2023-10-11T00:00:00"/>
    <s v="CUST0153"/>
    <s v="Vikram"/>
    <s v="Ahmedabad"/>
    <s v="Gujarat"/>
    <x v="4"/>
    <x v="1"/>
    <s v="Footwear"/>
    <n v="1248"/>
    <n v="1794.8853150885318"/>
    <n v="3"/>
    <n v="20"/>
    <n v="4307.7247562124767"/>
    <n v="3744"/>
    <n v="563.72475621247668"/>
    <s v="UPI"/>
    <x v="0"/>
    <d v="2023-10-19T00:00:00"/>
    <n v="2"/>
    <n v="5"/>
    <x v="0"/>
  </r>
  <r>
    <s v="ORD00796"/>
    <d v="2023-10-11T00:00:00"/>
    <s v="CUST0029"/>
    <s v="Priya"/>
    <s v="Ahmedabad"/>
    <s v="Gujarat"/>
    <x v="8"/>
    <x v="3"/>
    <s v="Fragrance"/>
    <n v="938"/>
    <n v="1166.2860229246494"/>
    <n v="3"/>
    <n v="0"/>
    <n v="3498.8580687739482"/>
    <n v="2814"/>
    <n v="684.85806877394816"/>
    <s v="COD"/>
    <x v="1"/>
    <m/>
    <n v="7"/>
    <n v="3"/>
    <x v="1"/>
  </r>
  <r>
    <s v="ORD01117"/>
    <d v="2023-10-11T00:00:00"/>
    <s v="CUST0184"/>
    <s v="Kavya"/>
    <s v="Pune"/>
    <s v="Maharashtra"/>
    <x v="1"/>
    <x v="1"/>
    <s v="Men"/>
    <n v="310"/>
    <n v="551.63652113974592"/>
    <n v="1"/>
    <n v="5"/>
    <n v="524.0546950827586"/>
    <n v="310"/>
    <n v="214.0546950827586"/>
    <s v="COD"/>
    <x v="0"/>
    <d v="2023-10-16T00:00:00"/>
    <n v="2"/>
    <n v="5"/>
    <x v="0"/>
  </r>
  <r>
    <s v="ORD00048"/>
    <d v="2023-10-12T00:00:00"/>
    <s v="CUST0018"/>
    <s v="Rahul"/>
    <s v="Chennai"/>
    <s v="Tamil Nadu"/>
    <x v="7"/>
    <x v="3"/>
    <s v="Skincare"/>
    <n v="551"/>
    <n v="552.90867317670097"/>
    <n v="5"/>
    <n v="5"/>
    <n v="2626.3161975893295"/>
    <n v="2755"/>
    <n v="-128.68380241067052"/>
    <s v="COD"/>
    <x v="0"/>
    <d v="2023-10-24T00:00:00"/>
    <n v="6"/>
    <n v="4"/>
    <x v="2"/>
  </r>
  <r>
    <s v="ORD00192"/>
    <d v="2023-10-12T00:00:00"/>
    <s v="CUST0212"/>
    <s v="Rahul"/>
    <s v="Delhi"/>
    <s v="Delhi"/>
    <x v="3"/>
    <x v="2"/>
    <s v="Accessories"/>
    <n v="1565"/>
    <n v="1667.9882576875784"/>
    <n v="3"/>
    <n v="15"/>
    <n v="4253.3700571033241"/>
    <n v="4695"/>
    <n v="-441.62994289667586"/>
    <s v="Credit Card"/>
    <x v="1"/>
    <m/>
    <n v="8"/>
    <n v="4"/>
    <x v="1"/>
  </r>
  <r>
    <s v="ORD00283"/>
    <d v="2023-10-12T00:00:00"/>
    <s v="CUST0114"/>
    <s v="Arjun"/>
    <s v="Pune"/>
    <s v="Maharashtra"/>
    <x v="5"/>
    <x v="0"/>
    <s v="Furniture"/>
    <n v="45328"/>
    <n v="70507.419772586014"/>
    <n v="3"/>
    <n v="5"/>
    <n v="200946.14635187012"/>
    <n v="135984"/>
    <n v="64962.14635187012"/>
    <s v="Credit Card"/>
    <x v="1"/>
    <m/>
    <n v="9"/>
    <n v="1"/>
    <x v="1"/>
  </r>
  <r>
    <s v="ORD00415"/>
    <d v="2023-10-12T00:00:00"/>
    <s v="CUST0265"/>
    <s v="Rohit"/>
    <s v="Mumbai"/>
    <s v="Maharashtra"/>
    <x v="6"/>
    <x v="1"/>
    <s v="Men"/>
    <n v="1431"/>
    <n v="2267.9227796860991"/>
    <n v="4"/>
    <n v="10"/>
    <n v="8164.5220068699573"/>
    <n v="5724"/>
    <n v="2440.5220068699573"/>
    <s v="Credit Card"/>
    <x v="1"/>
    <m/>
    <n v="8"/>
    <n v="2"/>
    <x v="1"/>
  </r>
  <r>
    <s v="ORD01047"/>
    <d v="2023-10-12T00:00:00"/>
    <s v="CUST0148"/>
    <s v="Rohit"/>
    <s v="Ahmedabad"/>
    <s v="Gujarat"/>
    <x v="4"/>
    <x v="1"/>
    <s v="Footwear"/>
    <n v="2765"/>
    <n v="3448.4139119024512"/>
    <n v="5"/>
    <n v="20"/>
    <n v="13793.655647609805"/>
    <n v="13825"/>
    <n v="-31.344352390195127"/>
    <s v="Credit Card"/>
    <x v="0"/>
    <d v="2023-10-25T00:00:00"/>
    <n v="6"/>
    <n v="3"/>
    <x v="0"/>
  </r>
  <r>
    <s v="ORD00172"/>
    <d v="2023-10-13T00:00:00"/>
    <s v="CUST0298"/>
    <s v="Rohit"/>
    <s v="Ahmedabad"/>
    <s v="Gujarat"/>
    <x v="2"/>
    <x v="1"/>
    <s v="Women"/>
    <n v="1977"/>
    <n v="3471.0446091040189"/>
    <n v="3"/>
    <n v="5"/>
    <n v="9892.4771359464539"/>
    <n v="5931"/>
    <n v="3961.4771359464539"/>
    <s v="UPI"/>
    <x v="0"/>
    <d v="2023-10-22T00:00:00"/>
    <n v="5"/>
    <n v="3"/>
    <x v="0"/>
  </r>
  <r>
    <s v="ORD00184"/>
    <d v="2023-10-13T00:00:00"/>
    <s v="CUST0086"/>
    <s v="Rohit"/>
    <s v="Pune"/>
    <s v="Maharashtra"/>
    <x v="4"/>
    <x v="1"/>
    <s v="Footwear"/>
    <n v="1883"/>
    <n v="2773.2620481078684"/>
    <n v="1"/>
    <n v="5"/>
    <n v="2634.5989457024748"/>
    <n v="1883"/>
    <n v="751.59894570247479"/>
    <s v="UPI"/>
    <x v="0"/>
    <d v="2023-10-18T00:00:00"/>
    <n v="2"/>
    <n v="5"/>
    <x v="0"/>
  </r>
  <r>
    <s v="ORD00338"/>
    <d v="2023-10-13T00:00:00"/>
    <s v="CUST0233"/>
    <s v="Swathi"/>
    <s v="Bangalore"/>
    <s v="Karnataka"/>
    <x v="11"/>
    <x v="2"/>
    <s v="Computers"/>
    <n v="35378"/>
    <n v="62372.728768147586"/>
    <n v="2"/>
    <n v="20"/>
    <n v="99796.366029036144"/>
    <n v="70756"/>
    <n v="29040.366029036144"/>
    <s v="COD"/>
    <x v="0"/>
    <d v="2023-10-21T00:00:00"/>
    <n v="4"/>
    <n v="4"/>
    <x v="0"/>
  </r>
  <r>
    <s v="ORD01158"/>
    <d v="2023-10-13T00:00:00"/>
    <s v="CUST0286"/>
    <s v="Divya"/>
    <s v="Mumbai"/>
    <s v="Maharashtra"/>
    <x v="6"/>
    <x v="1"/>
    <s v="Men"/>
    <n v="989"/>
    <n v="1325.0368058961622"/>
    <n v="4"/>
    <n v="0"/>
    <n v="5300.1472235846486"/>
    <n v="3956"/>
    <n v="1344.1472235846486"/>
    <s v="UPI"/>
    <x v="0"/>
    <d v="2023-10-18T00:00:00"/>
    <n v="2"/>
    <n v="5"/>
    <x v="0"/>
  </r>
  <r>
    <s v="ORD00119"/>
    <d v="2023-10-14T00:00:00"/>
    <s v="CUST0205"/>
    <s v="Rahul"/>
    <s v="Pune"/>
    <s v="Maharashtra"/>
    <x v="5"/>
    <x v="0"/>
    <s v="Furniture"/>
    <n v="29232"/>
    <n v="41582.452550686918"/>
    <n v="5"/>
    <n v="5"/>
    <n v="197516.64961576284"/>
    <n v="146160"/>
    <n v="51356.649615762843"/>
    <s v="COD"/>
    <x v="1"/>
    <m/>
    <n v="8"/>
    <n v="2"/>
    <x v="1"/>
  </r>
  <r>
    <s v="ORD00345"/>
    <d v="2023-10-14T00:00:00"/>
    <s v="CUST0153"/>
    <s v="Kiran"/>
    <s v="Chennai"/>
    <s v="Tamil Nadu"/>
    <x v="2"/>
    <x v="1"/>
    <s v="Women"/>
    <n v="1204"/>
    <n v="2091.281312798737"/>
    <n v="4"/>
    <n v="5"/>
    <n v="7946.8689886352004"/>
    <n v="4816"/>
    <n v="3130.8689886352004"/>
    <s v="Credit Card"/>
    <x v="1"/>
    <m/>
    <n v="9"/>
    <n v="1"/>
    <x v="1"/>
  </r>
  <r>
    <s v="ORD00640"/>
    <d v="2023-10-14T00:00:00"/>
    <s v="CUST0295"/>
    <s v="Anjali"/>
    <s v="Bangalore"/>
    <s v="Karnataka"/>
    <x v="7"/>
    <x v="3"/>
    <s v="Skincare"/>
    <n v="583"/>
    <n v="907.0528754764357"/>
    <n v="4"/>
    <n v="0"/>
    <n v="3628.2115019057428"/>
    <n v="2332"/>
    <n v="1296.2115019057428"/>
    <s v="COD"/>
    <x v="0"/>
    <d v="2023-10-24T00:00:00"/>
    <n v="6"/>
    <n v="2"/>
    <x v="0"/>
  </r>
  <r>
    <s v="ORD00169"/>
    <d v="2023-10-16T00:00:00"/>
    <s v="CUST0227"/>
    <s v="Ramesh"/>
    <s v="Mumbai"/>
    <s v="Maharashtra"/>
    <x v="6"/>
    <x v="1"/>
    <s v="Men"/>
    <n v="1088"/>
    <n v="1127.9924909495207"/>
    <n v="3"/>
    <n v="5"/>
    <n v="3214.778599206134"/>
    <n v="3264"/>
    <n v="-49.221400793865996"/>
    <s v="Debit Card"/>
    <x v="1"/>
    <m/>
    <n v="9"/>
    <n v="1"/>
    <x v="1"/>
  </r>
  <r>
    <s v="ORD00376"/>
    <d v="2023-10-16T00:00:00"/>
    <s v="CUST0040"/>
    <s v="Rohit"/>
    <s v="Hyderabad"/>
    <s v="Telangana"/>
    <x v="6"/>
    <x v="1"/>
    <s v="Men"/>
    <n v="1227"/>
    <n v="1249.299550430454"/>
    <n v="3"/>
    <n v="15"/>
    <n v="3185.7138535976578"/>
    <n v="3681"/>
    <n v="-495.28614640234218"/>
    <s v="UPI"/>
    <x v="0"/>
    <d v="2023-10-27T00:00:00"/>
    <n v="6"/>
    <n v="4"/>
    <x v="2"/>
  </r>
  <r>
    <s v="ORD00838"/>
    <d v="2023-10-16T00:00:00"/>
    <s v="CUST0206"/>
    <s v="Nikhil"/>
    <s v="Bangalore"/>
    <s v="Karnataka"/>
    <x v="2"/>
    <x v="1"/>
    <s v="Women"/>
    <n v="1364"/>
    <n v="2134.0712674192027"/>
    <n v="2"/>
    <n v="20"/>
    <n v="3414.5140278707245"/>
    <n v="2728"/>
    <n v="686.51402787072448"/>
    <s v="COD"/>
    <x v="0"/>
    <d v="2023-10-23T00:00:00"/>
    <n v="2"/>
    <n v="4"/>
    <x v="0"/>
  </r>
  <r>
    <s v="ORD00995"/>
    <d v="2023-10-16T00:00:00"/>
    <s v="CUST0149"/>
    <s v="Kavya"/>
    <s v="Kolkata"/>
    <s v="West Bengal"/>
    <x v="1"/>
    <x v="1"/>
    <s v="Men"/>
    <n v="334"/>
    <n v="387.80563904816643"/>
    <n v="3"/>
    <n v="5"/>
    <n v="1105.2460712872742"/>
    <n v="1002"/>
    <n v="103.24607128727416"/>
    <s v="Credit Card"/>
    <x v="0"/>
    <d v="2023-10-25T00:00:00"/>
    <n v="4"/>
    <n v="2"/>
    <x v="0"/>
  </r>
  <r>
    <s v="ORD00061"/>
    <d v="2023-10-17T00:00:00"/>
    <s v="CUST0266"/>
    <s v="Nikhil"/>
    <s v="Delhi"/>
    <s v="Delhi"/>
    <x v="0"/>
    <x v="0"/>
    <s v="Kitchen"/>
    <n v="4823"/>
    <n v="7221.2778227911067"/>
    <n v="5"/>
    <n v="10"/>
    <n v="32495.750202559982"/>
    <n v="24115"/>
    <n v="8380.7502025599824"/>
    <s v="COD"/>
    <x v="0"/>
    <d v="2023-11-01T00:00:00"/>
    <n v="8"/>
    <n v="2"/>
    <x v="0"/>
  </r>
  <r>
    <s v="ORD01124"/>
    <d v="2023-10-17T00:00:00"/>
    <s v="CUST0260"/>
    <s v="Rahul"/>
    <s v="Pune"/>
    <s v="Maharashtra"/>
    <x v="5"/>
    <x v="0"/>
    <s v="Furniture"/>
    <n v="31846"/>
    <n v="39459.841189235769"/>
    <n v="1"/>
    <n v="10"/>
    <n v="35513.857070312195"/>
    <n v="31846"/>
    <n v="3667.857070312195"/>
    <s v="COD"/>
    <x v="0"/>
    <d v="2023-10-28T00:00:00"/>
    <n v="5"/>
    <n v="2"/>
    <x v="0"/>
  </r>
  <r>
    <s v="ORD00080"/>
    <d v="2023-10-18T00:00:00"/>
    <s v="CUST0250"/>
    <s v="Pooja"/>
    <s v="Hyderabad"/>
    <s v="Telangana"/>
    <x v="1"/>
    <x v="1"/>
    <s v="Men"/>
    <n v="437"/>
    <n v="458.51121940720731"/>
    <n v="4"/>
    <n v="15"/>
    <n v="1558.9381459845049"/>
    <n v="1748"/>
    <n v="-189.0618540154951"/>
    <s v="Debit Card"/>
    <x v="0"/>
    <d v="2023-10-24T00:00:00"/>
    <n v="3"/>
    <n v="4"/>
    <x v="0"/>
  </r>
  <r>
    <s v="ORD01118"/>
    <d v="2023-10-18T00:00:00"/>
    <s v="CUST0200"/>
    <s v="Kiran"/>
    <s v="Bangalore"/>
    <s v="Karnataka"/>
    <x v="8"/>
    <x v="3"/>
    <s v="Fragrance"/>
    <n v="541"/>
    <n v="699.89042100082725"/>
    <n v="1"/>
    <n v="5"/>
    <n v="664.89589995078586"/>
    <n v="541"/>
    <n v="123.89589995078586"/>
    <s v="Credit Card"/>
    <x v="1"/>
    <m/>
    <n v="9"/>
    <n v="1"/>
    <x v="1"/>
  </r>
  <r>
    <s v="ORD00081"/>
    <d v="2023-10-19T00:00:00"/>
    <s v="CUST0110"/>
    <s v="Arjun"/>
    <s v="Bangalore"/>
    <s v="Karnataka"/>
    <x v="10"/>
    <x v="2"/>
    <s v="Mobile"/>
    <n v="89097"/>
    <n v="99485.771370305054"/>
    <n v="5"/>
    <n v="0"/>
    <n v="497428.85685152526"/>
    <n v="445485"/>
    <n v="51943.856851525255"/>
    <s v="UPI"/>
    <x v="1"/>
    <m/>
    <n v="10"/>
    <n v="1"/>
    <x v="1"/>
  </r>
  <r>
    <s v="ORD00445"/>
    <d v="2023-10-19T00:00:00"/>
    <s v="CUST0086"/>
    <s v="Pooja"/>
    <s v="Bangalore"/>
    <s v="Karnataka"/>
    <x v="10"/>
    <x v="2"/>
    <s v="Mobile"/>
    <n v="82117"/>
    <n v="124122.71632452335"/>
    <n v="2"/>
    <n v="5"/>
    <n v="235833.16101659436"/>
    <n v="164234"/>
    <n v="71599.161016594357"/>
    <s v="Credit Card"/>
    <x v="0"/>
    <d v="2023-10-27T00:00:00"/>
    <n v="4"/>
    <n v="2"/>
    <x v="0"/>
  </r>
  <r>
    <s v="ORD00611"/>
    <d v="2023-10-19T00:00:00"/>
    <s v="CUST0225"/>
    <s v="Sneha"/>
    <s v="Delhi"/>
    <s v="Delhi"/>
    <x v="3"/>
    <x v="2"/>
    <s v="Accessories"/>
    <n v="1897"/>
    <n v="2359.8812766025321"/>
    <n v="1"/>
    <n v="15"/>
    <n v="2005.8990851121523"/>
    <n v="1897"/>
    <n v="108.89908511215231"/>
    <s v="UPI"/>
    <x v="1"/>
    <m/>
    <n v="10"/>
    <n v="1"/>
    <x v="1"/>
  </r>
  <r>
    <s v="ORD00867"/>
    <d v="2023-10-19T00:00:00"/>
    <s v="CUST0211"/>
    <s v="Kavya"/>
    <s v="Ahmedabad"/>
    <s v="Gujarat"/>
    <x v="7"/>
    <x v="3"/>
    <s v="Skincare"/>
    <n v="520"/>
    <n v="724.37254706261172"/>
    <n v="2"/>
    <n v="20"/>
    <n v="1158.9960753001787"/>
    <n v="1040"/>
    <n v="118.99607530017875"/>
    <s v="Debit Card"/>
    <x v="1"/>
    <m/>
    <n v="10"/>
    <n v="1"/>
    <x v="1"/>
  </r>
  <r>
    <s v="ORD00868"/>
    <d v="2023-10-19T00:00:00"/>
    <s v="CUST0105"/>
    <s v="Amit"/>
    <s v="Ahmedabad"/>
    <s v="Gujarat"/>
    <x v="10"/>
    <x v="2"/>
    <s v="Mobile"/>
    <n v="85548"/>
    <n v="147812.47414967234"/>
    <n v="2"/>
    <n v="0"/>
    <n v="295624.94829934469"/>
    <n v="171096"/>
    <n v="124528.94829934469"/>
    <s v="UPI"/>
    <x v="0"/>
    <d v="2023-11-01T00:00:00"/>
    <n v="6"/>
    <n v="4"/>
    <x v="2"/>
  </r>
  <r>
    <s v="ORD01135"/>
    <d v="2023-10-19T00:00:00"/>
    <s v="CUST0247"/>
    <s v="Manoj"/>
    <s v="Bangalore"/>
    <s v="Karnataka"/>
    <x v="9"/>
    <x v="2"/>
    <s v="TV"/>
    <n v="54145"/>
    <n v="67489.712695509006"/>
    <n v="5"/>
    <n v="15"/>
    <n v="286831.27895591327"/>
    <n v="270725"/>
    <n v="16106.278955913265"/>
    <s v="Debit Card"/>
    <x v="1"/>
    <m/>
    <n v="7"/>
    <n v="3"/>
    <x v="1"/>
  </r>
  <r>
    <s v="ORD00684"/>
    <d v="2023-10-20T00:00:00"/>
    <s v="CUST0118"/>
    <s v="Ramesh"/>
    <s v="Delhi"/>
    <s v="Delhi"/>
    <x v="11"/>
    <x v="2"/>
    <s v="Computers"/>
    <n v="36245"/>
    <n v="56699.000366316133"/>
    <n v="2"/>
    <n v="10"/>
    <n v="102058.20065936905"/>
    <n v="72490"/>
    <n v="29568.200659369046"/>
    <s v="UPI"/>
    <x v="1"/>
    <m/>
    <n v="8"/>
    <n v="3"/>
    <x v="1"/>
  </r>
  <r>
    <s v="ORD00695"/>
    <d v="2023-10-20T00:00:00"/>
    <s v="CUST0268"/>
    <s v="Neha"/>
    <s v="Pune"/>
    <s v="Maharashtra"/>
    <x v="1"/>
    <x v="1"/>
    <s v="Men"/>
    <n v="277"/>
    <n v="278.38092503593384"/>
    <n v="5"/>
    <n v="15"/>
    <n v="1183.1189314027188"/>
    <n v="1385"/>
    <n v="-201.88106859728123"/>
    <s v="Credit Card"/>
    <x v="0"/>
    <d v="2023-10-24T00:00:00"/>
    <n v="1"/>
    <n v="5"/>
    <x v="0"/>
  </r>
  <r>
    <s v="ORD00850"/>
    <d v="2023-10-20T00:00:00"/>
    <s v="CUST0039"/>
    <s v="Swathi"/>
    <s v="Bangalore"/>
    <s v="Karnataka"/>
    <x v="8"/>
    <x v="3"/>
    <s v="Fragrance"/>
    <n v="604"/>
    <n v="900.24874262165599"/>
    <n v="1"/>
    <n v="5"/>
    <n v="855.23630549057316"/>
    <n v="604"/>
    <n v="251.23630549057316"/>
    <s v="Credit Card"/>
    <x v="1"/>
    <m/>
    <n v="8"/>
    <n v="4"/>
    <x v="1"/>
  </r>
  <r>
    <s v="ORD01093"/>
    <d v="2023-10-20T00:00:00"/>
    <s v="CUST0035"/>
    <s v="Sneha"/>
    <s v="Chennai"/>
    <s v="Tamil Nadu"/>
    <x v="7"/>
    <x v="3"/>
    <s v="Skincare"/>
    <n v="357"/>
    <n v="619.53025955040334"/>
    <n v="5"/>
    <n v="0"/>
    <n v="3097.6512977520169"/>
    <n v="1785"/>
    <n v="1312.6512977520169"/>
    <s v="COD"/>
    <x v="1"/>
    <m/>
    <n v="7"/>
    <n v="2"/>
    <x v="1"/>
  </r>
  <r>
    <s v="ORD01123"/>
    <d v="2023-10-20T00:00:00"/>
    <s v="CUST0178"/>
    <s v="Sneha"/>
    <s v="Mumbai"/>
    <s v="Maharashtra"/>
    <x v="11"/>
    <x v="2"/>
    <s v="Computers"/>
    <n v="46993"/>
    <n v="68791.613885360552"/>
    <n v="5"/>
    <n v="15"/>
    <n v="292364.35901278234"/>
    <n v="234965"/>
    <n v="57399.359012782341"/>
    <s v="UPI"/>
    <x v="0"/>
    <d v="2023-10-29T00:00:00"/>
    <n v="6"/>
    <n v="3"/>
    <x v="0"/>
  </r>
  <r>
    <s v="ORD00275"/>
    <d v="2023-10-21T00:00:00"/>
    <s v="CUST0005"/>
    <s v="Manoj"/>
    <s v="Bangalore"/>
    <s v="Karnataka"/>
    <x v="9"/>
    <x v="2"/>
    <s v="TV"/>
    <n v="64042"/>
    <n v="74374.417432902614"/>
    <n v="2"/>
    <n v="15"/>
    <n v="126436.50963593445"/>
    <n v="128084"/>
    <n v="-1647.4903640655539"/>
    <s v="Debit Card"/>
    <x v="0"/>
    <d v="2023-10-28T00:00:00"/>
    <n v="3"/>
    <n v="4"/>
    <x v="0"/>
  </r>
  <r>
    <s v="ORD00331"/>
    <d v="2023-10-21T00:00:00"/>
    <s v="CUST0113"/>
    <s v="Meena"/>
    <s v="Hyderabad"/>
    <s v="Telangana"/>
    <x v="11"/>
    <x v="2"/>
    <s v="Computers"/>
    <n v="43980"/>
    <n v="57635.95453173745"/>
    <n v="4"/>
    <n v="10"/>
    <n v="207489.43631425482"/>
    <n v="175920"/>
    <n v="31569.436314254825"/>
    <s v="COD"/>
    <x v="1"/>
    <m/>
    <n v="8"/>
    <n v="2"/>
    <x v="1"/>
  </r>
  <r>
    <s v="ORD00682"/>
    <d v="2023-10-21T00:00:00"/>
    <s v="CUST0102"/>
    <s v="Deepika"/>
    <s v="Pune"/>
    <s v="Maharashtra"/>
    <x v="10"/>
    <x v="2"/>
    <s v="Mobile"/>
    <n v="59131"/>
    <n v="86742.75831913609"/>
    <n v="1"/>
    <n v="20"/>
    <n v="69394.206655308881"/>
    <n v="59131"/>
    <n v="10263.206655308881"/>
    <s v="UPI"/>
    <x v="0"/>
    <d v="2023-10-31T00:00:00"/>
    <n v="6"/>
    <n v="4"/>
    <x v="2"/>
  </r>
  <r>
    <s v="ORD00437"/>
    <d v="2023-10-22T00:00:00"/>
    <s v="CUST0177"/>
    <s v="Nikhil"/>
    <s v="Delhi"/>
    <s v="Delhi"/>
    <x v="0"/>
    <x v="0"/>
    <s v="Kitchen"/>
    <n v="3316"/>
    <n v="5554.1799695723976"/>
    <n v="4"/>
    <n v="5"/>
    <n v="21105.883884375111"/>
    <n v="13264"/>
    <n v="7841.8838843751109"/>
    <s v="Credit Card"/>
    <x v="0"/>
    <d v="2023-10-30T00:00:00"/>
    <n v="5"/>
    <n v="4"/>
    <x v="0"/>
  </r>
  <r>
    <s v="ORD00473"/>
    <d v="2023-10-22T00:00:00"/>
    <s v="CUST0054"/>
    <s v="Ramesh"/>
    <s v="Hyderabad"/>
    <s v="Telangana"/>
    <x v="2"/>
    <x v="1"/>
    <s v="Women"/>
    <n v="625"/>
    <n v="1061.5520179809964"/>
    <n v="2"/>
    <n v="5"/>
    <n v="2016.948834163893"/>
    <n v="1250"/>
    <n v="766.94883416389303"/>
    <s v="Credit Card"/>
    <x v="0"/>
    <d v="2023-11-01T00:00:00"/>
    <n v="4"/>
    <n v="2"/>
    <x v="0"/>
  </r>
  <r>
    <s v="ORD00045"/>
    <d v="2023-10-23T00:00:00"/>
    <s v="CUST0249"/>
    <s v="Manoj"/>
    <s v="Delhi"/>
    <s v="Delhi"/>
    <x v="8"/>
    <x v="3"/>
    <s v="Fragrance"/>
    <n v="665"/>
    <n v="788.81802277240865"/>
    <n v="2"/>
    <n v="15"/>
    <n v="1340.9906387130948"/>
    <n v="1330"/>
    <n v="10.990638713094768"/>
    <s v="COD"/>
    <x v="0"/>
    <d v="2023-10-31T00:00:00"/>
    <n v="3"/>
    <n v="3"/>
    <x v="0"/>
  </r>
  <r>
    <s v="ORD00346"/>
    <d v="2023-10-23T00:00:00"/>
    <s v="CUST0096"/>
    <s v="Kavya"/>
    <s v="Delhi"/>
    <s v="Delhi"/>
    <x v="3"/>
    <x v="2"/>
    <s v="Accessories"/>
    <n v="1253"/>
    <n v="2099.5254145223475"/>
    <n v="5"/>
    <n v="20"/>
    <n v="8398.1016580893902"/>
    <n v="6265"/>
    <n v="2133.1016580893902"/>
    <s v="UPI"/>
    <x v="1"/>
    <m/>
    <n v="9"/>
    <n v="1"/>
    <x v="1"/>
  </r>
  <r>
    <s v="ORD00988"/>
    <d v="2023-10-23T00:00:00"/>
    <s v="CUST0071"/>
    <s v="Priya"/>
    <s v="Pune"/>
    <s v="Maharashtra"/>
    <x v="0"/>
    <x v="0"/>
    <s v="Kitchen"/>
    <n v="5762"/>
    <n v="9610.2169335736726"/>
    <n v="2"/>
    <n v="5"/>
    <n v="18259.412173789977"/>
    <n v="11524"/>
    <n v="6735.4121737899768"/>
    <s v="UPI"/>
    <x v="1"/>
    <m/>
    <n v="9"/>
    <n v="1"/>
    <x v="1"/>
  </r>
  <r>
    <s v="ORD00149"/>
    <d v="2023-10-24T00:00:00"/>
    <s v="CUST0236"/>
    <s v="Manoj"/>
    <s v="Ahmedabad"/>
    <s v="Gujarat"/>
    <x v="4"/>
    <x v="1"/>
    <s v="Footwear"/>
    <n v="2827"/>
    <n v="3399.4392513884814"/>
    <n v="5"/>
    <n v="5"/>
    <n v="16147.336444095286"/>
    <n v="14135"/>
    <n v="2012.3364440952864"/>
    <s v="Debit Card"/>
    <x v="0"/>
    <d v="2023-11-05T00:00:00"/>
    <n v="5"/>
    <n v="3"/>
    <x v="0"/>
  </r>
  <r>
    <s v="ORD00848"/>
    <d v="2023-10-24T00:00:00"/>
    <s v="CUST0091"/>
    <s v="Pooja"/>
    <s v="Ahmedabad"/>
    <s v="Gujarat"/>
    <x v="4"/>
    <x v="1"/>
    <s v="Footwear"/>
    <n v="1971"/>
    <n v="2070.5662886661094"/>
    <n v="5"/>
    <n v="5"/>
    <n v="9835.1898711640188"/>
    <n v="9855"/>
    <n v="-19.810128835981232"/>
    <s v="UPI"/>
    <x v="0"/>
    <d v="2023-11-02T00:00:00"/>
    <n v="6"/>
    <n v="2"/>
    <x v="0"/>
  </r>
  <r>
    <s v="ORD01152"/>
    <d v="2023-10-25T00:00:00"/>
    <s v="CUST0021"/>
    <s v="Swathi"/>
    <s v="Kolkata"/>
    <s v="West Bengal"/>
    <x v="10"/>
    <x v="2"/>
    <s v="Mobile"/>
    <n v="83881"/>
    <n v="116622.64177692164"/>
    <n v="2"/>
    <n v="5"/>
    <n v="221583.01937615109"/>
    <n v="167762"/>
    <n v="53821.019376151089"/>
    <s v="UPI"/>
    <x v="1"/>
    <m/>
    <n v="10"/>
    <n v="1"/>
    <x v="1"/>
  </r>
  <r>
    <s v="ORD00434"/>
    <d v="2023-10-26T00:00:00"/>
    <s v="CUST0283"/>
    <s v="Kavya"/>
    <s v="Chennai"/>
    <s v="Tamil Nadu"/>
    <x v="7"/>
    <x v="3"/>
    <s v="Skincare"/>
    <n v="350"/>
    <n v="410.11024234079099"/>
    <n v="4"/>
    <n v="0"/>
    <n v="1640.440969363164"/>
    <n v="1400"/>
    <n v="240.44096936316396"/>
    <s v="COD"/>
    <x v="0"/>
    <d v="2023-11-06T00:00:00"/>
    <n v="6"/>
    <n v="2"/>
    <x v="0"/>
  </r>
  <r>
    <s v="ORD00451"/>
    <d v="2023-10-26T00:00:00"/>
    <s v="CUST0119"/>
    <s v="Pooja"/>
    <s v="Kolkata"/>
    <s v="West Bengal"/>
    <x v="4"/>
    <x v="1"/>
    <s v="Footwear"/>
    <n v="1243"/>
    <n v="1785.7235968506266"/>
    <n v="3"/>
    <n v="20"/>
    <n v="4285.7366324415043"/>
    <n v="3729"/>
    <n v="556.7366324415043"/>
    <s v="COD"/>
    <x v="0"/>
    <d v="2023-11-07T00:00:00"/>
    <n v="5"/>
    <n v="3"/>
    <x v="0"/>
  </r>
  <r>
    <s v="ORD00576"/>
    <d v="2023-10-26T00:00:00"/>
    <s v="CUST0179"/>
    <s v="Rahul"/>
    <s v="Pune"/>
    <s v="Maharashtra"/>
    <x v="10"/>
    <x v="2"/>
    <s v="Mobile"/>
    <n v="63012"/>
    <n v="68133.673351134043"/>
    <n v="3"/>
    <n v="20"/>
    <n v="163520.81604272171"/>
    <n v="189036"/>
    <n v="-25515.183957278292"/>
    <s v="COD"/>
    <x v="0"/>
    <d v="2023-10-31T00:00:00"/>
    <n v="1"/>
    <n v="4"/>
    <x v="0"/>
  </r>
  <r>
    <s v="ORD00854"/>
    <d v="2023-10-26T00:00:00"/>
    <s v="CUST0097"/>
    <s v="Pooja"/>
    <s v="Bangalore"/>
    <s v="Karnataka"/>
    <x v="6"/>
    <x v="1"/>
    <s v="Men"/>
    <n v="1465"/>
    <n v="1955.0980144067928"/>
    <n v="4"/>
    <n v="15"/>
    <n v="6647.3332489830955"/>
    <n v="5860"/>
    <n v="787.33324898309547"/>
    <s v="UPI"/>
    <x v="1"/>
    <m/>
    <n v="7"/>
    <n v="3"/>
    <x v="1"/>
  </r>
  <r>
    <s v="ORD00142"/>
    <d v="2023-10-27T00:00:00"/>
    <s v="CUST0245"/>
    <s v="Swathi"/>
    <s v="Hyderabad"/>
    <s v="Telangana"/>
    <x v="3"/>
    <x v="2"/>
    <s v="Accessories"/>
    <n v="1008"/>
    <n v="1021.6332811695901"/>
    <n v="4"/>
    <n v="15"/>
    <n v="3473.5531559766064"/>
    <n v="4032"/>
    <n v="-558.44684402339362"/>
    <s v="UPI"/>
    <x v="1"/>
    <m/>
    <n v="9"/>
    <n v="1"/>
    <x v="1"/>
  </r>
  <r>
    <s v="ORD00219"/>
    <d v="2023-10-27T00:00:00"/>
    <s v="CUST0027"/>
    <s v="Meena"/>
    <s v="Ahmedabad"/>
    <s v="Gujarat"/>
    <x v="3"/>
    <x v="2"/>
    <s v="Accessories"/>
    <n v="1202"/>
    <n v="2046.0224013520542"/>
    <n v="2"/>
    <n v="20"/>
    <n v="3273.6358421632867"/>
    <n v="2404"/>
    <n v="869.63584216328672"/>
    <s v="Debit Card"/>
    <x v="0"/>
    <d v="2023-11-08T00:00:00"/>
    <n v="6"/>
    <n v="2"/>
    <x v="0"/>
  </r>
  <r>
    <s v="ORD00236"/>
    <d v="2023-10-27T00:00:00"/>
    <s v="CUST0154"/>
    <s v="Amit"/>
    <s v="Ahmedabad"/>
    <s v="Gujarat"/>
    <x v="8"/>
    <x v="3"/>
    <s v="Fragrance"/>
    <n v="739"/>
    <n v="1090.8852200269775"/>
    <n v="3"/>
    <n v="15"/>
    <n v="2781.7573110687927"/>
    <n v="2217"/>
    <n v="564.75731106879266"/>
    <s v="Debit Card"/>
    <x v="0"/>
    <d v="2023-11-06T00:00:00"/>
    <n v="3"/>
    <n v="2"/>
    <x v="0"/>
  </r>
  <r>
    <s v="ORD00547"/>
    <d v="2023-10-27T00:00:00"/>
    <s v="CUST0178"/>
    <s v="Rahul"/>
    <s v="Ahmedabad"/>
    <s v="Gujarat"/>
    <x v="11"/>
    <x v="2"/>
    <s v="Computers"/>
    <n v="44216"/>
    <n v="76663.264806451043"/>
    <n v="1"/>
    <n v="0"/>
    <n v="76663.264806451043"/>
    <n v="44216"/>
    <n v="32447.264806451043"/>
    <s v="Debit Card"/>
    <x v="1"/>
    <m/>
    <n v="9"/>
    <n v="1"/>
    <x v="1"/>
  </r>
  <r>
    <s v="ORD01149"/>
    <d v="2023-10-27T00:00:00"/>
    <s v="CUST0134"/>
    <s v="Vikram"/>
    <s v="Kolkata"/>
    <s v="West Bengal"/>
    <x v="9"/>
    <x v="2"/>
    <s v="TV"/>
    <n v="59530"/>
    <n v="81485.597463193786"/>
    <n v="3"/>
    <n v="10"/>
    <n v="220011.11315062322"/>
    <n v="178590"/>
    <n v="41421.11315062322"/>
    <s v="UPI"/>
    <x v="0"/>
    <d v="2023-11-05T00:00:00"/>
    <n v="4"/>
    <n v="2"/>
    <x v="0"/>
  </r>
  <r>
    <s v="ORD00334"/>
    <d v="2023-10-28T00:00:00"/>
    <s v="CUST0081"/>
    <s v="Neha"/>
    <s v="Pune"/>
    <s v="Maharashtra"/>
    <x v="11"/>
    <x v="2"/>
    <s v="Computers"/>
    <n v="30771"/>
    <n v="43170.798792992842"/>
    <n v="3"/>
    <n v="20"/>
    <n v="103609.91710318283"/>
    <n v="92313"/>
    <n v="11296.91710318283"/>
    <s v="UPI"/>
    <x v="0"/>
    <d v="2023-11-05T00:00:00"/>
    <n v="4"/>
    <n v="3"/>
    <x v="0"/>
  </r>
  <r>
    <s v="ORD00612"/>
    <d v="2023-10-28T00:00:00"/>
    <s v="CUST0279"/>
    <s v="Vikram"/>
    <s v="Kolkata"/>
    <s v="West Bengal"/>
    <x v="6"/>
    <x v="1"/>
    <s v="Men"/>
    <n v="968"/>
    <n v="1684.8007173107014"/>
    <n v="1"/>
    <n v="0"/>
    <n v="1684.8007173107014"/>
    <n v="968"/>
    <n v="716.80071731070143"/>
    <s v="Debit Card"/>
    <x v="1"/>
    <m/>
    <n v="10"/>
    <n v="1"/>
    <x v="1"/>
  </r>
  <r>
    <s v="ORD00683"/>
    <d v="2023-10-28T00:00:00"/>
    <s v="CUST0268"/>
    <s v="Priya"/>
    <s v="Hyderabad"/>
    <s v="Telangana"/>
    <x v="4"/>
    <x v="1"/>
    <s v="Footwear"/>
    <n v="1997"/>
    <n v="3238.5834023090192"/>
    <n v="2"/>
    <n v="5"/>
    <n v="6153.3084643871362"/>
    <n v="3994"/>
    <n v="2159.3084643871362"/>
    <s v="Credit Card"/>
    <x v="1"/>
    <m/>
    <n v="7"/>
    <n v="4"/>
    <x v="1"/>
  </r>
  <r>
    <s v="ORD00199"/>
    <d v="2023-10-29T00:00:00"/>
    <s v="CUST0127"/>
    <s v="Rohit"/>
    <s v="Ahmedabad"/>
    <s v="Gujarat"/>
    <x v="5"/>
    <x v="0"/>
    <s v="Furniture"/>
    <n v="25356"/>
    <n v="45201.717456076069"/>
    <n v="1"/>
    <n v="10"/>
    <n v="40681.545710468461"/>
    <n v="25356"/>
    <n v="15325.545710468461"/>
    <s v="COD"/>
    <x v="0"/>
    <d v="2023-11-09T00:00:00"/>
    <n v="8"/>
    <n v="2"/>
    <x v="0"/>
  </r>
  <r>
    <s v="ORD00295"/>
    <d v="2023-10-29T00:00:00"/>
    <s v="CUST0021"/>
    <s v="Swathi"/>
    <s v="Ahmedabad"/>
    <s v="Gujarat"/>
    <x v="2"/>
    <x v="1"/>
    <s v="Women"/>
    <n v="964"/>
    <n v="1473.2806529653676"/>
    <n v="2"/>
    <n v="15"/>
    <n v="2504.5771100411248"/>
    <n v="1928"/>
    <n v="576.5771100411248"/>
    <s v="Debit Card"/>
    <x v="0"/>
    <d v="2023-11-07T00:00:00"/>
    <n v="4"/>
    <n v="4"/>
    <x v="0"/>
  </r>
  <r>
    <s v="ORD01087"/>
    <d v="2023-10-29T00:00:00"/>
    <s v="CUST0074"/>
    <s v="Arjun"/>
    <s v="Kolkata"/>
    <s v="West Bengal"/>
    <x v="1"/>
    <x v="1"/>
    <s v="Men"/>
    <n v="489"/>
    <n v="494.60821665388676"/>
    <n v="2"/>
    <n v="10"/>
    <n v="890.29478997699619"/>
    <n v="978"/>
    <n v="-87.705210023003815"/>
    <s v="Credit Card"/>
    <x v="0"/>
    <d v="2023-11-10T00:00:00"/>
    <n v="7"/>
    <n v="2"/>
    <x v="0"/>
  </r>
  <r>
    <s v="ORD00250"/>
    <d v="2023-10-30T00:00:00"/>
    <s v="CUST0005"/>
    <s v="Sneha"/>
    <s v="Pune"/>
    <s v="Maharashtra"/>
    <x v="6"/>
    <x v="1"/>
    <s v="Men"/>
    <n v="997"/>
    <n v="1784.031374473333"/>
    <n v="5"/>
    <n v="15"/>
    <n v="7582.1333415116642"/>
    <n v="4985"/>
    <n v="2597.1333415116642"/>
    <s v="Credit Card"/>
    <x v="0"/>
    <d v="2023-11-07T00:00:00"/>
    <n v="2"/>
    <n v="4"/>
    <x v="0"/>
  </r>
  <r>
    <s v="ORD01174"/>
    <d v="2023-10-30T00:00:00"/>
    <s v="CUST0251"/>
    <s v="Meena"/>
    <s v="Kolkata"/>
    <s v="West Bengal"/>
    <x v="11"/>
    <x v="2"/>
    <s v="Computers"/>
    <n v="46652"/>
    <n v="46938.450068615959"/>
    <n v="5"/>
    <n v="10"/>
    <n v="211223.02530877182"/>
    <n v="233260"/>
    <n v="-22036.974691228184"/>
    <s v="UPI"/>
    <x v="1"/>
    <m/>
    <n v="8"/>
    <n v="4"/>
    <x v="1"/>
  </r>
  <r>
    <s v="ORD00054"/>
    <d v="2023-10-31T00:00:00"/>
    <s v="CUST0188"/>
    <s v="Vikram"/>
    <s v="Delhi"/>
    <s v="Delhi"/>
    <x v="0"/>
    <x v="0"/>
    <s v="Kitchen"/>
    <n v="6595"/>
    <n v="9489.4527682526514"/>
    <n v="2"/>
    <n v="10"/>
    <n v="17081.014982854773"/>
    <n v="13190"/>
    <n v="3891.0149828547728"/>
    <s v="COD"/>
    <x v="0"/>
    <d v="2023-11-04T00:00:00"/>
    <n v="1"/>
    <n v="4"/>
    <x v="0"/>
  </r>
  <r>
    <s v="ORD00811"/>
    <d v="2023-10-31T00:00:00"/>
    <s v="CUST0039"/>
    <s v="Arjun"/>
    <s v="Pune"/>
    <s v="Maharashtra"/>
    <x v="4"/>
    <x v="1"/>
    <s v="Footwear"/>
    <n v="2262"/>
    <n v="3264.4834826820502"/>
    <n v="1"/>
    <n v="20"/>
    <n v="2611.5867861456404"/>
    <n v="2262"/>
    <n v="349.58678614564042"/>
    <s v="COD"/>
    <x v="0"/>
    <d v="2023-11-08T00:00:00"/>
    <n v="4"/>
    <n v="4"/>
    <x v="0"/>
  </r>
  <r>
    <s v="ORD01151"/>
    <d v="2023-10-31T00:00:00"/>
    <s v="CUST0277"/>
    <s v="Suresh"/>
    <s v="Bangalore"/>
    <s v="Karnataka"/>
    <x v="11"/>
    <x v="2"/>
    <s v="Computers"/>
    <n v="45781"/>
    <n v="78208.975555949568"/>
    <n v="4"/>
    <n v="10"/>
    <n v="281552.31200141844"/>
    <n v="183124"/>
    <n v="98428.312001418439"/>
    <s v="COD"/>
    <x v="0"/>
    <d v="2023-11-08T00:00:00"/>
    <n v="4"/>
    <n v="2"/>
    <x v="0"/>
  </r>
  <r>
    <s v="ORD01043"/>
    <d v="2023-11-01T00:00:00"/>
    <s v="CUST0245"/>
    <s v="Ramesh"/>
    <s v="Delhi"/>
    <s v="Delhi"/>
    <x v="11"/>
    <x v="2"/>
    <s v="Computers"/>
    <n v="38750"/>
    <n v="54542.821084247618"/>
    <n v="2"/>
    <n v="0"/>
    <n v="109085.64216849524"/>
    <n v="77500"/>
    <n v="31585.642168495237"/>
    <s v="Debit Card"/>
    <x v="1"/>
    <m/>
    <n v="9"/>
    <n v="1"/>
    <x v="1"/>
  </r>
  <r>
    <s v="ORD01156"/>
    <d v="2023-11-01T00:00:00"/>
    <s v="CUST0005"/>
    <s v="Vikram"/>
    <s v="Mumbai"/>
    <s v="Maharashtra"/>
    <x v="4"/>
    <x v="1"/>
    <s v="Footwear"/>
    <n v="961"/>
    <n v="1378.6513021594028"/>
    <n v="3"/>
    <n v="15"/>
    <n v="3515.5608205064768"/>
    <n v="2883"/>
    <n v="632.56082050647683"/>
    <s v="UPI"/>
    <x v="0"/>
    <d v="2023-11-11T00:00:00"/>
    <n v="6"/>
    <n v="2"/>
    <x v="0"/>
  </r>
  <r>
    <s v="ORD00528"/>
    <d v="2023-11-02T00:00:00"/>
    <s v="CUST0206"/>
    <s v="Kiran"/>
    <s v="Kolkata"/>
    <s v="West Bengal"/>
    <x v="3"/>
    <x v="2"/>
    <s v="Accessories"/>
    <n v="532"/>
    <n v="533.48423690328718"/>
    <n v="3"/>
    <n v="10"/>
    <n v="1440.4074396388755"/>
    <n v="1596"/>
    <n v="-155.59256036112447"/>
    <s v="UPI"/>
    <x v="0"/>
    <d v="2023-11-06T00:00:00"/>
    <n v="1"/>
    <n v="4"/>
    <x v="0"/>
  </r>
  <r>
    <s v="ORD00551"/>
    <d v="2023-11-02T00:00:00"/>
    <s v="CUST0069"/>
    <s v="Anjali"/>
    <s v="Delhi"/>
    <s v="Delhi"/>
    <x v="2"/>
    <x v="1"/>
    <s v="Women"/>
    <n v="1118"/>
    <n v="1968.9589478393827"/>
    <n v="5"/>
    <n v="5"/>
    <n v="9352.555002237068"/>
    <n v="5590"/>
    <n v="3762.555002237068"/>
    <s v="Debit Card"/>
    <x v="0"/>
    <d v="2023-11-10T00:00:00"/>
    <n v="1"/>
    <n v="4"/>
    <x v="0"/>
  </r>
  <r>
    <s v="ORD00812"/>
    <d v="2023-11-02T00:00:00"/>
    <s v="CUST0185"/>
    <s v="Neha"/>
    <s v="Delhi"/>
    <s v="Delhi"/>
    <x v="2"/>
    <x v="1"/>
    <s v="Women"/>
    <n v="1037"/>
    <n v="1717.7781518421484"/>
    <n v="4"/>
    <n v="0"/>
    <n v="6871.1126073685937"/>
    <n v="4148"/>
    <n v="2723.1126073685937"/>
    <s v="Debit Card"/>
    <x v="0"/>
    <d v="2023-11-12T00:00:00"/>
    <n v="7"/>
    <n v="4"/>
    <x v="2"/>
  </r>
  <r>
    <s v="ORD00923"/>
    <d v="2023-11-02T00:00:00"/>
    <s v="CUST0294"/>
    <s v="Priya"/>
    <s v="Bangalore"/>
    <s v="Karnataka"/>
    <x v="5"/>
    <x v="0"/>
    <s v="Furniture"/>
    <n v="38904"/>
    <n v="66234.869085234226"/>
    <n v="4"/>
    <n v="20"/>
    <n v="211951.58107274954"/>
    <n v="155616"/>
    <n v="56335.581072749541"/>
    <s v="Debit Card"/>
    <x v="0"/>
    <d v="2023-11-09T00:00:00"/>
    <n v="4"/>
    <n v="4"/>
    <x v="0"/>
  </r>
  <r>
    <s v="ORD00984"/>
    <d v="2023-11-02T00:00:00"/>
    <s v="CUST0300"/>
    <s v="Priya"/>
    <s v="Bangalore"/>
    <s v="Karnataka"/>
    <x v="9"/>
    <x v="2"/>
    <s v="TV"/>
    <n v="37269"/>
    <n v="51381.800761412982"/>
    <n v="1"/>
    <n v="15"/>
    <n v="43674.530647201034"/>
    <n v="37269"/>
    <n v="6405.5306472010343"/>
    <s v="COD"/>
    <x v="1"/>
    <m/>
    <n v="8"/>
    <n v="2"/>
    <x v="1"/>
  </r>
  <r>
    <s v="ORD00443"/>
    <d v="2023-11-03T00:00:00"/>
    <s v="CUST0090"/>
    <s v="Priya"/>
    <s v="Ahmedabad"/>
    <s v="Gujarat"/>
    <x v="3"/>
    <x v="2"/>
    <s v="Accessories"/>
    <n v="734"/>
    <n v="1136.5724424262185"/>
    <n v="3"/>
    <n v="5"/>
    <n v="3239.2314609147224"/>
    <n v="2202"/>
    <n v="1037.2314609147224"/>
    <s v="Credit Card"/>
    <x v="0"/>
    <d v="2023-11-15T00:00:00"/>
    <n v="6"/>
    <n v="2"/>
    <x v="0"/>
  </r>
  <r>
    <s v="ORD00637"/>
    <d v="2023-11-03T00:00:00"/>
    <s v="CUST0105"/>
    <s v="Meena"/>
    <s v="Kolkata"/>
    <s v="West Bengal"/>
    <x v="11"/>
    <x v="2"/>
    <s v="Computers"/>
    <n v="48319"/>
    <n v="64780.343628475239"/>
    <n v="1"/>
    <n v="0"/>
    <n v="64780.343628475239"/>
    <n v="48319"/>
    <n v="16461.343628475239"/>
    <s v="Credit Card"/>
    <x v="0"/>
    <d v="2023-11-12T00:00:00"/>
    <n v="6"/>
    <n v="4"/>
    <x v="2"/>
  </r>
  <r>
    <s v="ORD00954"/>
    <d v="2023-11-03T00:00:00"/>
    <s v="CUST0176"/>
    <s v="Neha"/>
    <s v="Mumbai"/>
    <s v="Maharashtra"/>
    <x v="3"/>
    <x v="2"/>
    <s v="Accessories"/>
    <n v="909"/>
    <n v="1443.745478981919"/>
    <n v="1"/>
    <n v="5"/>
    <n v="1371.558205032823"/>
    <n v="909"/>
    <n v="462.55820503282303"/>
    <s v="Debit Card"/>
    <x v="1"/>
    <m/>
    <n v="10"/>
    <n v="1"/>
    <x v="1"/>
  </r>
  <r>
    <s v="ORD01013"/>
    <d v="2023-11-03T00:00:00"/>
    <s v="CUST0120"/>
    <s v="Kiran"/>
    <s v="Pune"/>
    <s v="Maharashtra"/>
    <x v="1"/>
    <x v="1"/>
    <s v="Men"/>
    <n v="300"/>
    <n v="443.25790841900465"/>
    <n v="2"/>
    <n v="20"/>
    <n v="709.21265347040753"/>
    <n v="600"/>
    <n v="109.21265347040753"/>
    <s v="COD"/>
    <x v="0"/>
    <d v="2023-11-10T00:00:00"/>
    <n v="2"/>
    <n v="4"/>
    <x v="0"/>
  </r>
  <r>
    <s v="ORD00440"/>
    <d v="2023-11-04T00:00:00"/>
    <s v="CUST0094"/>
    <s v="Rohit"/>
    <s v="Hyderabad"/>
    <s v="Telangana"/>
    <x v="9"/>
    <x v="2"/>
    <s v="TV"/>
    <n v="35794"/>
    <n v="46398.38452800591"/>
    <n v="2"/>
    <n v="0"/>
    <n v="92796.769056011821"/>
    <n v="71588"/>
    <n v="21208.769056011821"/>
    <s v="Debit Card"/>
    <x v="0"/>
    <d v="2023-11-13T00:00:00"/>
    <n v="5"/>
    <n v="3"/>
    <x v="0"/>
  </r>
  <r>
    <s v="ORD00885"/>
    <d v="2023-11-04T00:00:00"/>
    <s v="CUST0083"/>
    <s v="Manoj"/>
    <s v="Delhi"/>
    <s v="Delhi"/>
    <x v="11"/>
    <x v="2"/>
    <s v="Computers"/>
    <n v="32219"/>
    <n v="43988.751099569599"/>
    <n v="4"/>
    <n v="0"/>
    <n v="175955.0043982784"/>
    <n v="128876"/>
    <n v="47079.004398278397"/>
    <s v="COD"/>
    <x v="1"/>
    <m/>
    <n v="10"/>
    <n v="1"/>
    <x v="1"/>
  </r>
  <r>
    <s v="ORD01116"/>
    <d v="2023-11-04T00:00:00"/>
    <s v="CUST0295"/>
    <s v="Swathi"/>
    <s v="Kolkata"/>
    <s v="West Bengal"/>
    <x v="5"/>
    <x v="0"/>
    <s v="Furniture"/>
    <n v="58498"/>
    <n v="99635.866840046059"/>
    <n v="1"/>
    <n v="5"/>
    <n v="94654.073498043756"/>
    <n v="58498"/>
    <n v="36156.073498043756"/>
    <s v="Debit Card"/>
    <x v="1"/>
    <m/>
    <n v="8"/>
    <n v="4"/>
    <x v="1"/>
  </r>
  <r>
    <s v="ORD00101"/>
    <d v="2023-11-05T00:00:00"/>
    <s v="CUST0243"/>
    <s v="Rohit"/>
    <s v="Mumbai"/>
    <s v="Maharashtra"/>
    <x v="1"/>
    <x v="1"/>
    <s v="Men"/>
    <n v="404"/>
    <n v="479.87665216836302"/>
    <n v="1"/>
    <n v="20"/>
    <n v="383.90132173469044"/>
    <n v="404"/>
    <n v="-20.098678265309559"/>
    <s v="COD"/>
    <x v="1"/>
    <m/>
    <n v="8"/>
    <n v="2"/>
    <x v="1"/>
  </r>
  <r>
    <s v="ORD00182"/>
    <d v="2023-11-05T00:00:00"/>
    <s v="CUST0045"/>
    <s v="Vikram"/>
    <s v="Delhi"/>
    <s v="Delhi"/>
    <x v="2"/>
    <x v="1"/>
    <s v="Women"/>
    <n v="960"/>
    <n v="1603.6431049543539"/>
    <n v="3"/>
    <n v="5"/>
    <n v="4570.3828491199092"/>
    <n v="2880"/>
    <n v="1690.3828491199092"/>
    <s v="UPI"/>
    <x v="0"/>
    <d v="2023-11-13T00:00:00"/>
    <n v="3"/>
    <n v="4"/>
    <x v="0"/>
  </r>
  <r>
    <s v="ORD00458"/>
    <d v="2023-11-05T00:00:00"/>
    <s v="CUST0271"/>
    <s v="Rohit"/>
    <s v="Mumbai"/>
    <s v="Maharashtra"/>
    <x v="11"/>
    <x v="2"/>
    <s v="Computers"/>
    <n v="46598"/>
    <n v="55765.935425969321"/>
    <n v="3"/>
    <n v="5"/>
    <n v="158932.91596401256"/>
    <n v="139794"/>
    <n v="19138.915964012558"/>
    <s v="COD"/>
    <x v="0"/>
    <d v="2023-11-15T00:00:00"/>
    <n v="6"/>
    <n v="2"/>
    <x v="0"/>
  </r>
  <r>
    <s v="ORD00302"/>
    <d v="2023-11-06T00:00:00"/>
    <s v="CUST0292"/>
    <s v="Rohit"/>
    <s v="Chennai"/>
    <s v="Tamil Nadu"/>
    <x v="2"/>
    <x v="1"/>
    <s v="Women"/>
    <n v="1017"/>
    <n v="1601.2958785261512"/>
    <n v="3"/>
    <n v="15"/>
    <n v="4083.3044902416859"/>
    <n v="3051"/>
    <n v="1032.3044902416859"/>
    <s v="UPI"/>
    <x v="1"/>
    <m/>
    <n v="10"/>
    <n v="1"/>
    <x v="1"/>
  </r>
  <r>
    <s v="ORD00381"/>
    <d v="2023-11-06T00:00:00"/>
    <s v="CUST0042"/>
    <s v="Pooja"/>
    <s v="Hyderabad"/>
    <s v="Telangana"/>
    <x v="10"/>
    <x v="2"/>
    <s v="Mobile"/>
    <n v="82922"/>
    <n v="108878.15782182578"/>
    <n v="3"/>
    <n v="0"/>
    <n v="326634.47346547735"/>
    <n v="248766"/>
    <n v="77868.473465477349"/>
    <s v="Credit Card"/>
    <x v="1"/>
    <m/>
    <n v="8"/>
    <n v="4"/>
    <x v="1"/>
  </r>
  <r>
    <s v="ORD01052"/>
    <d v="2023-11-06T00:00:00"/>
    <s v="CUST0251"/>
    <s v="Manoj"/>
    <s v="Ahmedabad"/>
    <s v="Gujarat"/>
    <x v="1"/>
    <x v="1"/>
    <s v="Men"/>
    <n v="454"/>
    <n v="732.0528401965812"/>
    <n v="3"/>
    <n v="5"/>
    <n v="2086.3505945602565"/>
    <n v="1362"/>
    <n v="724.35059456025647"/>
    <s v="UPI"/>
    <x v="0"/>
    <d v="2023-11-14T00:00:00"/>
    <n v="2"/>
    <n v="5"/>
    <x v="0"/>
  </r>
  <r>
    <s v="ORD00008"/>
    <d v="2023-11-07T00:00:00"/>
    <s v="CUST0074"/>
    <s v="Swathi"/>
    <s v="Kolkata"/>
    <s v="West Bengal"/>
    <x v="0"/>
    <x v="0"/>
    <s v="Kitchen"/>
    <n v="4959"/>
    <n v="5214.6769250869283"/>
    <n v="3"/>
    <n v="5"/>
    <n v="14861.829236497744"/>
    <n v="14877"/>
    <n v="-15.170763502255795"/>
    <s v="UPI"/>
    <x v="1"/>
    <m/>
    <n v="7"/>
    <n v="3"/>
    <x v="1"/>
  </r>
  <r>
    <s v="ORD00277"/>
    <d v="2023-11-07T00:00:00"/>
    <s v="CUST0283"/>
    <s v="Vikram"/>
    <s v="Delhi"/>
    <s v="Delhi"/>
    <x v="5"/>
    <x v="0"/>
    <s v="Furniture"/>
    <n v="51539"/>
    <n v="90945.214015188089"/>
    <n v="3"/>
    <n v="10"/>
    <n v="245552.07784100782"/>
    <n v="154617"/>
    <n v="90935.07784100782"/>
    <s v="Debit Card"/>
    <x v="1"/>
    <m/>
    <n v="10"/>
    <n v="1"/>
    <x v="1"/>
  </r>
  <r>
    <s v="ORD00581"/>
    <d v="2023-11-07T00:00:00"/>
    <s v="CUST0031"/>
    <s v="Divya"/>
    <s v="Delhi"/>
    <s v="Delhi"/>
    <x v="4"/>
    <x v="1"/>
    <s v="Footwear"/>
    <n v="1081"/>
    <n v="1112.1045252192835"/>
    <n v="4"/>
    <n v="5"/>
    <n v="4225.9971958332771"/>
    <n v="4324"/>
    <n v="-98.002804166722854"/>
    <s v="Debit Card"/>
    <x v="0"/>
    <d v="2023-11-15T00:00:00"/>
    <n v="1"/>
    <n v="5"/>
    <x v="0"/>
  </r>
  <r>
    <s v="ORD00866"/>
    <d v="2023-11-07T00:00:00"/>
    <s v="CUST0160"/>
    <s v="Deepika"/>
    <s v="Pune"/>
    <s v="Maharashtra"/>
    <x v="7"/>
    <x v="3"/>
    <s v="Skincare"/>
    <n v="541"/>
    <n v="725.60926557999426"/>
    <n v="4"/>
    <n v="15"/>
    <n v="2467.0715029719804"/>
    <n v="2164"/>
    <n v="303.07150297198041"/>
    <s v="Debit Card"/>
    <x v="0"/>
    <d v="2023-11-13T00:00:00"/>
    <n v="1"/>
    <n v="5"/>
    <x v="0"/>
  </r>
  <r>
    <s v="ORD01199"/>
    <d v="2023-11-07T00:00:00"/>
    <s v="CUST0208"/>
    <s v="Swathi"/>
    <s v="Kolkata"/>
    <s v="West Bengal"/>
    <x v="4"/>
    <x v="1"/>
    <s v="Footwear"/>
    <n v="1968"/>
    <n v="2350.74691925872"/>
    <n v="5"/>
    <n v="20"/>
    <n v="9402.9876770348801"/>
    <n v="9840"/>
    <n v="-437.01232296511989"/>
    <s v="Debit Card"/>
    <x v="1"/>
    <m/>
    <n v="9"/>
    <n v="1"/>
    <x v="1"/>
  </r>
  <r>
    <s v="ORD00139"/>
    <d v="2023-11-08T00:00:00"/>
    <s v="CUST0295"/>
    <s v="Ramesh"/>
    <s v="Delhi"/>
    <s v="Delhi"/>
    <x v="0"/>
    <x v="0"/>
    <s v="Kitchen"/>
    <n v="4663"/>
    <n v="7606.4764557459921"/>
    <n v="5"/>
    <n v="5"/>
    <n v="36130.763164793461"/>
    <n v="23315"/>
    <n v="12815.763164793461"/>
    <s v="Debit Card"/>
    <x v="0"/>
    <d v="2023-11-21T00:00:00"/>
    <n v="6"/>
    <n v="3"/>
    <x v="0"/>
  </r>
  <r>
    <s v="ORD00211"/>
    <d v="2023-11-08T00:00:00"/>
    <s v="CUST0282"/>
    <s v="Meena"/>
    <s v="Delhi"/>
    <s v="Delhi"/>
    <x v="9"/>
    <x v="2"/>
    <s v="TV"/>
    <n v="77801"/>
    <n v="116217.89096922673"/>
    <n v="1"/>
    <n v="0"/>
    <n v="116217.89096922673"/>
    <n v="77801"/>
    <n v="38416.890969226733"/>
    <s v="Debit Card"/>
    <x v="1"/>
    <m/>
    <n v="9"/>
    <n v="1"/>
    <x v="1"/>
  </r>
  <r>
    <s v="ORD01088"/>
    <d v="2023-11-08T00:00:00"/>
    <s v="CUST0265"/>
    <s v="Manoj"/>
    <s v="Ahmedabad"/>
    <s v="Gujarat"/>
    <x v="10"/>
    <x v="2"/>
    <s v="Mobile"/>
    <n v="78536"/>
    <n v="96207.08514104264"/>
    <n v="5"/>
    <n v="0"/>
    <n v="481035.42570521322"/>
    <n v="392680"/>
    <n v="88355.425705213216"/>
    <s v="UPI"/>
    <x v="0"/>
    <d v="2023-11-21T00:00:00"/>
    <n v="6"/>
    <n v="2"/>
    <x v="0"/>
  </r>
  <r>
    <s v="ORD00262"/>
    <d v="2023-11-09T00:00:00"/>
    <s v="CUST0112"/>
    <s v="Swathi"/>
    <s v="Mumbai"/>
    <s v="Maharashtra"/>
    <x v="2"/>
    <x v="1"/>
    <s v="Women"/>
    <n v="512"/>
    <n v="613.2226663516127"/>
    <n v="3"/>
    <n v="5"/>
    <n v="1747.6845991020962"/>
    <n v="1536"/>
    <n v="211.68459910209617"/>
    <s v="Credit Card"/>
    <x v="1"/>
    <m/>
    <n v="7"/>
    <n v="2"/>
    <x v="1"/>
  </r>
  <r>
    <s v="ORD00296"/>
    <d v="2023-11-09T00:00:00"/>
    <s v="CUST0241"/>
    <s v="Priya"/>
    <s v="Ahmedabad"/>
    <s v="Gujarat"/>
    <x v="0"/>
    <x v="0"/>
    <s v="Kitchen"/>
    <n v="6184"/>
    <n v="10939.642070221465"/>
    <n v="3"/>
    <n v="5"/>
    <n v="31177.979900131173"/>
    <n v="18552"/>
    <n v="12625.979900131173"/>
    <s v="Credit Card"/>
    <x v="1"/>
    <m/>
    <n v="9"/>
    <n v="1"/>
    <x v="1"/>
  </r>
  <r>
    <s v="ORD00438"/>
    <d v="2023-11-09T00:00:00"/>
    <s v="CUST0286"/>
    <s v="Suresh"/>
    <s v="Delhi"/>
    <s v="Delhi"/>
    <x v="6"/>
    <x v="1"/>
    <s v="Men"/>
    <n v="1001"/>
    <n v="1746.9885776744293"/>
    <n v="4"/>
    <n v="20"/>
    <n v="5590.3634485581742"/>
    <n v="4004"/>
    <n v="1586.3634485581742"/>
    <s v="Credit Card"/>
    <x v="1"/>
    <m/>
    <n v="7"/>
    <n v="2"/>
    <x v="1"/>
  </r>
  <r>
    <s v="ORD00763"/>
    <d v="2023-11-09T00:00:00"/>
    <s v="CUST0008"/>
    <s v="Anjali"/>
    <s v="Hyderabad"/>
    <s v="Telangana"/>
    <x v="5"/>
    <x v="0"/>
    <s v="Furniture"/>
    <n v="38171"/>
    <n v="46067.821707930583"/>
    <n v="1"/>
    <n v="5"/>
    <n v="43764.430622534055"/>
    <n v="38171"/>
    <n v="5593.4306225340551"/>
    <s v="COD"/>
    <x v="1"/>
    <m/>
    <n v="9"/>
    <n v="1"/>
    <x v="1"/>
  </r>
  <r>
    <s v="ORD00858"/>
    <d v="2023-11-09T00:00:00"/>
    <s v="CUST0170"/>
    <s v="Pooja"/>
    <s v="Delhi"/>
    <s v="Delhi"/>
    <x v="3"/>
    <x v="2"/>
    <s v="Accessories"/>
    <n v="1257"/>
    <n v="2170.5148008299011"/>
    <n v="5"/>
    <n v="5"/>
    <n v="10309.94530394203"/>
    <n v="6285"/>
    <n v="4024.9453039420296"/>
    <s v="Debit Card"/>
    <x v="0"/>
    <d v="2023-11-17T00:00:00"/>
    <n v="4"/>
    <n v="3"/>
    <x v="0"/>
  </r>
  <r>
    <s v="ORD01078"/>
    <d v="2023-11-09T00:00:00"/>
    <s v="CUST0013"/>
    <s v="Rohit"/>
    <s v="Kolkata"/>
    <s v="West Bengal"/>
    <x v="1"/>
    <x v="1"/>
    <s v="Men"/>
    <n v="744"/>
    <n v="1240.207199936651"/>
    <n v="5"/>
    <n v="5"/>
    <n v="5890.9841996990917"/>
    <n v="3720"/>
    <n v="2170.9841996990917"/>
    <s v="UPI"/>
    <x v="0"/>
    <d v="2023-11-19T00:00:00"/>
    <n v="5"/>
    <n v="3"/>
    <x v="0"/>
  </r>
  <r>
    <s v="ORD00187"/>
    <d v="2023-11-10T00:00:00"/>
    <s v="CUST0174"/>
    <s v="Rahul"/>
    <s v="Bangalore"/>
    <s v="Karnataka"/>
    <x v="4"/>
    <x v="1"/>
    <s v="Footwear"/>
    <n v="1725"/>
    <n v="2648.2232024181453"/>
    <n v="5"/>
    <n v="5"/>
    <n v="12579.060211486189"/>
    <n v="8625"/>
    <n v="3954.0602114861886"/>
    <s v="Credit Card"/>
    <x v="0"/>
    <d v="2023-11-21T00:00:00"/>
    <n v="6"/>
    <n v="2"/>
    <x v="0"/>
  </r>
  <r>
    <s v="ORD00527"/>
    <d v="2023-11-10T00:00:00"/>
    <s v="CUST0031"/>
    <s v="Arjun"/>
    <s v="Delhi"/>
    <s v="Delhi"/>
    <x v="2"/>
    <x v="1"/>
    <s v="Women"/>
    <n v="624"/>
    <n v="671.8515455420511"/>
    <n v="3"/>
    <n v="15"/>
    <n v="1713.2214411322302"/>
    <n v="1872"/>
    <n v="-158.77855886776979"/>
    <s v="COD"/>
    <x v="0"/>
    <d v="2023-11-18T00:00:00"/>
    <n v="1"/>
    <n v="4"/>
    <x v="0"/>
  </r>
  <r>
    <s v="ORD00060"/>
    <d v="2023-11-11T00:00:00"/>
    <s v="CUST0169"/>
    <s v="Ramesh"/>
    <s v="Hyderabad"/>
    <s v="Telangana"/>
    <x v="2"/>
    <x v="1"/>
    <s v="Women"/>
    <n v="838"/>
    <n v="1472.2521184131185"/>
    <n v="1"/>
    <n v="0"/>
    <n v="1472.2521184131185"/>
    <n v="838"/>
    <n v="634.25211841311852"/>
    <s v="Debit Card"/>
    <x v="1"/>
    <m/>
    <n v="9"/>
    <n v="1"/>
    <x v="1"/>
  </r>
  <r>
    <s v="ORD00703"/>
    <d v="2023-11-11T00:00:00"/>
    <s v="CUST0137"/>
    <s v="Manoj"/>
    <s v="Chennai"/>
    <s v="Tamil Nadu"/>
    <x v="10"/>
    <x v="2"/>
    <s v="Mobile"/>
    <n v="63004"/>
    <n v="65356.912306704558"/>
    <n v="4"/>
    <n v="15"/>
    <n v="222213.50184279549"/>
    <n v="252016"/>
    <n v="-29802.498157204507"/>
    <s v="UPI"/>
    <x v="0"/>
    <d v="2023-11-21T00:00:00"/>
    <n v="6"/>
    <n v="2"/>
    <x v="0"/>
  </r>
  <r>
    <s v="ORD00777"/>
    <d v="2023-11-11T00:00:00"/>
    <s v="CUST0241"/>
    <s v="Swathi"/>
    <s v="Delhi"/>
    <s v="Delhi"/>
    <x v="9"/>
    <x v="2"/>
    <s v="TV"/>
    <n v="44457"/>
    <n v="58467.210083323916"/>
    <n v="4"/>
    <n v="15"/>
    <n v="198788.51428330131"/>
    <n v="177828"/>
    <n v="20960.514283301309"/>
    <s v="Credit Card"/>
    <x v="1"/>
    <m/>
    <n v="10"/>
    <n v="1"/>
    <x v="1"/>
  </r>
  <r>
    <s v="ORD00239"/>
    <d v="2023-11-12T00:00:00"/>
    <s v="CUST0231"/>
    <s v="Swathi"/>
    <s v="Delhi"/>
    <s v="Delhi"/>
    <x v="3"/>
    <x v="2"/>
    <s v="Accessories"/>
    <n v="655"/>
    <n v="990.74608859777038"/>
    <n v="3"/>
    <n v="20"/>
    <n v="2377.7906126346493"/>
    <n v="1965"/>
    <n v="412.79061263464928"/>
    <s v="Debit Card"/>
    <x v="0"/>
    <d v="2023-11-22T00:00:00"/>
    <n v="4"/>
    <n v="2"/>
    <x v="0"/>
  </r>
  <r>
    <s v="ORD00497"/>
    <d v="2023-11-12T00:00:00"/>
    <s v="CUST0206"/>
    <s v="Sneha"/>
    <s v="Pune"/>
    <s v="Maharashtra"/>
    <x v="11"/>
    <x v="2"/>
    <s v="Computers"/>
    <n v="41515"/>
    <n v="45119.603997045015"/>
    <n v="2"/>
    <n v="10"/>
    <n v="81215.287194681034"/>
    <n v="83030"/>
    <n v="-1814.7128053189663"/>
    <s v="COD"/>
    <x v="1"/>
    <m/>
    <n v="9"/>
    <n v="1"/>
    <x v="1"/>
  </r>
  <r>
    <s v="ORD00764"/>
    <d v="2023-11-12T00:00:00"/>
    <s v="CUST0141"/>
    <s v="Amit"/>
    <s v="Kolkata"/>
    <s v="West Bengal"/>
    <x v="4"/>
    <x v="1"/>
    <s v="Footwear"/>
    <n v="2880"/>
    <n v="3499.585730863259"/>
    <n v="2"/>
    <n v="0"/>
    <n v="6999.1714617265179"/>
    <n v="5760"/>
    <n v="1239.1714617265179"/>
    <s v="Debit Card"/>
    <x v="0"/>
    <d v="2023-11-21T00:00:00"/>
    <n v="4"/>
    <n v="4"/>
    <x v="0"/>
  </r>
  <r>
    <s v="ORD01039"/>
    <d v="2023-11-12T00:00:00"/>
    <s v="CUST0052"/>
    <s v="Kavya"/>
    <s v="Ahmedabad"/>
    <s v="Gujarat"/>
    <x v="4"/>
    <x v="1"/>
    <s v="Footwear"/>
    <n v="2287"/>
    <n v="4006.3328878782763"/>
    <n v="3"/>
    <n v="10"/>
    <n v="10817.098797271346"/>
    <n v="6861"/>
    <n v="3956.0987972713465"/>
    <s v="Debit Card"/>
    <x v="1"/>
    <m/>
    <n v="7"/>
    <n v="3"/>
    <x v="1"/>
  </r>
  <r>
    <s v="ORD00107"/>
    <d v="2023-11-13T00:00:00"/>
    <s v="CUST0209"/>
    <s v="Priya"/>
    <s v="Chennai"/>
    <s v="Tamil Nadu"/>
    <x v="8"/>
    <x v="3"/>
    <s v="Fragrance"/>
    <n v="865"/>
    <n v="1274.5705825455479"/>
    <n v="4"/>
    <n v="10"/>
    <n v="4588.4540971639726"/>
    <n v="3460"/>
    <n v="1128.4540971639726"/>
    <s v="COD"/>
    <x v="0"/>
    <d v="2023-11-22T00:00:00"/>
    <n v="2"/>
    <n v="5"/>
    <x v="0"/>
  </r>
  <r>
    <s v="ORD00215"/>
    <d v="2023-11-13T00:00:00"/>
    <s v="CUST0121"/>
    <s v="Pooja"/>
    <s v="Delhi"/>
    <s v="Delhi"/>
    <x v="2"/>
    <x v="1"/>
    <s v="Women"/>
    <n v="1853"/>
    <n v="2974.8430044373467"/>
    <n v="2"/>
    <n v="15"/>
    <n v="5057.2331075434895"/>
    <n v="3706"/>
    <n v="1351.2331075434895"/>
    <s v="UPI"/>
    <x v="0"/>
    <d v="2023-11-25T00:00:00"/>
    <n v="5"/>
    <n v="3"/>
    <x v="0"/>
  </r>
  <r>
    <s v="ORD00486"/>
    <d v="2023-11-13T00:00:00"/>
    <s v="CUST0218"/>
    <s v="Deepika"/>
    <s v="Hyderabad"/>
    <s v="Telangana"/>
    <x v="4"/>
    <x v="1"/>
    <s v="Footwear"/>
    <n v="2758"/>
    <n v="4953.8342212107109"/>
    <n v="2"/>
    <n v="0"/>
    <n v="9907.6684424214218"/>
    <n v="5516"/>
    <n v="4391.6684424214218"/>
    <s v="UPI"/>
    <x v="1"/>
    <m/>
    <n v="9"/>
    <n v="1"/>
    <x v="1"/>
  </r>
  <r>
    <s v="ORD00819"/>
    <d v="2023-11-13T00:00:00"/>
    <s v="CUST0283"/>
    <s v="Manoj"/>
    <s v="Mumbai"/>
    <s v="Maharashtra"/>
    <x v="1"/>
    <x v="1"/>
    <s v="Men"/>
    <n v="703"/>
    <n v="814.0533196680168"/>
    <n v="3"/>
    <n v="0"/>
    <n v="2442.1599590040505"/>
    <n v="2109"/>
    <n v="333.15995900405051"/>
    <s v="Credit Card"/>
    <x v="0"/>
    <d v="2023-11-21T00:00:00"/>
    <n v="2"/>
    <n v="5"/>
    <x v="0"/>
  </r>
  <r>
    <s v="ORD01110"/>
    <d v="2023-11-13T00:00:00"/>
    <s v="CUST0200"/>
    <s v="Nikhil"/>
    <s v="Ahmedabad"/>
    <s v="Gujarat"/>
    <x v="10"/>
    <x v="2"/>
    <s v="Mobile"/>
    <n v="54690"/>
    <n v="87781.732084106756"/>
    <n v="2"/>
    <n v="5"/>
    <n v="166785.29095980283"/>
    <n v="109380"/>
    <n v="57405.290959802835"/>
    <s v="UPI"/>
    <x v="1"/>
    <m/>
    <n v="8"/>
    <n v="2"/>
    <x v="1"/>
  </r>
  <r>
    <s v="ORD00359"/>
    <d v="2023-11-14T00:00:00"/>
    <s v="CUST0031"/>
    <s v="Neha"/>
    <s v="Chennai"/>
    <s v="Tamil Nadu"/>
    <x v="4"/>
    <x v="1"/>
    <s v="Footwear"/>
    <n v="2614"/>
    <n v="3605.5005456192407"/>
    <n v="5"/>
    <n v="0"/>
    <n v="18027.502728096202"/>
    <n v="13070"/>
    <n v="4957.5027280962022"/>
    <s v="Debit Card"/>
    <x v="1"/>
    <m/>
    <n v="10"/>
    <n v="1"/>
    <x v="1"/>
  </r>
  <r>
    <s v="ORD00759"/>
    <d v="2023-11-14T00:00:00"/>
    <s v="CUST0031"/>
    <s v="Kiran"/>
    <s v="Bangalore"/>
    <s v="Karnataka"/>
    <x v="9"/>
    <x v="2"/>
    <s v="TV"/>
    <n v="75344"/>
    <n v="96296.0918263028"/>
    <n v="4"/>
    <n v="15"/>
    <n v="327406.71220942953"/>
    <n v="301376"/>
    <n v="26030.712209429534"/>
    <s v="Credit Card"/>
    <x v="0"/>
    <d v="2023-11-18T00:00:00"/>
    <n v="1"/>
    <n v="5"/>
    <x v="0"/>
  </r>
  <r>
    <s v="ORD00086"/>
    <d v="2023-11-15T00:00:00"/>
    <s v="CUST0275"/>
    <s v="Divya"/>
    <s v="Hyderabad"/>
    <s v="Telangana"/>
    <x v="0"/>
    <x v="0"/>
    <s v="Kitchen"/>
    <n v="5702"/>
    <n v="5976.5702466487028"/>
    <n v="1"/>
    <n v="15"/>
    <n v="5080.0847096513971"/>
    <n v="5702"/>
    <n v="-621.91529034860287"/>
    <s v="COD"/>
    <x v="1"/>
    <m/>
    <n v="8"/>
    <n v="4"/>
    <x v="1"/>
  </r>
  <r>
    <s v="ORD00248"/>
    <d v="2023-11-15T00:00:00"/>
    <s v="CUST0062"/>
    <s v="Rohit"/>
    <s v="Bangalore"/>
    <s v="Karnataka"/>
    <x v="6"/>
    <x v="1"/>
    <s v="Men"/>
    <n v="1323"/>
    <n v="1891.2131761871456"/>
    <n v="3"/>
    <n v="10"/>
    <n v="5106.2755757052928"/>
    <n v="3969"/>
    <n v="1137.2755757052928"/>
    <s v="Credit Card"/>
    <x v="0"/>
    <d v="2023-11-22T00:00:00"/>
    <n v="2"/>
    <n v="5"/>
    <x v="0"/>
  </r>
  <r>
    <s v="ORD01195"/>
    <d v="2023-11-15T00:00:00"/>
    <s v="CUST0014"/>
    <s v="Rohit"/>
    <s v="Ahmedabad"/>
    <s v="Gujarat"/>
    <x v="1"/>
    <x v="1"/>
    <s v="Men"/>
    <n v="305"/>
    <n v="387.05163942811834"/>
    <n v="1"/>
    <n v="15"/>
    <n v="328.99389351390056"/>
    <n v="305"/>
    <n v="23.993893513900559"/>
    <s v="Credit Card"/>
    <x v="1"/>
    <m/>
    <n v="8"/>
    <n v="3"/>
    <x v="1"/>
  </r>
  <r>
    <s v="ORD00504"/>
    <d v="2023-11-16T00:00:00"/>
    <s v="CUST0013"/>
    <s v="Nikhil"/>
    <s v="Hyderabad"/>
    <s v="Telangana"/>
    <x v="5"/>
    <x v="0"/>
    <s v="Furniture"/>
    <n v="55373"/>
    <n v="71232.283741756444"/>
    <n v="3"/>
    <n v="10"/>
    <n v="192327.1661027424"/>
    <n v="166119"/>
    <n v="26208.166102742398"/>
    <s v="COD"/>
    <x v="0"/>
    <d v="2023-11-28T00:00:00"/>
    <n v="5"/>
    <n v="2"/>
    <x v="0"/>
  </r>
  <r>
    <s v="ORD00548"/>
    <d v="2023-11-16T00:00:00"/>
    <s v="CUST0128"/>
    <s v="Deepika"/>
    <s v="Chennai"/>
    <s v="Tamil Nadu"/>
    <x v="3"/>
    <x v="2"/>
    <s v="Accessories"/>
    <n v="653"/>
    <n v="1096.3521632785671"/>
    <n v="1"/>
    <n v="5"/>
    <n v="1041.5345551146388"/>
    <n v="653"/>
    <n v="388.53455511463881"/>
    <s v="Debit Card"/>
    <x v="0"/>
    <d v="2023-11-26T00:00:00"/>
    <n v="3"/>
    <n v="3"/>
    <x v="0"/>
  </r>
  <r>
    <s v="ORD00944"/>
    <d v="2023-11-16T00:00:00"/>
    <s v="CUST0283"/>
    <s v="Arjun"/>
    <s v="Ahmedabad"/>
    <s v="Gujarat"/>
    <x v="11"/>
    <x v="2"/>
    <s v="Computers"/>
    <n v="38954"/>
    <n v="39755.508407142683"/>
    <n v="5"/>
    <n v="20"/>
    <n v="159022.03362857073"/>
    <n v="194770"/>
    <n v="-35747.966371429269"/>
    <s v="COD"/>
    <x v="1"/>
    <m/>
    <n v="8"/>
    <n v="2"/>
    <x v="1"/>
  </r>
  <r>
    <s v="ORD01076"/>
    <d v="2023-11-16T00:00:00"/>
    <s v="CUST0093"/>
    <s v="Rahul"/>
    <s v="Mumbai"/>
    <s v="Maharashtra"/>
    <x v="6"/>
    <x v="1"/>
    <s v="Men"/>
    <n v="1239"/>
    <n v="2036.0845494216426"/>
    <n v="2"/>
    <n v="20"/>
    <n v="3257.7352790746281"/>
    <n v="2478"/>
    <n v="779.73527907462812"/>
    <s v="UPI"/>
    <x v="0"/>
    <d v="2023-11-22T00:00:00"/>
    <n v="2"/>
    <n v="5"/>
    <x v="0"/>
  </r>
  <r>
    <s v="ORD00143"/>
    <d v="2023-11-17T00:00:00"/>
    <s v="CUST0054"/>
    <s v="Deepika"/>
    <s v="Pune"/>
    <s v="Maharashtra"/>
    <x v="1"/>
    <x v="1"/>
    <s v="Men"/>
    <n v="520"/>
    <n v="630.92442076478346"/>
    <n v="2"/>
    <n v="5"/>
    <n v="1198.7563994530885"/>
    <n v="1040"/>
    <n v="158.75639945308853"/>
    <s v="UPI"/>
    <x v="0"/>
    <d v="2023-11-26T00:00:00"/>
    <n v="5"/>
    <n v="2"/>
    <x v="0"/>
  </r>
  <r>
    <s v="ORD00852"/>
    <d v="2023-11-17T00:00:00"/>
    <s v="CUST0200"/>
    <s v="Suresh"/>
    <s v="Hyderabad"/>
    <s v="Telangana"/>
    <x v="9"/>
    <x v="2"/>
    <s v="TV"/>
    <n v="74171"/>
    <n v="126894.3431821511"/>
    <n v="2"/>
    <n v="0"/>
    <n v="253788.68636430221"/>
    <n v="148342"/>
    <n v="105446.68636430221"/>
    <s v="COD"/>
    <x v="1"/>
    <m/>
    <n v="8"/>
    <n v="3"/>
    <x v="1"/>
  </r>
  <r>
    <s v="ORD01144"/>
    <d v="2023-11-18T00:00:00"/>
    <s v="CUST0083"/>
    <s v="Manoj"/>
    <s v="Pune"/>
    <s v="Maharashtra"/>
    <x v="6"/>
    <x v="1"/>
    <s v="Men"/>
    <n v="863"/>
    <n v="1401.3091560300836"/>
    <n v="3"/>
    <n v="5"/>
    <n v="3993.7310946857383"/>
    <n v="2589"/>
    <n v="1404.7310946857383"/>
    <s v="UPI"/>
    <x v="0"/>
    <d v="2023-11-28T00:00:00"/>
    <n v="3"/>
    <n v="3"/>
    <x v="0"/>
  </r>
  <r>
    <s v="ORD00123"/>
    <d v="2023-11-19T00:00:00"/>
    <s v="CUST0049"/>
    <s v="Amit"/>
    <s v="Bangalore"/>
    <s v="Karnataka"/>
    <x v="1"/>
    <x v="1"/>
    <s v="Men"/>
    <n v="427"/>
    <n v="704.66215263859203"/>
    <n v="3"/>
    <n v="20"/>
    <n v="1691.189166332621"/>
    <n v="1281"/>
    <n v="410.18916633262097"/>
    <s v="Credit Card"/>
    <x v="0"/>
    <d v="2023-11-27T00:00:00"/>
    <n v="4"/>
    <n v="2"/>
    <x v="0"/>
  </r>
  <r>
    <s v="ORD00286"/>
    <d v="2023-11-19T00:00:00"/>
    <s v="CUST0280"/>
    <s v="Pooja"/>
    <s v="Bangalore"/>
    <s v="Karnataka"/>
    <x v="0"/>
    <x v="0"/>
    <s v="Kitchen"/>
    <n v="6248"/>
    <n v="11033.740307243863"/>
    <n v="4"/>
    <n v="10"/>
    <n v="39721.465106077907"/>
    <n v="24992"/>
    <n v="14729.465106077907"/>
    <s v="Debit Card"/>
    <x v="0"/>
    <d v="2023-11-27T00:00:00"/>
    <n v="2"/>
    <n v="5"/>
    <x v="0"/>
  </r>
  <r>
    <s v="ORD00477"/>
    <d v="2023-11-19T00:00:00"/>
    <s v="CUST0295"/>
    <s v="Deepika"/>
    <s v="Chennai"/>
    <s v="Tamil Nadu"/>
    <x v="1"/>
    <x v="1"/>
    <s v="Men"/>
    <n v="243"/>
    <n v="249.80576887369267"/>
    <n v="5"/>
    <n v="0"/>
    <n v="1249.0288443684633"/>
    <n v="1215"/>
    <n v="34.028844368463297"/>
    <s v="Credit Card"/>
    <x v="1"/>
    <m/>
    <n v="8"/>
    <n v="2"/>
    <x v="1"/>
  </r>
  <r>
    <s v="ORD00615"/>
    <d v="2023-11-19T00:00:00"/>
    <s v="CUST0108"/>
    <s v="Suresh"/>
    <s v="Ahmedabad"/>
    <s v="Gujarat"/>
    <x v="3"/>
    <x v="2"/>
    <s v="Accessories"/>
    <n v="872"/>
    <n v="925.67044908010701"/>
    <n v="3"/>
    <n v="5"/>
    <n v="2638.1607798783048"/>
    <n v="2616"/>
    <n v="22.160779878304766"/>
    <s v="UPI"/>
    <x v="0"/>
    <d v="2023-12-02T00:00:00"/>
    <n v="7"/>
    <n v="4"/>
    <x v="2"/>
  </r>
  <r>
    <s v="ORD00709"/>
    <d v="2023-11-19T00:00:00"/>
    <s v="CUST0161"/>
    <s v="Rohit"/>
    <s v="Chennai"/>
    <s v="Tamil Nadu"/>
    <x v="10"/>
    <x v="2"/>
    <s v="Mobile"/>
    <n v="78098"/>
    <n v="110637.81012906428"/>
    <n v="3"/>
    <n v="0"/>
    <n v="331913.43038719287"/>
    <n v="234294"/>
    <n v="97619.430387192871"/>
    <s v="Debit Card"/>
    <x v="0"/>
    <d v="2023-12-02T00:00:00"/>
    <n v="6"/>
    <n v="3"/>
    <x v="0"/>
  </r>
  <r>
    <s v="ORD00519"/>
    <d v="2023-11-20T00:00:00"/>
    <s v="CUST0154"/>
    <s v="Pooja"/>
    <s v="Bangalore"/>
    <s v="Karnataka"/>
    <x v="2"/>
    <x v="1"/>
    <s v="Women"/>
    <n v="690"/>
    <n v="1114.8888409771912"/>
    <n v="1"/>
    <n v="0"/>
    <n v="1114.8888409771912"/>
    <n v="690"/>
    <n v="424.88884097719119"/>
    <s v="UPI"/>
    <x v="0"/>
    <d v="2023-11-29T00:00:00"/>
    <n v="2"/>
    <n v="5"/>
    <x v="0"/>
  </r>
  <r>
    <s v="ORD00928"/>
    <d v="2023-11-20T00:00:00"/>
    <s v="CUST0211"/>
    <s v="Pooja"/>
    <s v="Delhi"/>
    <s v="Delhi"/>
    <x v="4"/>
    <x v="1"/>
    <s v="Footwear"/>
    <n v="2187"/>
    <n v="3672.034538816386"/>
    <n v="3"/>
    <n v="5"/>
    <n v="10465.298435626699"/>
    <n v="6561"/>
    <n v="3904.2984356266988"/>
    <s v="COD"/>
    <x v="1"/>
    <m/>
    <n v="10"/>
    <n v="1"/>
    <x v="1"/>
  </r>
  <r>
    <s v="ORD00092"/>
    <d v="2023-11-21T00:00:00"/>
    <s v="CUST0023"/>
    <s v="Kiran"/>
    <s v="Chennai"/>
    <s v="Tamil Nadu"/>
    <x v="4"/>
    <x v="1"/>
    <s v="Footwear"/>
    <n v="1051"/>
    <n v="1232.5027434965473"/>
    <n v="2"/>
    <n v="0"/>
    <n v="2465.0054869930946"/>
    <n v="2102"/>
    <n v="363.00548699309456"/>
    <s v="Debit Card"/>
    <x v="1"/>
    <m/>
    <n v="10"/>
    <n v="1"/>
    <x v="1"/>
  </r>
  <r>
    <s v="ORD00188"/>
    <d v="2023-11-21T00:00:00"/>
    <s v="CUST0193"/>
    <s v="Neha"/>
    <s v="Hyderabad"/>
    <s v="Telangana"/>
    <x v="8"/>
    <x v="3"/>
    <s v="Fragrance"/>
    <n v="722"/>
    <n v="928.53983423629393"/>
    <n v="2"/>
    <n v="20"/>
    <n v="1485.6637347780704"/>
    <n v="1444"/>
    <n v="41.66373477807042"/>
    <s v="UPI"/>
    <x v="0"/>
    <d v="2023-11-28T00:00:00"/>
    <n v="4"/>
    <n v="2"/>
    <x v="0"/>
  </r>
  <r>
    <s v="ORD00412"/>
    <d v="2023-11-22T00:00:00"/>
    <s v="CUST0221"/>
    <s v="Arjun"/>
    <s v="Bangalore"/>
    <s v="Karnataka"/>
    <x v="9"/>
    <x v="2"/>
    <s v="TV"/>
    <n v="24910"/>
    <n v="36361.703373242199"/>
    <n v="2"/>
    <n v="0"/>
    <n v="72723.406746484397"/>
    <n v="49820"/>
    <n v="22903.406746484397"/>
    <s v="Credit Card"/>
    <x v="1"/>
    <m/>
    <n v="10"/>
    <n v="1"/>
    <x v="1"/>
  </r>
  <r>
    <s v="ORD00500"/>
    <d v="2023-11-22T00:00:00"/>
    <s v="CUST0060"/>
    <s v="Vikram"/>
    <s v="Chennai"/>
    <s v="Tamil Nadu"/>
    <x v="4"/>
    <x v="1"/>
    <s v="Footwear"/>
    <n v="2807"/>
    <n v="4636.7391643373594"/>
    <n v="4"/>
    <n v="5"/>
    <n v="17619.608824481966"/>
    <n v="11228"/>
    <n v="6391.6088244819657"/>
    <s v="UPI"/>
    <x v="0"/>
    <d v="2023-12-02T00:00:00"/>
    <n v="5"/>
    <n v="2"/>
    <x v="0"/>
  </r>
  <r>
    <s v="ORD00098"/>
    <d v="2023-11-23T00:00:00"/>
    <s v="CUST0030"/>
    <s v="Priya"/>
    <s v="Chennai"/>
    <s v="Tamil Nadu"/>
    <x v="0"/>
    <x v="0"/>
    <s v="Kitchen"/>
    <n v="5089"/>
    <n v="5930.0551916116965"/>
    <n v="3"/>
    <n v="0"/>
    <n v="17790.16557483509"/>
    <n v="15267"/>
    <n v="2523.1655748350895"/>
    <s v="Credit Card"/>
    <x v="0"/>
    <d v="2023-12-01T00:00:00"/>
    <n v="4"/>
    <n v="4"/>
    <x v="0"/>
  </r>
  <r>
    <s v="ORD00593"/>
    <d v="2023-11-23T00:00:00"/>
    <s v="CUST0162"/>
    <s v="Suresh"/>
    <s v="Bangalore"/>
    <s v="Karnataka"/>
    <x v="2"/>
    <x v="1"/>
    <s v="Women"/>
    <n v="1552"/>
    <n v="2123.8106506677709"/>
    <n v="2"/>
    <n v="10"/>
    <n v="3822.8591712019879"/>
    <n v="3104"/>
    <n v="718.85917120198792"/>
    <s v="UPI"/>
    <x v="0"/>
    <d v="2023-12-04T00:00:00"/>
    <n v="6"/>
    <n v="3"/>
    <x v="0"/>
  </r>
  <r>
    <s v="ORD00620"/>
    <d v="2023-11-23T00:00:00"/>
    <s v="CUST0274"/>
    <s v="Swathi"/>
    <s v="Ahmedabad"/>
    <s v="Gujarat"/>
    <x v="8"/>
    <x v="3"/>
    <s v="Fragrance"/>
    <n v="953"/>
    <n v="1094.9545724340248"/>
    <n v="3"/>
    <n v="20"/>
    <n v="2627.8909738416596"/>
    <n v="2859"/>
    <n v="-231.10902615834038"/>
    <s v="Debit Card"/>
    <x v="1"/>
    <m/>
    <n v="7"/>
    <n v="2"/>
    <x v="1"/>
  </r>
  <r>
    <s v="ORD00180"/>
    <d v="2023-11-24T00:00:00"/>
    <s v="CUST0010"/>
    <s v="Kiran"/>
    <s v="Kolkata"/>
    <s v="West Bengal"/>
    <x v="1"/>
    <x v="1"/>
    <s v="Men"/>
    <n v="662"/>
    <n v="908.55402887489686"/>
    <n v="4"/>
    <n v="10"/>
    <n v="3270.794503949629"/>
    <n v="2648"/>
    <n v="622.79450394962896"/>
    <s v="COD"/>
    <x v="0"/>
    <d v="2023-12-02T00:00:00"/>
    <n v="1"/>
    <n v="5"/>
    <x v="0"/>
  </r>
  <r>
    <s v="ORD01044"/>
    <d v="2023-11-24T00:00:00"/>
    <s v="CUST0152"/>
    <s v="Suresh"/>
    <s v="Pune"/>
    <s v="Maharashtra"/>
    <x v="8"/>
    <x v="3"/>
    <s v="Fragrance"/>
    <n v="828"/>
    <n v="845.05555317723019"/>
    <n v="1"/>
    <n v="10"/>
    <n v="760.54999785950724"/>
    <n v="828"/>
    <n v="-67.450002140492757"/>
    <s v="Debit Card"/>
    <x v="0"/>
    <d v="2023-12-05T00:00:00"/>
    <n v="6"/>
    <n v="4"/>
    <x v="2"/>
  </r>
  <r>
    <s v="ORD01086"/>
    <d v="2023-11-24T00:00:00"/>
    <s v="CUST0051"/>
    <s v="Manoj"/>
    <s v="Chennai"/>
    <s v="Tamil Nadu"/>
    <x v="4"/>
    <x v="1"/>
    <s v="Footwear"/>
    <n v="2347"/>
    <n v="2964.1219929618874"/>
    <n v="5"/>
    <n v="15"/>
    <n v="12597.518470088022"/>
    <n v="11735"/>
    <n v="862.51847008802179"/>
    <s v="COD"/>
    <x v="1"/>
    <m/>
    <n v="10"/>
    <n v="1"/>
    <x v="1"/>
  </r>
  <r>
    <s v="ORD00480"/>
    <d v="2023-11-25T00:00:00"/>
    <s v="CUST0155"/>
    <s v="Arjun"/>
    <s v="Ahmedabad"/>
    <s v="Gujarat"/>
    <x v="4"/>
    <x v="1"/>
    <s v="Footwear"/>
    <n v="1431"/>
    <n v="2447.0139868273982"/>
    <n v="5"/>
    <n v="20"/>
    <n v="9788.0559473095927"/>
    <n v="7155"/>
    <n v="2633.0559473095927"/>
    <s v="Debit Card"/>
    <x v="1"/>
    <m/>
    <n v="9"/>
    <n v="1"/>
    <x v="1"/>
  </r>
  <r>
    <s v="ORD00583"/>
    <d v="2023-11-25T00:00:00"/>
    <s v="CUST0158"/>
    <s v="Priya"/>
    <s v="Bangalore"/>
    <s v="Karnataka"/>
    <x v="7"/>
    <x v="3"/>
    <s v="Skincare"/>
    <n v="532"/>
    <n v="753.8976006185195"/>
    <n v="1"/>
    <n v="0"/>
    <n v="753.8976006185195"/>
    <n v="532"/>
    <n v="221.8976006185195"/>
    <s v="Debit Card"/>
    <x v="1"/>
    <m/>
    <n v="8"/>
    <n v="2"/>
    <x v="1"/>
  </r>
  <r>
    <s v="ORD01011"/>
    <d v="2023-11-25T00:00:00"/>
    <s v="CUST0219"/>
    <s v="Suresh"/>
    <s v="Kolkata"/>
    <s v="West Bengal"/>
    <x v="4"/>
    <x v="1"/>
    <s v="Footwear"/>
    <n v="1146"/>
    <n v="1566.9870920744702"/>
    <n v="5"/>
    <n v="10"/>
    <n v="7051.4419143351161"/>
    <n v="5730"/>
    <n v="1321.4419143351161"/>
    <s v="COD"/>
    <x v="0"/>
    <d v="2023-12-04T00:00:00"/>
    <n v="4"/>
    <n v="4"/>
    <x v="0"/>
  </r>
  <r>
    <s v="ORD01160"/>
    <d v="2023-11-25T00:00:00"/>
    <s v="CUST0288"/>
    <s v="Manoj"/>
    <s v="Ahmedabad"/>
    <s v="Gujarat"/>
    <x v="11"/>
    <x v="2"/>
    <s v="Computers"/>
    <n v="36723"/>
    <n v="52475.875367209504"/>
    <n v="1"/>
    <n v="15"/>
    <n v="44604.494062128077"/>
    <n v="36723"/>
    <n v="7881.4940621280766"/>
    <s v="UPI"/>
    <x v="0"/>
    <d v="2023-12-02T00:00:00"/>
    <n v="2"/>
    <n v="5"/>
    <x v="0"/>
  </r>
  <r>
    <s v="ORD00041"/>
    <d v="2023-11-26T00:00:00"/>
    <s v="CUST0031"/>
    <s v="Rohit"/>
    <s v="Hyderabad"/>
    <s v="Telangana"/>
    <x v="9"/>
    <x v="2"/>
    <s v="TV"/>
    <n v="78072"/>
    <n v="84155.142115178489"/>
    <n v="3"/>
    <n v="10"/>
    <n v="227218.88371098193"/>
    <n v="234216"/>
    <n v="-6997.1162890180713"/>
    <s v="UPI"/>
    <x v="1"/>
    <m/>
    <n v="8"/>
    <n v="4"/>
    <x v="1"/>
  </r>
  <r>
    <s v="ORD00526"/>
    <d v="2023-11-26T00:00:00"/>
    <s v="CUST0257"/>
    <s v="Swathi"/>
    <s v="Ahmedabad"/>
    <s v="Gujarat"/>
    <x v="8"/>
    <x v="3"/>
    <s v="Fragrance"/>
    <n v="766"/>
    <n v="884.21070437503545"/>
    <n v="2"/>
    <n v="15"/>
    <n v="1503.1581974375601"/>
    <n v="1532"/>
    <n v="-28.841802562439852"/>
    <s v="Credit Card"/>
    <x v="0"/>
    <d v="2023-12-03T00:00:00"/>
    <n v="4"/>
    <n v="2"/>
    <x v="0"/>
  </r>
  <r>
    <s v="ORD00832"/>
    <d v="2023-11-26T00:00:00"/>
    <s v="CUST0187"/>
    <s v="Sneha"/>
    <s v="Ahmedabad"/>
    <s v="Gujarat"/>
    <x v="11"/>
    <x v="2"/>
    <s v="Computers"/>
    <n v="39235"/>
    <n v="53043.155747885277"/>
    <n v="3"/>
    <n v="5"/>
    <n v="151172.99388147303"/>
    <n v="117705"/>
    <n v="33467.993881473027"/>
    <s v="COD"/>
    <x v="0"/>
    <d v="2023-12-09T00:00:00"/>
    <n v="6"/>
    <n v="3"/>
    <x v="0"/>
  </r>
  <r>
    <s v="ORD00845"/>
    <d v="2023-11-26T00:00:00"/>
    <s v="CUST0238"/>
    <s v="Vikram"/>
    <s v="Delhi"/>
    <s v="Delhi"/>
    <x v="1"/>
    <x v="1"/>
    <s v="Men"/>
    <n v="727"/>
    <n v="1103.7448877089905"/>
    <n v="5"/>
    <n v="15"/>
    <n v="4690.9157727632091"/>
    <n v="3635"/>
    <n v="1055.9157727632091"/>
    <s v="Credit Card"/>
    <x v="0"/>
    <d v="2023-11-30T00:00:00"/>
    <n v="1"/>
    <n v="4"/>
    <x v="0"/>
  </r>
  <r>
    <s v="ORD00878"/>
    <d v="2023-11-26T00:00:00"/>
    <s v="CUST0283"/>
    <s v="Nikhil"/>
    <s v="Chennai"/>
    <s v="Tamil Nadu"/>
    <x v="9"/>
    <x v="2"/>
    <s v="TV"/>
    <n v="45682"/>
    <n v="81339.120389743461"/>
    <n v="5"/>
    <n v="15"/>
    <n v="345691.26165640971"/>
    <n v="228410"/>
    <n v="117281.26165640971"/>
    <s v="Credit Card"/>
    <x v="0"/>
    <d v="2023-12-07T00:00:00"/>
    <n v="5"/>
    <n v="2"/>
    <x v="0"/>
  </r>
  <r>
    <s v="ORD00117"/>
    <d v="2023-11-27T00:00:00"/>
    <s v="CUST0046"/>
    <s v="Arjun"/>
    <s v="Kolkata"/>
    <s v="West Bengal"/>
    <x v="3"/>
    <x v="2"/>
    <s v="Accessories"/>
    <n v="1673"/>
    <n v="2480.6752880602539"/>
    <n v="2"/>
    <n v="20"/>
    <n v="3969.0804608964063"/>
    <n v="3346"/>
    <n v="623.08046089640629"/>
    <s v="UPI"/>
    <x v="1"/>
    <m/>
    <n v="7"/>
    <n v="4"/>
    <x v="1"/>
  </r>
  <r>
    <s v="ORD00649"/>
    <d v="2023-11-27T00:00:00"/>
    <s v="CUST0200"/>
    <s v="Rohit"/>
    <s v="Hyderabad"/>
    <s v="Telangana"/>
    <x v="7"/>
    <x v="3"/>
    <s v="Skincare"/>
    <n v="449"/>
    <n v="701.96444464305193"/>
    <n v="3"/>
    <n v="20"/>
    <n v="1684.7146671433247"/>
    <n v="1347"/>
    <n v="337.71466714332473"/>
    <s v="COD"/>
    <x v="0"/>
    <d v="2023-12-04T00:00:00"/>
    <n v="1"/>
    <n v="5"/>
    <x v="0"/>
  </r>
  <r>
    <s v="ORD01193"/>
    <d v="2023-11-27T00:00:00"/>
    <s v="CUST0236"/>
    <s v="Divya"/>
    <s v="Ahmedabad"/>
    <s v="Gujarat"/>
    <x v="8"/>
    <x v="3"/>
    <s v="Fragrance"/>
    <n v="679"/>
    <n v="709.18287760145961"/>
    <n v="1"/>
    <n v="20"/>
    <n v="567.34630208116766"/>
    <n v="679"/>
    <n v="-111.65369791883234"/>
    <s v="UPI"/>
    <x v="0"/>
    <d v="2023-12-06T00:00:00"/>
    <n v="2"/>
    <n v="5"/>
    <x v="0"/>
  </r>
  <r>
    <s v="ORD00323"/>
    <d v="2023-11-28T00:00:00"/>
    <s v="CUST0136"/>
    <s v="Divya"/>
    <s v="Bangalore"/>
    <s v="Karnataka"/>
    <x v="8"/>
    <x v="3"/>
    <s v="Fragrance"/>
    <n v="787"/>
    <n v="832.29456969861212"/>
    <n v="5"/>
    <n v="20"/>
    <n v="3329.1782787944485"/>
    <n v="3935"/>
    <n v="-605.82172120555151"/>
    <s v="COD"/>
    <x v="1"/>
    <m/>
    <n v="10"/>
    <n v="1"/>
    <x v="1"/>
  </r>
  <r>
    <s v="ORD00540"/>
    <d v="2023-11-28T00:00:00"/>
    <s v="CUST0240"/>
    <s v="Pooja"/>
    <s v="Pune"/>
    <s v="Maharashtra"/>
    <x v="11"/>
    <x v="2"/>
    <s v="Computers"/>
    <n v="40464"/>
    <n v="69106.959806802435"/>
    <n v="1"/>
    <n v="5"/>
    <n v="65651.611816462304"/>
    <n v="40464"/>
    <n v="25187.611816462304"/>
    <s v="Credit Card"/>
    <x v="0"/>
    <d v="2023-12-05T00:00:00"/>
    <n v="4"/>
    <n v="2"/>
    <x v="0"/>
  </r>
  <r>
    <s v="ORD00940"/>
    <d v="2023-11-28T00:00:00"/>
    <s v="CUST0006"/>
    <s v="Amit"/>
    <s v="Hyderabad"/>
    <s v="Telangana"/>
    <x v="9"/>
    <x v="2"/>
    <s v="TV"/>
    <n v="79924"/>
    <n v="114144.15444080735"/>
    <n v="2"/>
    <n v="15"/>
    <n v="194045.06254937249"/>
    <n v="159848"/>
    <n v="34197.062549372495"/>
    <s v="Credit Card"/>
    <x v="0"/>
    <d v="2023-12-11T00:00:00"/>
    <n v="6"/>
    <n v="2"/>
    <x v="0"/>
  </r>
  <r>
    <s v="ORD01104"/>
    <d v="2023-11-28T00:00:00"/>
    <s v="CUST0138"/>
    <s v="Pooja"/>
    <s v="Chennai"/>
    <s v="Tamil Nadu"/>
    <x v="1"/>
    <x v="1"/>
    <s v="Men"/>
    <n v="531"/>
    <n v="666.62122259965872"/>
    <n v="5"/>
    <n v="20"/>
    <n v="2666.4848903986349"/>
    <n v="2655"/>
    <n v="11.484890398634889"/>
    <s v="UPI"/>
    <x v="1"/>
    <m/>
    <n v="10"/>
    <n v="1"/>
    <x v="1"/>
  </r>
  <r>
    <s v="ORD01155"/>
    <d v="2023-11-28T00:00:00"/>
    <s v="CUST0193"/>
    <s v="Suresh"/>
    <s v="Hyderabad"/>
    <s v="Telangana"/>
    <x v="6"/>
    <x v="1"/>
    <s v="Men"/>
    <n v="1067"/>
    <n v="1885.647053790402"/>
    <n v="4"/>
    <n v="5"/>
    <n v="7165.4588044035272"/>
    <n v="4268"/>
    <n v="2897.4588044035272"/>
    <s v="Credit Card"/>
    <x v="1"/>
    <m/>
    <n v="9"/>
    <n v="1"/>
    <x v="1"/>
  </r>
  <r>
    <s v="ORD00598"/>
    <d v="2023-11-29T00:00:00"/>
    <s v="CUST0062"/>
    <s v="Anjali"/>
    <s v="Bangalore"/>
    <s v="Karnataka"/>
    <x v="8"/>
    <x v="3"/>
    <s v="Fragrance"/>
    <n v="858"/>
    <n v="1458.6672900067852"/>
    <n v="5"/>
    <n v="20"/>
    <n v="5834.6691600271406"/>
    <n v="4290"/>
    <n v="1544.6691600271406"/>
    <s v="Debit Card"/>
    <x v="1"/>
    <m/>
    <n v="9"/>
    <n v="1"/>
    <x v="1"/>
  </r>
  <r>
    <s v="ORD00638"/>
    <d v="2023-11-29T00:00:00"/>
    <s v="CUST0294"/>
    <s v="Amit"/>
    <s v="Ahmedabad"/>
    <s v="Gujarat"/>
    <x v="4"/>
    <x v="1"/>
    <s v="Footwear"/>
    <n v="1743"/>
    <n v="2216.783667896781"/>
    <n v="1"/>
    <n v="5"/>
    <n v="2105.944484501942"/>
    <n v="1743"/>
    <n v="362.94448450194204"/>
    <s v="Debit Card"/>
    <x v="0"/>
    <d v="2023-12-08T00:00:00"/>
    <n v="6"/>
    <n v="3"/>
    <x v="0"/>
  </r>
  <r>
    <s v="ORD00643"/>
    <d v="2023-11-30T00:00:00"/>
    <s v="CUST0051"/>
    <s v="Arjun"/>
    <s v="Ahmedabad"/>
    <s v="Gujarat"/>
    <x v="11"/>
    <x v="2"/>
    <s v="Computers"/>
    <n v="45345"/>
    <n v="71870.611663925127"/>
    <n v="1"/>
    <n v="15"/>
    <n v="61090.019914336357"/>
    <n v="45345"/>
    <n v="15745.019914336357"/>
    <s v="UPI"/>
    <x v="0"/>
    <d v="2023-12-13T00:00:00"/>
    <n v="6"/>
    <n v="2"/>
    <x v="0"/>
  </r>
  <r>
    <s v="ORD00945"/>
    <d v="2023-11-30T00:00:00"/>
    <s v="CUST0284"/>
    <s v="Sneha"/>
    <s v="Hyderabad"/>
    <s v="Telangana"/>
    <x v="4"/>
    <x v="1"/>
    <s v="Footwear"/>
    <n v="1333"/>
    <n v="1504.988329906701"/>
    <n v="2"/>
    <n v="10"/>
    <n v="2708.9789938320619"/>
    <n v="2666"/>
    <n v="42.97899383206186"/>
    <s v="Debit Card"/>
    <x v="1"/>
    <m/>
    <n v="8"/>
    <n v="2"/>
    <x v="1"/>
  </r>
  <r>
    <s v="ORD00013"/>
    <d v="2023-12-01T00:00:00"/>
    <s v="CUST0135"/>
    <s v="Anjali"/>
    <s v="Bangalore"/>
    <s v="Karnataka"/>
    <x v="2"/>
    <x v="1"/>
    <s v="Women"/>
    <n v="1914"/>
    <n v="2687.2519954748618"/>
    <n v="3"/>
    <n v="10"/>
    <n v="7255.5803877821263"/>
    <n v="5742"/>
    <n v="1513.5803877821263"/>
    <s v="Credit Card"/>
    <x v="0"/>
    <d v="2023-12-11T00:00:00"/>
    <n v="7"/>
    <n v="2"/>
    <x v="0"/>
  </r>
  <r>
    <s v="ORD00230"/>
    <d v="2023-12-01T00:00:00"/>
    <s v="CUST0159"/>
    <s v="Manoj"/>
    <s v="Hyderabad"/>
    <s v="Telangana"/>
    <x v="5"/>
    <x v="0"/>
    <s v="Furniture"/>
    <n v="35202"/>
    <n v="58166.281661872134"/>
    <n v="1"/>
    <n v="0"/>
    <n v="58166.281661872134"/>
    <n v="35202"/>
    <n v="22964.281661872134"/>
    <s v="Debit Card"/>
    <x v="1"/>
    <m/>
    <n v="10"/>
    <n v="1"/>
    <x v="1"/>
  </r>
  <r>
    <s v="ORD00469"/>
    <d v="2023-12-01T00:00:00"/>
    <s v="CUST0138"/>
    <s v="Divya"/>
    <s v="Hyderabad"/>
    <s v="Telangana"/>
    <x v="11"/>
    <x v="2"/>
    <s v="Computers"/>
    <n v="40781"/>
    <n v="49009.67035859797"/>
    <n v="1"/>
    <n v="0"/>
    <n v="49009.67035859797"/>
    <n v="40781"/>
    <n v="8228.6703585979703"/>
    <s v="Debit Card"/>
    <x v="1"/>
    <m/>
    <n v="8"/>
    <n v="2"/>
    <x v="1"/>
  </r>
  <r>
    <s v="ORD00673"/>
    <d v="2023-12-01T00:00:00"/>
    <s v="CUST0028"/>
    <s v="Swathi"/>
    <s v="Hyderabad"/>
    <s v="Telangana"/>
    <x v="6"/>
    <x v="1"/>
    <s v="Men"/>
    <n v="1490"/>
    <n v="2188.1930818260539"/>
    <n v="4"/>
    <n v="5"/>
    <n v="8315.1337109390042"/>
    <n v="5960"/>
    <n v="2355.1337109390042"/>
    <s v="UPI"/>
    <x v="1"/>
    <m/>
    <n v="8"/>
    <n v="3"/>
    <x v="1"/>
  </r>
  <r>
    <s v="ORD00696"/>
    <d v="2023-12-01T00:00:00"/>
    <s v="CUST0218"/>
    <s v="Kiran"/>
    <s v="Kolkata"/>
    <s v="West Bengal"/>
    <x v="5"/>
    <x v="0"/>
    <s v="Furniture"/>
    <n v="39172"/>
    <n v="67290.086704221219"/>
    <n v="5"/>
    <n v="10"/>
    <n v="302805.39016899548"/>
    <n v="195860"/>
    <n v="106945.39016899548"/>
    <s v="COD"/>
    <x v="0"/>
    <d v="2023-12-06T00:00:00"/>
    <n v="1"/>
    <n v="4"/>
    <x v="0"/>
  </r>
  <r>
    <s v="ORD00713"/>
    <d v="2023-12-01T00:00:00"/>
    <s v="CUST0035"/>
    <s v="Pooja"/>
    <s v="Mumbai"/>
    <s v="Maharashtra"/>
    <x v="0"/>
    <x v="0"/>
    <s v="Kitchen"/>
    <n v="3260"/>
    <n v="4567.5528006393952"/>
    <n v="2"/>
    <n v="20"/>
    <n v="7308.0844810230328"/>
    <n v="6520"/>
    <n v="788.08448102303282"/>
    <s v="Debit Card"/>
    <x v="0"/>
    <d v="2023-12-06T00:00:00"/>
    <n v="2"/>
    <n v="5"/>
    <x v="0"/>
  </r>
  <r>
    <s v="ORD00999"/>
    <d v="2023-12-01T00:00:00"/>
    <s v="CUST0022"/>
    <s v="Sneha"/>
    <s v="Mumbai"/>
    <s v="Maharashtra"/>
    <x v="0"/>
    <x v="0"/>
    <s v="Kitchen"/>
    <n v="5933"/>
    <n v="9099.6051122727713"/>
    <n v="2"/>
    <n v="5"/>
    <n v="17289.249713318266"/>
    <n v="11866"/>
    <n v="5423.249713318266"/>
    <s v="UPI"/>
    <x v="0"/>
    <d v="2023-12-06T00:00:00"/>
    <n v="1"/>
    <n v="5"/>
    <x v="0"/>
  </r>
  <r>
    <s v="ORD00110"/>
    <d v="2023-12-02T00:00:00"/>
    <s v="CUST0099"/>
    <s v="Sneha"/>
    <s v="Pune"/>
    <s v="Maharashtra"/>
    <x v="3"/>
    <x v="2"/>
    <s v="Accessories"/>
    <n v="1128"/>
    <n v="1215.5271934532743"/>
    <n v="3"/>
    <n v="5"/>
    <n v="3464.2525013418317"/>
    <n v="3384"/>
    <n v="80.252501341831703"/>
    <s v="COD"/>
    <x v="1"/>
    <m/>
    <n v="9"/>
    <n v="1"/>
    <x v="1"/>
  </r>
  <r>
    <s v="ORD00969"/>
    <d v="2023-12-02T00:00:00"/>
    <s v="CUST0006"/>
    <s v="Manoj"/>
    <s v="Bangalore"/>
    <s v="Karnataka"/>
    <x v="6"/>
    <x v="1"/>
    <s v="Men"/>
    <n v="1018"/>
    <n v="1770.1280275995493"/>
    <n v="5"/>
    <n v="0"/>
    <n v="8850.6401379977469"/>
    <n v="5090"/>
    <n v="3760.6401379977469"/>
    <s v="Debit Card"/>
    <x v="1"/>
    <m/>
    <n v="10"/>
    <n v="1"/>
    <x v="1"/>
  </r>
  <r>
    <s v="ORD01040"/>
    <d v="2023-12-02T00:00:00"/>
    <s v="CUST0011"/>
    <s v="Anjali"/>
    <s v="Pune"/>
    <s v="Maharashtra"/>
    <x v="1"/>
    <x v="1"/>
    <s v="Men"/>
    <n v="382"/>
    <n v="559.55139584764777"/>
    <n v="5"/>
    <n v="0"/>
    <n v="2797.7569792382387"/>
    <n v="1910"/>
    <n v="887.75697923823873"/>
    <s v="COD"/>
    <x v="1"/>
    <m/>
    <n v="7"/>
    <n v="2"/>
    <x v="1"/>
  </r>
  <r>
    <s v="ORD00015"/>
    <d v="2023-12-03T00:00:00"/>
    <s v="CUST0131"/>
    <s v="Nikhil"/>
    <s v="Pune"/>
    <s v="Maharashtra"/>
    <x v="2"/>
    <x v="1"/>
    <s v="Women"/>
    <n v="1614"/>
    <n v="2641.0042985653386"/>
    <n v="5"/>
    <n v="5"/>
    <n v="12544.770418185357"/>
    <n v="8070"/>
    <n v="4474.7704181853569"/>
    <s v="Credit Card"/>
    <x v="0"/>
    <d v="2023-12-15T00:00:00"/>
    <n v="7"/>
    <n v="4"/>
    <x v="2"/>
  </r>
  <r>
    <s v="ORD01194"/>
    <d v="2023-12-03T00:00:00"/>
    <s v="CUST0017"/>
    <s v="Rohit"/>
    <s v="Chennai"/>
    <s v="Tamil Nadu"/>
    <x v="0"/>
    <x v="0"/>
    <s v="Kitchen"/>
    <n v="6364"/>
    <n v="10622.636661177725"/>
    <n v="1"/>
    <n v="20"/>
    <n v="8498.1093289421806"/>
    <n v="6364"/>
    <n v="2134.1093289421806"/>
    <s v="UPI"/>
    <x v="0"/>
    <d v="2023-12-13T00:00:00"/>
    <n v="7"/>
    <n v="3"/>
    <x v="0"/>
  </r>
  <r>
    <s v="ORD00303"/>
    <d v="2023-12-04T00:00:00"/>
    <s v="CUST0245"/>
    <s v="Priya"/>
    <s v="Kolkata"/>
    <s v="West Bengal"/>
    <x v="10"/>
    <x v="2"/>
    <s v="Mobile"/>
    <n v="76589"/>
    <n v="105027.82746732613"/>
    <n v="1"/>
    <n v="5"/>
    <n v="99776.436093959826"/>
    <n v="76589"/>
    <n v="23187.436093959826"/>
    <s v="Credit Card"/>
    <x v="0"/>
    <d v="2023-12-15T00:00:00"/>
    <n v="6"/>
    <n v="3"/>
    <x v="0"/>
  </r>
  <r>
    <s v="ORD00426"/>
    <d v="2023-12-04T00:00:00"/>
    <s v="CUST0216"/>
    <s v="Sneha"/>
    <s v="Ahmedabad"/>
    <s v="Gujarat"/>
    <x v="3"/>
    <x v="2"/>
    <s v="Accessories"/>
    <n v="1764"/>
    <n v="3041.7814888864455"/>
    <n v="1"/>
    <n v="15"/>
    <n v="2585.5142655534787"/>
    <n v="1764"/>
    <n v="821.51426555347871"/>
    <s v="Debit Card"/>
    <x v="0"/>
    <d v="2023-12-17T00:00:00"/>
    <n v="6"/>
    <n v="4"/>
    <x v="2"/>
  </r>
  <r>
    <s v="ORD00599"/>
    <d v="2023-12-04T00:00:00"/>
    <s v="CUST0085"/>
    <s v="Divya"/>
    <s v="Pune"/>
    <s v="Maharashtra"/>
    <x v="7"/>
    <x v="3"/>
    <s v="Skincare"/>
    <n v="321"/>
    <n v="541.11332861113397"/>
    <n v="5"/>
    <n v="15"/>
    <n v="2299.7316465973195"/>
    <n v="1605"/>
    <n v="694.73164659731947"/>
    <s v="Debit Card"/>
    <x v="0"/>
    <d v="2023-12-15T00:00:00"/>
    <n v="5"/>
    <n v="2"/>
    <x v="0"/>
  </r>
  <r>
    <s v="ORD00789"/>
    <d v="2023-12-04T00:00:00"/>
    <s v="CUST0122"/>
    <s v="Priya"/>
    <s v="Mumbai"/>
    <s v="Maharashtra"/>
    <x v="11"/>
    <x v="2"/>
    <s v="Computers"/>
    <n v="32074"/>
    <n v="41856.068200157773"/>
    <n v="4"/>
    <n v="10"/>
    <n v="150681.84552056799"/>
    <n v="128296"/>
    <n v="22385.845520567993"/>
    <s v="COD"/>
    <x v="0"/>
    <d v="2023-12-13T00:00:00"/>
    <n v="5"/>
    <n v="2"/>
    <x v="0"/>
  </r>
  <r>
    <s v="ORD00083"/>
    <d v="2023-12-05T00:00:00"/>
    <s v="CUST0057"/>
    <s v="Sneha"/>
    <s v="Bangalore"/>
    <s v="Karnataka"/>
    <x v="0"/>
    <x v="0"/>
    <s v="Kitchen"/>
    <n v="3393"/>
    <n v="5831.6724949368509"/>
    <n v="5"/>
    <n v="15"/>
    <n v="24784.608103481616"/>
    <n v="16965"/>
    <n v="7819.6081034816161"/>
    <s v="Credit Card"/>
    <x v="1"/>
    <m/>
    <n v="7"/>
    <n v="4"/>
    <x v="1"/>
  </r>
  <r>
    <s v="ORD00084"/>
    <d v="2023-12-05T00:00:00"/>
    <s v="CUST0163"/>
    <s v="Meena"/>
    <s v="Hyderabad"/>
    <s v="Telangana"/>
    <x v="5"/>
    <x v="0"/>
    <s v="Furniture"/>
    <n v="32596"/>
    <n v="41478.038044257461"/>
    <n v="3"/>
    <n v="10"/>
    <n v="111990.70271949514"/>
    <n v="97788"/>
    <n v="14202.702719495137"/>
    <s v="Debit Card"/>
    <x v="0"/>
    <d v="2023-12-15T00:00:00"/>
    <n v="4"/>
    <n v="4"/>
    <x v="0"/>
  </r>
  <r>
    <s v="ORD00335"/>
    <d v="2023-12-05T00:00:00"/>
    <s v="CUST0034"/>
    <s v="Rahul"/>
    <s v="Bangalore"/>
    <s v="Karnataka"/>
    <x v="9"/>
    <x v="2"/>
    <s v="TV"/>
    <n v="21849"/>
    <n v="33126.018521584207"/>
    <n v="2"/>
    <n v="10"/>
    <n v="59626.833338851575"/>
    <n v="43698"/>
    <n v="15928.833338851575"/>
    <s v="Credit Card"/>
    <x v="0"/>
    <d v="2023-12-16T00:00:00"/>
    <n v="6"/>
    <n v="3"/>
    <x v="0"/>
  </r>
  <r>
    <s v="ORD00625"/>
    <d v="2023-12-06T00:00:00"/>
    <s v="CUST0201"/>
    <s v="Ramesh"/>
    <s v="Delhi"/>
    <s v="Delhi"/>
    <x v="6"/>
    <x v="1"/>
    <s v="Men"/>
    <n v="1266"/>
    <n v="2138.5283472936399"/>
    <n v="2"/>
    <n v="15"/>
    <n v="3635.4981903991875"/>
    <n v="2532"/>
    <n v="1103.4981903991875"/>
    <s v="Debit Card"/>
    <x v="1"/>
    <m/>
    <n v="8"/>
    <n v="2"/>
    <x v="1"/>
  </r>
  <r>
    <s v="ORD00941"/>
    <d v="2023-12-06T00:00:00"/>
    <s v="CUST0022"/>
    <s v="Divya"/>
    <s v="Ahmedabad"/>
    <s v="Gujarat"/>
    <x v="10"/>
    <x v="2"/>
    <s v="Mobile"/>
    <n v="88499"/>
    <n v="117993.41346419971"/>
    <n v="3"/>
    <n v="20"/>
    <n v="283184.19231407932"/>
    <n v="265497"/>
    <n v="17687.192314079322"/>
    <s v="UPI"/>
    <x v="1"/>
    <m/>
    <n v="8"/>
    <n v="4"/>
    <x v="1"/>
  </r>
  <r>
    <s v="ORD01197"/>
    <d v="2023-12-06T00:00:00"/>
    <s v="CUST0218"/>
    <s v="Arjun"/>
    <s v="Chennai"/>
    <s v="Tamil Nadu"/>
    <x v="11"/>
    <x v="2"/>
    <s v="Computers"/>
    <n v="43157"/>
    <n v="67531.382010140442"/>
    <n v="1"/>
    <n v="0"/>
    <n v="67531.382010140442"/>
    <n v="43157"/>
    <n v="24374.382010140442"/>
    <s v="Debit Card"/>
    <x v="0"/>
    <d v="2023-12-14T00:00:00"/>
    <n v="1"/>
    <n v="4"/>
    <x v="0"/>
  </r>
  <r>
    <s v="ORD00145"/>
    <d v="2023-12-07T00:00:00"/>
    <s v="CUST0034"/>
    <s v="Manoj"/>
    <s v="Bangalore"/>
    <s v="Karnataka"/>
    <x v="9"/>
    <x v="2"/>
    <s v="TV"/>
    <n v="79408"/>
    <n v="141659.4642630654"/>
    <n v="3"/>
    <n v="5"/>
    <n v="403729.47314973641"/>
    <n v="238224"/>
    <n v="165505.47314973641"/>
    <s v="UPI"/>
    <x v="1"/>
    <m/>
    <n v="10"/>
    <n v="1"/>
    <x v="1"/>
  </r>
  <r>
    <s v="ORD00233"/>
    <d v="2023-12-07T00:00:00"/>
    <s v="CUST0079"/>
    <s v="Nikhil"/>
    <s v="Chennai"/>
    <s v="Tamil Nadu"/>
    <x v="4"/>
    <x v="1"/>
    <s v="Footwear"/>
    <n v="1651"/>
    <n v="2590.9520305190708"/>
    <n v="3"/>
    <n v="0"/>
    <n v="7772.8560915572125"/>
    <n v="4953"/>
    <n v="2819.8560915572125"/>
    <s v="Debit Card"/>
    <x v="1"/>
    <m/>
    <n v="9"/>
    <n v="1"/>
    <x v="1"/>
  </r>
  <r>
    <s v="ORD00507"/>
    <d v="2023-12-07T00:00:00"/>
    <s v="CUST0212"/>
    <s v="Meena"/>
    <s v="Hyderabad"/>
    <s v="Telangana"/>
    <x v="0"/>
    <x v="0"/>
    <s v="Kitchen"/>
    <n v="6213"/>
    <n v="9141.3263263444605"/>
    <n v="5"/>
    <n v="10"/>
    <n v="41135.968468550076"/>
    <n v="31065"/>
    <n v="10070.968468550076"/>
    <s v="Debit Card"/>
    <x v="1"/>
    <m/>
    <n v="7"/>
    <n v="4"/>
    <x v="1"/>
  </r>
  <r>
    <s v="ORD00734"/>
    <d v="2023-12-07T00:00:00"/>
    <s v="CUST0103"/>
    <s v="Suresh"/>
    <s v="Delhi"/>
    <s v="Delhi"/>
    <x v="11"/>
    <x v="2"/>
    <s v="Computers"/>
    <n v="41856"/>
    <n v="67637.265726015728"/>
    <n v="1"/>
    <n v="5"/>
    <n v="64255.402439714941"/>
    <n v="41856"/>
    <n v="22399.402439714941"/>
    <s v="UPI"/>
    <x v="1"/>
    <m/>
    <n v="8"/>
    <n v="2"/>
    <x v="1"/>
  </r>
  <r>
    <s v="ORD00795"/>
    <d v="2023-12-07T00:00:00"/>
    <s v="CUST0195"/>
    <s v="Neha"/>
    <s v="Bangalore"/>
    <s v="Karnataka"/>
    <x v="8"/>
    <x v="3"/>
    <s v="Fragrance"/>
    <n v="519"/>
    <n v="534.34756601836091"/>
    <n v="3"/>
    <n v="5"/>
    <n v="1522.8905631523287"/>
    <n v="1557"/>
    <n v="-34.109436847671304"/>
    <s v="Debit Card"/>
    <x v="1"/>
    <m/>
    <n v="7"/>
    <n v="2"/>
    <x v="1"/>
  </r>
  <r>
    <s v="ORD00670"/>
    <d v="2023-12-08T00:00:00"/>
    <s v="CUST0079"/>
    <s v="Swathi"/>
    <s v="Hyderabad"/>
    <s v="Telangana"/>
    <x v="2"/>
    <x v="1"/>
    <s v="Women"/>
    <n v="936"/>
    <n v="1547.3452443106753"/>
    <n v="3"/>
    <n v="10"/>
    <n v="4177.8321596388232"/>
    <n v="2808"/>
    <n v="1369.8321596388232"/>
    <s v="Debit Card"/>
    <x v="0"/>
    <d v="2023-12-19T00:00:00"/>
    <n v="6"/>
    <n v="2"/>
    <x v="0"/>
  </r>
  <r>
    <s v="ORD00904"/>
    <d v="2023-12-08T00:00:00"/>
    <s v="CUST0278"/>
    <s v="Vikram"/>
    <s v="Kolkata"/>
    <s v="West Bengal"/>
    <x v="6"/>
    <x v="1"/>
    <s v="Men"/>
    <n v="1226"/>
    <n v="1476.5199386964769"/>
    <n v="3"/>
    <n v="10"/>
    <n v="3986.6038344804874"/>
    <n v="3678"/>
    <n v="308.60383448048742"/>
    <s v="Credit Card"/>
    <x v="0"/>
    <d v="2023-12-12T00:00:00"/>
    <n v="1"/>
    <n v="4"/>
    <x v="0"/>
  </r>
  <r>
    <s v="ORD00993"/>
    <d v="2023-12-08T00:00:00"/>
    <s v="CUST0242"/>
    <s v="Nikhil"/>
    <s v="Bangalore"/>
    <s v="Karnataka"/>
    <x v="11"/>
    <x v="2"/>
    <s v="Computers"/>
    <n v="35183"/>
    <n v="63133.695061662045"/>
    <n v="3"/>
    <n v="20"/>
    <n v="151520.86814798889"/>
    <n v="105549"/>
    <n v="45971.868147988891"/>
    <s v="Credit Card"/>
    <x v="1"/>
    <m/>
    <n v="7"/>
    <n v="3"/>
    <x v="1"/>
  </r>
  <r>
    <s v="ORD00044"/>
    <d v="2023-12-09T00:00:00"/>
    <s v="CUST0122"/>
    <s v="Rahul"/>
    <s v="Delhi"/>
    <s v="Delhi"/>
    <x v="4"/>
    <x v="1"/>
    <s v="Footwear"/>
    <n v="1594"/>
    <n v="2265.6617900067445"/>
    <n v="5"/>
    <n v="15"/>
    <n v="9629.0626075286636"/>
    <n v="7970"/>
    <n v="1659.0626075286636"/>
    <s v="Debit Card"/>
    <x v="0"/>
    <d v="2023-12-17T00:00:00"/>
    <n v="5"/>
    <n v="3"/>
    <x v="0"/>
  </r>
  <r>
    <s v="ORD00074"/>
    <d v="2023-12-09T00:00:00"/>
    <s v="CUST0284"/>
    <s v="Priya"/>
    <s v="Ahmedabad"/>
    <s v="Gujarat"/>
    <x v="11"/>
    <x v="2"/>
    <s v="Computers"/>
    <n v="38143"/>
    <n v="51335.73229686456"/>
    <n v="4"/>
    <n v="15"/>
    <n v="174541.48980933949"/>
    <n v="152572"/>
    <n v="21969.489809339488"/>
    <s v="UPI"/>
    <x v="0"/>
    <d v="2023-12-20T00:00:00"/>
    <n v="6"/>
    <n v="2"/>
    <x v="0"/>
  </r>
  <r>
    <s v="ORD00201"/>
    <d v="2023-12-09T00:00:00"/>
    <s v="CUST0262"/>
    <s v="Amit"/>
    <s v="Mumbai"/>
    <s v="Maharashtra"/>
    <x v="3"/>
    <x v="2"/>
    <s v="Accessories"/>
    <n v="707"/>
    <n v="820.34067949584187"/>
    <n v="4"/>
    <n v="5"/>
    <n v="3117.2945820841987"/>
    <n v="2828"/>
    <n v="289.29458208419874"/>
    <s v="COD"/>
    <x v="0"/>
    <d v="2023-12-20T00:00:00"/>
    <n v="6"/>
    <n v="2"/>
    <x v="0"/>
  </r>
  <r>
    <s v="ORD00853"/>
    <d v="2023-12-09T00:00:00"/>
    <s v="CUST0073"/>
    <s v="Amit"/>
    <s v="Mumbai"/>
    <s v="Maharashtra"/>
    <x v="11"/>
    <x v="2"/>
    <s v="Computers"/>
    <n v="31848"/>
    <n v="56568.605118765649"/>
    <n v="5"/>
    <n v="20"/>
    <n v="226274.42047506259"/>
    <n v="159240"/>
    <n v="67034.420475062594"/>
    <s v="UPI"/>
    <x v="0"/>
    <d v="2023-12-17T00:00:00"/>
    <n v="5"/>
    <n v="2"/>
    <x v="0"/>
  </r>
  <r>
    <s v="ORD01032"/>
    <d v="2023-12-09T00:00:00"/>
    <s v="CUST0126"/>
    <s v="Kavya"/>
    <s v="Delhi"/>
    <s v="Delhi"/>
    <x v="3"/>
    <x v="2"/>
    <s v="Accessories"/>
    <n v="700"/>
    <n v="912.7428952530056"/>
    <n v="1"/>
    <n v="10"/>
    <n v="821.46860572770504"/>
    <n v="700"/>
    <n v="121.46860572770504"/>
    <s v="Credit Card"/>
    <x v="0"/>
    <d v="2023-12-15T00:00:00"/>
    <n v="2"/>
    <n v="5"/>
    <x v="0"/>
  </r>
  <r>
    <s v="ORD00266"/>
    <d v="2023-12-10T00:00:00"/>
    <s v="CUST0176"/>
    <s v="Nikhil"/>
    <s v="Pune"/>
    <s v="Maharashtra"/>
    <x v="4"/>
    <x v="1"/>
    <s v="Footwear"/>
    <n v="2405"/>
    <n v="3200.606169148522"/>
    <n v="5"/>
    <n v="15"/>
    <n v="13602.576218881219"/>
    <n v="12025"/>
    <n v="1577.5762188812187"/>
    <s v="Debit Card"/>
    <x v="0"/>
    <d v="2023-12-15T00:00:00"/>
    <n v="2"/>
    <n v="5"/>
    <x v="0"/>
  </r>
  <r>
    <s v="ORD00474"/>
    <d v="2023-12-10T00:00:00"/>
    <s v="CUST0287"/>
    <s v="Divya"/>
    <s v="Delhi"/>
    <s v="Delhi"/>
    <x v="4"/>
    <x v="1"/>
    <s v="Footwear"/>
    <n v="1565"/>
    <n v="1912.1615466345716"/>
    <n v="4"/>
    <n v="20"/>
    <n v="6118.9169492306291"/>
    <n v="6260"/>
    <n v="-141.08305076937086"/>
    <s v="Debit Card"/>
    <x v="1"/>
    <m/>
    <n v="10"/>
    <n v="1"/>
    <x v="1"/>
  </r>
  <r>
    <s v="ORD00805"/>
    <d v="2023-12-11T00:00:00"/>
    <s v="CUST0094"/>
    <s v="Manoj"/>
    <s v="Kolkata"/>
    <s v="West Bengal"/>
    <x v="4"/>
    <x v="1"/>
    <s v="Footwear"/>
    <n v="2912"/>
    <n v="4805.4174698041934"/>
    <n v="5"/>
    <n v="15"/>
    <n v="20423.024246667821"/>
    <n v="14560"/>
    <n v="5863.024246667821"/>
    <s v="Credit Card"/>
    <x v="0"/>
    <d v="2023-12-19T00:00:00"/>
    <n v="5"/>
    <n v="4"/>
    <x v="0"/>
  </r>
  <r>
    <s v="ORD01050"/>
    <d v="2023-12-11T00:00:00"/>
    <s v="CUST0120"/>
    <s v="Meena"/>
    <s v="Ahmedabad"/>
    <s v="Gujarat"/>
    <x v="5"/>
    <x v="0"/>
    <s v="Furniture"/>
    <n v="37543"/>
    <n v="53932.232245670246"/>
    <n v="1"/>
    <n v="20"/>
    <n v="43145.785796536198"/>
    <n v="37543"/>
    <n v="5602.7857965361982"/>
    <s v="UPI"/>
    <x v="0"/>
    <d v="2023-12-17T00:00:00"/>
    <n v="2"/>
    <n v="5"/>
    <x v="0"/>
  </r>
  <r>
    <s v="ORD01153"/>
    <d v="2023-12-11T00:00:00"/>
    <s v="CUST0123"/>
    <s v="Sneha"/>
    <s v="Hyderabad"/>
    <s v="Telangana"/>
    <x v="10"/>
    <x v="2"/>
    <s v="Mobile"/>
    <n v="62765"/>
    <n v="110569.12474609516"/>
    <n v="1"/>
    <n v="10"/>
    <n v="99512.212271485638"/>
    <n v="62765"/>
    <n v="36747.212271485638"/>
    <s v="UPI"/>
    <x v="1"/>
    <m/>
    <n v="10"/>
    <n v="1"/>
    <x v="1"/>
  </r>
  <r>
    <s v="ORD00193"/>
    <d v="2023-12-12T00:00:00"/>
    <s v="CUST0012"/>
    <s v="Divya"/>
    <s v="Kolkata"/>
    <s v="West Bengal"/>
    <x v="5"/>
    <x v="0"/>
    <s v="Furniture"/>
    <n v="50926"/>
    <n v="75499.424451440587"/>
    <n v="4"/>
    <n v="5"/>
    <n v="286897.81291547423"/>
    <n v="203704"/>
    <n v="83193.812915474235"/>
    <s v="Credit Card"/>
    <x v="0"/>
    <d v="2023-12-23T00:00:00"/>
    <n v="4"/>
    <n v="2"/>
    <x v="0"/>
  </r>
  <r>
    <s v="ORD00968"/>
    <d v="2023-12-12T00:00:00"/>
    <s v="CUST0213"/>
    <s v="Pooja"/>
    <s v="Delhi"/>
    <s v="Delhi"/>
    <x v="5"/>
    <x v="0"/>
    <s v="Furniture"/>
    <n v="29381"/>
    <n v="30121.828189264892"/>
    <n v="2"/>
    <n v="20"/>
    <n v="48194.925102823829"/>
    <n v="58762"/>
    <n v="-10567.074897176171"/>
    <s v="Credit Card"/>
    <x v="1"/>
    <m/>
    <n v="10"/>
    <n v="1"/>
    <x v="1"/>
  </r>
  <r>
    <s v="ORD00229"/>
    <d v="2023-12-13T00:00:00"/>
    <s v="CUST0126"/>
    <s v="Pooja"/>
    <s v="Hyderabad"/>
    <s v="Telangana"/>
    <x v="8"/>
    <x v="3"/>
    <s v="Fragrance"/>
    <n v="557"/>
    <n v="889.02335772393621"/>
    <n v="3"/>
    <n v="5"/>
    <n v="2533.7165695132185"/>
    <n v="1671"/>
    <n v="862.71656951321847"/>
    <s v="COD"/>
    <x v="0"/>
    <d v="2023-12-20T00:00:00"/>
    <n v="3"/>
    <n v="2"/>
    <x v="0"/>
  </r>
  <r>
    <s v="ORD00379"/>
    <d v="2023-12-13T00:00:00"/>
    <s v="CUST0224"/>
    <s v="Vikram"/>
    <s v="Mumbai"/>
    <s v="Maharashtra"/>
    <x v="2"/>
    <x v="1"/>
    <s v="Women"/>
    <n v="1186"/>
    <n v="1427.6725378734109"/>
    <n v="2"/>
    <n v="15"/>
    <n v="2427.0433143847986"/>
    <n v="2372"/>
    <n v="55.043314384798578"/>
    <s v="Credit Card"/>
    <x v="0"/>
    <d v="2023-12-22T00:00:00"/>
    <n v="6"/>
    <n v="4"/>
    <x v="2"/>
  </r>
  <r>
    <s v="ORD00491"/>
    <d v="2023-12-13T00:00:00"/>
    <s v="CUST0276"/>
    <s v="Arjun"/>
    <s v="Mumbai"/>
    <s v="Maharashtra"/>
    <x v="9"/>
    <x v="2"/>
    <s v="TV"/>
    <n v="71588"/>
    <n v="83366.362741808916"/>
    <n v="2"/>
    <n v="20"/>
    <n v="133386.18038689427"/>
    <n v="143176"/>
    <n v="-9789.8196131057339"/>
    <s v="Credit Card"/>
    <x v="1"/>
    <m/>
    <n v="9"/>
    <n v="1"/>
    <x v="1"/>
  </r>
  <r>
    <s v="ORD00653"/>
    <d v="2023-12-13T00:00:00"/>
    <s v="CUST0069"/>
    <s v="Amit"/>
    <s v="Kolkata"/>
    <s v="West Bengal"/>
    <x v="6"/>
    <x v="1"/>
    <s v="Men"/>
    <n v="1272"/>
    <n v="2123.7172639511737"/>
    <n v="5"/>
    <n v="10"/>
    <n v="9556.7276877802815"/>
    <n v="6360"/>
    <n v="3196.7276877802815"/>
    <s v="Debit Card"/>
    <x v="0"/>
    <d v="2023-12-24T00:00:00"/>
    <n v="4"/>
    <n v="3"/>
    <x v="0"/>
  </r>
  <r>
    <s v="ORD00952"/>
    <d v="2023-12-13T00:00:00"/>
    <s v="CUST0129"/>
    <s v="Rahul"/>
    <s v="Pune"/>
    <s v="Maharashtra"/>
    <x v="4"/>
    <x v="1"/>
    <s v="Footwear"/>
    <n v="2524"/>
    <n v="3612.5456520521411"/>
    <n v="1"/>
    <n v="10"/>
    <n v="3251.2910868469271"/>
    <n v="2524"/>
    <n v="727.2910868469271"/>
    <s v="UPI"/>
    <x v="0"/>
    <d v="2023-12-25T00:00:00"/>
    <n v="5"/>
    <n v="4"/>
    <x v="0"/>
  </r>
  <r>
    <s v="ORD01071"/>
    <d v="2023-12-13T00:00:00"/>
    <s v="CUST0128"/>
    <s v="Meena"/>
    <s v="Mumbai"/>
    <s v="Maharashtra"/>
    <x v="1"/>
    <x v="1"/>
    <s v="Men"/>
    <n v="521"/>
    <n v="654.85887344428841"/>
    <n v="2"/>
    <n v="0"/>
    <n v="1309.7177468885768"/>
    <n v="1042"/>
    <n v="267.71774688857681"/>
    <s v="Debit Card"/>
    <x v="1"/>
    <m/>
    <n v="8"/>
    <n v="2"/>
    <x v="1"/>
  </r>
  <r>
    <s v="ORD01143"/>
    <d v="2023-12-13T00:00:00"/>
    <s v="CUST0105"/>
    <s v="Neha"/>
    <s v="Ahmedabad"/>
    <s v="Gujarat"/>
    <x v="2"/>
    <x v="1"/>
    <s v="Women"/>
    <n v="1934"/>
    <n v="1982.5333113555537"/>
    <n v="4"/>
    <n v="15"/>
    <n v="6740.6132586088825"/>
    <n v="7736"/>
    <n v="-995.38674139111754"/>
    <s v="Debit Card"/>
    <x v="0"/>
    <d v="2023-12-23T00:00:00"/>
    <n v="4"/>
    <n v="2"/>
    <x v="0"/>
  </r>
  <r>
    <s v="ORD00285"/>
    <d v="2023-12-14T00:00:00"/>
    <s v="CUST0129"/>
    <s v="Rahul"/>
    <s v="Ahmedabad"/>
    <s v="Gujarat"/>
    <x v="0"/>
    <x v="0"/>
    <s v="Kitchen"/>
    <n v="4729"/>
    <n v="5309.9160940876736"/>
    <n v="5"/>
    <n v="10"/>
    <n v="23894.622423394532"/>
    <n v="23645"/>
    <n v="249.62242339453223"/>
    <s v="Debit Card"/>
    <x v="1"/>
    <m/>
    <n v="10"/>
    <n v="1"/>
    <x v="1"/>
  </r>
  <r>
    <s v="ORD00319"/>
    <d v="2023-12-14T00:00:00"/>
    <s v="CUST0143"/>
    <s v="Meena"/>
    <s v="Bangalore"/>
    <s v="Karnataka"/>
    <x v="7"/>
    <x v="3"/>
    <s v="Skincare"/>
    <n v="483"/>
    <n v="818.32751321230762"/>
    <n v="2"/>
    <n v="0"/>
    <n v="1636.6550264246152"/>
    <n v="966"/>
    <n v="670.65502642461524"/>
    <s v="COD"/>
    <x v="0"/>
    <d v="2023-12-20T00:00:00"/>
    <n v="2"/>
    <n v="4"/>
    <x v="0"/>
  </r>
  <r>
    <s v="ORD00986"/>
    <d v="2023-12-14T00:00:00"/>
    <s v="CUST0120"/>
    <s v="Kavya"/>
    <s v="Bangalore"/>
    <s v="Karnataka"/>
    <x v="7"/>
    <x v="3"/>
    <s v="Skincare"/>
    <n v="561"/>
    <n v="679.02307375135831"/>
    <n v="5"/>
    <n v="20"/>
    <n v="2716.0922950054337"/>
    <n v="2805"/>
    <n v="-88.907704994566302"/>
    <s v="Debit Card"/>
    <x v="1"/>
    <m/>
    <n v="9"/>
    <n v="1"/>
    <x v="1"/>
  </r>
  <r>
    <s v="ORD01179"/>
    <d v="2023-12-14T00:00:00"/>
    <s v="CUST0186"/>
    <s v="Swathi"/>
    <s v="Chennai"/>
    <s v="Tamil Nadu"/>
    <x v="1"/>
    <x v="1"/>
    <s v="Men"/>
    <n v="309"/>
    <n v="442.42269976389872"/>
    <n v="2"/>
    <n v="10"/>
    <n v="796.36085957501768"/>
    <n v="618"/>
    <n v="178.36085957501768"/>
    <s v="COD"/>
    <x v="0"/>
    <d v="2023-12-21T00:00:00"/>
    <n v="1"/>
    <n v="5"/>
    <x v="0"/>
  </r>
  <r>
    <s v="ORD00463"/>
    <d v="2023-12-15T00:00:00"/>
    <s v="CUST0231"/>
    <s v="Ramesh"/>
    <s v="Chennai"/>
    <s v="Tamil Nadu"/>
    <x v="2"/>
    <x v="1"/>
    <s v="Women"/>
    <n v="1942"/>
    <n v="2038.2176366919964"/>
    <n v="5"/>
    <n v="5"/>
    <n v="9681.5337742869833"/>
    <n v="9710"/>
    <n v="-28.466225713016684"/>
    <s v="Debit Card"/>
    <x v="0"/>
    <d v="2023-12-28T00:00:00"/>
    <n v="6"/>
    <n v="2"/>
    <x v="0"/>
  </r>
  <r>
    <s v="ORD01065"/>
    <d v="2023-12-15T00:00:00"/>
    <s v="CUST0147"/>
    <s v="Swathi"/>
    <s v="Bangalore"/>
    <s v="Karnataka"/>
    <x v="6"/>
    <x v="1"/>
    <s v="Men"/>
    <n v="1335"/>
    <n v="1653.1046488514196"/>
    <n v="3"/>
    <n v="20"/>
    <n v="3967.4511572434076"/>
    <n v="4005"/>
    <n v="-37.548842756592421"/>
    <s v="COD"/>
    <x v="0"/>
    <d v="2023-12-21T00:00:00"/>
    <n v="3"/>
    <n v="4"/>
    <x v="0"/>
  </r>
  <r>
    <s v="ORD01107"/>
    <d v="2023-12-15T00:00:00"/>
    <s v="CUST0269"/>
    <s v="Rohit"/>
    <s v="Kolkata"/>
    <s v="West Bengal"/>
    <x v="8"/>
    <x v="3"/>
    <s v="Fragrance"/>
    <n v="728"/>
    <n v="966.14170546791252"/>
    <n v="4"/>
    <n v="5"/>
    <n v="3671.3384807780676"/>
    <n v="2912"/>
    <n v="759.33848077806761"/>
    <s v="UPI"/>
    <x v="0"/>
    <d v="2023-12-24T00:00:00"/>
    <n v="2"/>
    <n v="4"/>
    <x v="0"/>
  </r>
  <r>
    <s v="ORD01172"/>
    <d v="2023-12-15T00:00:00"/>
    <s v="CUST0265"/>
    <s v="Ramesh"/>
    <s v="Kolkata"/>
    <s v="West Bengal"/>
    <x v="9"/>
    <x v="2"/>
    <s v="TV"/>
    <n v="27585"/>
    <n v="32023.819531647794"/>
    <n v="1"/>
    <n v="20"/>
    <n v="25619.055625318237"/>
    <n v="27585"/>
    <n v="-1965.9443746817633"/>
    <s v="Credit Card"/>
    <x v="0"/>
    <d v="2023-12-24T00:00:00"/>
    <n v="2"/>
    <n v="5"/>
    <x v="0"/>
  </r>
  <r>
    <s v="ORD00046"/>
    <d v="2023-12-16T00:00:00"/>
    <s v="CUST0275"/>
    <s v="Nikhil"/>
    <s v="Pune"/>
    <s v="Maharashtra"/>
    <x v="0"/>
    <x v="0"/>
    <s v="Kitchen"/>
    <n v="3650"/>
    <n v="6071.6660823438942"/>
    <n v="3"/>
    <n v="15"/>
    <n v="15482.748509976929"/>
    <n v="10950"/>
    <n v="4532.7485099769292"/>
    <s v="Debit Card"/>
    <x v="1"/>
    <m/>
    <n v="8"/>
    <n v="3"/>
    <x v="1"/>
  </r>
  <r>
    <s v="ORD00069"/>
    <d v="2023-12-16T00:00:00"/>
    <s v="CUST0209"/>
    <s v="Rahul"/>
    <s v="Ahmedabad"/>
    <s v="Gujarat"/>
    <x v="3"/>
    <x v="2"/>
    <s v="Accessories"/>
    <n v="1008"/>
    <n v="1470.249061640857"/>
    <n v="1"/>
    <n v="10"/>
    <n v="1323.2241554767713"/>
    <n v="1008"/>
    <n v="315.22415547677133"/>
    <s v="Debit Card"/>
    <x v="0"/>
    <d v="2023-12-25T00:00:00"/>
    <n v="2"/>
    <n v="4"/>
    <x v="0"/>
  </r>
  <r>
    <s v="ORD00137"/>
    <d v="2023-12-16T00:00:00"/>
    <s v="CUST0031"/>
    <s v="Anjali"/>
    <s v="Ahmedabad"/>
    <s v="Gujarat"/>
    <x v="11"/>
    <x v="2"/>
    <s v="Computers"/>
    <n v="48027"/>
    <n v="77923.775375606521"/>
    <n v="4"/>
    <n v="10"/>
    <n v="280525.59135218349"/>
    <n v="192108"/>
    <n v="88417.591352183488"/>
    <s v="Debit Card"/>
    <x v="0"/>
    <d v="2023-12-23T00:00:00"/>
    <n v="2"/>
    <n v="4"/>
    <x v="0"/>
  </r>
  <r>
    <s v="ORD00397"/>
    <d v="2023-12-16T00:00:00"/>
    <s v="CUST0111"/>
    <s v="Amit"/>
    <s v="Mumbai"/>
    <s v="Maharashtra"/>
    <x v="3"/>
    <x v="2"/>
    <s v="Accessories"/>
    <n v="1035"/>
    <n v="1112.6083161815"/>
    <n v="2"/>
    <n v="10"/>
    <n v="2002.6949691267"/>
    <n v="2070"/>
    <n v="-67.305030873299984"/>
    <s v="UPI"/>
    <x v="0"/>
    <d v="2023-12-23T00:00:00"/>
    <n v="2"/>
    <n v="5"/>
    <x v="0"/>
  </r>
  <r>
    <s v="ORD00493"/>
    <d v="2023-12-16T00:00:00"/>
    <s v="CUST0194"/>
    <s v="Pooja"/>
    <s v="Chennai"/>
    <s v="Tamil Nadu"/>
    <x v="5"/>
    <x v="0"/>
    <s v="Furniture"/>
    <n v="42002"/>
    <n v="47532.613992034872"/>
    <n v="5"/>
    <n v="20"/>
    <n v="190130.45596813949"/>
    <n v="210010"/>
    <n v="-19879.544031860511"/>
    <s v="Debit Card"/>
    <x v="0"/>
    <d v="2023-12-20T00:00:00"/>
    <n v="1"/>
    <n v="4"/>
    <x v="0"/>
  </r>
  <r>
    <s v="ORD00660"/>
    <d v="2023-12-16T00:00:00"/>
    <s v="CUST0289"/>
    <s v="Nikhil"/>
    <s v="Pune"/>
    <s v="Maharashtra"/>
    <x v="2"/>
    <x v="1"/>
    <s v="Women"/>
    <n v="1213"/>
    <n v="1900.8006235443745"/>
    <n v="3"/>
    <n v="5"/>
    <n v="5417.281777101467"/>
    <n v="3639"/>
    <n v="1778.281777101467"/>
    <s v="UPI"/>
    <x v="0"/>
    <d v="2023-12-28T00:00:00"/>
    <n v="5"/>
    <n v="2"/>
    <x v="0"/>
  </r>
  <r>
    <s v="ORD00039"/>
    <d v="2023-12-17T00:00:00"/>
    <s v="CUST0174"/>
    <s v="Kiran"/>
    <s v="Mumbai"/>
    <s v="Maharashtra"/>
    <x v="10"/>
    <x v="2"/>
    <s v="Mobile"/>
    <n v="59403"/>
    <n v="77081.827617283008"/>
    <n v="2"/>
    <n v="5"/>
    <n v="146455.47247283772"/>
    <n v="118806"/>
    <n v="27649.472472837719"/>
    <s v="Credit Card"/>
    <x v="1"/>
    <m/>
    <n v="10"/>
    <n v="1"/>
    <x v="1"/>
  </r>
  <r>
    <s v="ORD00264"/>
    <d v="2023-12-17T00:00:00"/>
    <s v="CUST0269"/>
    <s v="Divya"/>
    <s v="Kolkata"/>
    <s v="West Bengal"/>
    <x v="9"/>
    <x v="2"/>
    <s v="TV"/>
    <n v="66626"/>
    <n v="90656.320579059975"/>
    <n v="5"/>
    <n v="0"/>
    <n v="453281.6028952999"/>
    <n v="333130"/>
    <n v="120151.6028952999"/>
    <s v="Debit Card"/>
    <x v="0"/>
    <d v="2023-12-22T00:00:00"/>
    <n v="2"/>
    <n v="4"/>
    <x v="0"/>
  </r>
  <r>
    <s v="ORD00305"/>
    <d v="2023-12-17T00:00:00"/>
    <s v="CUST0232"/>
    <s v="Sneha"/>
    <s v="Mumbai"/>
    <s v="Maharashtra"/>
    <x v="0"/>
    <x v="0"/>
    <s v="Kitchen"/>
    <n v="6086"/>
    <n v="10196.537164178138"/>
    <n v="2"/>
    <n v="10"/>
    <n v="18353.76689552065"/>
    <n v="12172"/>
    <n v="6181.76689552065"/>
    <s v="Debit Card"/>
    <x v="1"/>
    <m/>
    <n v="8"/>
    <n v="2"/>
    <x v="1"/>
  </r>
  <r>
    <s v="ORD00399"/>
    <d v="2023-12-17T00:00:00"/>
    <s v="CUST0202"/>
    <s v="Rahul"/>
    <s v="Mumbai"/>
    <s v="Maharashtra"/>
    <x v="1"/>
    <x v="1"/>
    <s v="Men"/>
    <n v="549"/>
    <n v="894.42140946769325"/>
    <n v="4"/>
    <n v="5"/>
    <n v="3398.8013559772344"/>
    <n v="2196"/>
    <n v="1202.8013559772344"/>
    <s v="Credit Card"/>
    <x v="0"/>
    <d v="2023-12-26T00:00:00"/>
    <n v="6"/>
    <n v="4"/>
    <x v="2"/>
  </r>
  <r>
    <s v="ORD00747"/>
    <d v="2023-12-17T00:00:00"/>
    <s v="CUST0264"/>
    <s v="Rahul"/>
    <s v="Hyderabad"/>
    <s v="Telangana"/>
    <x v="1"/>
    <x v="1"/>
    <s v="Men"/>
    <n v="233"/>
    <n v="257.93414854901823"/>
    <n v="1"/>
    <n v="0"/>
    <n v="257.93414854901823"/>
    <n v="233"/>
    <n v="24.934148549018232"/>
    <s v="Credit Card"/>
    <x v="0"/>
    <d v="2023-12-26T00:00:00"/>
    <n v="4"/>
    <n v="2"/>
    <x v="0"/>
  </r>
  <r>
    <s v="ORD00787"/>
    <d v="2023-12-17T00:00:00"/>
    <s v="CUST0149"/>
    <s v="Anjali"/>
    <s v="Bangalore"/>
    <s v="Karnataka"/>
    <x v="1"/>
    <x v="1"/>
    <s v="Men"/>
    <n v="701"/>
    <n v="953.02502653834563"/>
    <n v="4"/>
    <n v="10"/>
    <n v="3430.8900955380445"/>
    <n v="2804"/>
    <n v="626.89009553804453"/>
    <s v="COD"/>
    <x v="0"/>
    <d v="2023-12-22T00:00:00"/>
    <n v="2"/>
    <n v="4"/>
    <x v="0"/>
  </r>
  <r>
    <s v="ORD00989"/>
    <d v="2023-12-17T00:00:00"/>
    <s v="CUST0210"/>
    <s v="Meena"/>
    <s v="Mumbai"/>
    <s v="Maharashtra"/>
    <x v="3"/>
    <x v="2"/>
    <s v="Accessories"/>
    <n v="632"/>
    <n v="832.12434945925986"/>
    <n v="3"/>
    <n v="0"/>
    <n v="2496.3730483777795"/>
    <n v="1896"/>
    <n v="600.37304837777947"/>
    <s v="COD"/>
    <x v="0"/>
    <d v="2023-12-23T00:00:00"/>
    <n v="3"/>
    <n v="3"/>
    <x v="0"/>
  </r>
  <r>
    <s v="ORD01042"/>
    <d v="2023-12-17T00:00:00"/>
    <s v="CUST0227"/>
    <s v="Neha"/>
    <s v="Hyderabad"/>
    <s v="Telangana"/>
    <x v="9"/>
    <x v="2"/>
    <s v="TV"/>
    <n v="76387"/>
    <n v="126487.66050376181"/>
    <n v="2"/>
    <n v="10"/>
    <n v="227677.78890677128"/>
    <n v="152774"/>
    <n v="74903.788906771282"/>
    <s v="COD"/>
    <x v="0"/>
    <d v="2023-12-26T00:00:00"/>
    <n v="6"/>
    <n v="4"/>
    <x v="2"/>
  </r>
  <r>
    <s v="ORD01139"/>
    <d v="2023-12-17T00:00:00"/>
    <s v="CUST0209"/>
    <s v="Vikram"/>
    <s v="Chennai"/>
    <s v="Tamil Nadu"/>
    <x v="8"/>
    <x v="3"/>
    <s v="Fragrance"/>
    <n v="799"/>
    <n v="1026.8574224527447"/>
    <n v="2"/>
    <n v="10"/>
    <n v="1848.3433604149404"/>
    <n v="1598"/>
    <n v="250.34336041494043"/>
    <s v="COD"/>
    <x v="0"/>
    <d v="2023-12-25T00:00:00"/>
    <n v="3"/>
    <n v="4"/>
    <x v="0"/>
  </r>
  <r>
    <s v="ORD01146"/>
    <d v="2023-12-17T00:00:00"/>
    <s v="CUST0186"/>
    <s v="Kiran"/>
    <s v="Mumbai"/>
    <s v="Maharashtra"/>
    <x v="3"/>
    <x v="2"/>
    <s v="Accessories"/>
    <n v="779"/>
    <n v="1245.9181427888568"/>
    <n v="5"/>
    <n v="20"/>
    <n v="4983.6725711554282"/>
    <n v="3895"/>
    <n v="1088.6725711554282"/>
    <s v="COD"/>
    <x v="0"/>
    <d v="2023-12-26T00:00:00"/>
    <n v="2"/>
    <n v="4"/>
    <x v="0"/>
  </r>
  <r>
    <s v="ORD00042"/>
    <d v="2023-12-18T00:00:00"/>
    <s v="CUST0076"/>
    <s v="Rohit"/>
    <s v="Mumbai"/>
    <s v="Maharashtra"/>
    <x v="0"/>
    <x v="0"/>
    <s v="Kitchen"/>
    <n v="3507"/>
    <n v="3774.2261576321166"/>
    <n v="4"/>
    <n v="20"/>
    <n v="12077.523704422774"/>
    <n v="14028"/>
    <n v="-1950.4762955772258"/>
    <s v="Credit Card"/>
    <x v="0"/>
    <d v="2023-12-28T00:00:00"/>
    <n v="3"/>
    <n v="4"/>
    <x v="0"/>
  </r>
  <r>
    <s v="ORD00604"/>
    <d v="2023-12-18T00:00:00"/>
    <s v="CUST0115"/>
    <s v="Rohit"/>
    <s v="Ahmedabad"/>
    <s v="Gujarat"/>
    <x v="3"/>
    <x v="2"/>
    <s v="Accessories"/>
    <n v="1806"/>
    <n v="2581.6872673167522"/>
    <n v="3"/>
    <n v="0"/>
    <n v="7745.0618019502563"/>
    <n v="5418"/>
    <n v="2327.0618019502563"/>
    <s v="Credit Card"/>
    <x v="1"/>
    <m/>
    <n v="9"/>
    <n v="1"/>
    <x v="1"/>
  </r>
  <r>
    <s v="ORD01054"/>
    <d v="2023-12-18T00:00:00"/>
    <s v="CUST0055"/>
    <s v="Pooja"/>
    <s v="Delhi"/>
    <s v="Delhi"/>
    <x v="9"/>
    <x v="2"/>
    <s v="TV"/>
    <n v="76323"/>
    <n v="124047.30840476869"/>
    <n v="5"/>
    <n v="20"/>
    <n v="496189.23361907474"/>
    <n v="381615"/>
    <n v="114574.23361907474"/>
    <s v="UPI"/>
    <x v="0"/>
    <d v="2023-12-25T00:00:00"/>
    <n v="3"/>
    <n v="3"/>
    <x v="0"/>
  </r>
  <r>
    <s v="ORD00276"/>
    <d v="2023-12-19T00:00:00"/>
    <s v="CUST0089"/>
    <s v="Amit"/>
    <s v="Mumbai"/>
    <s v="Maharashtra"/>
    <x v="1"/>
    <x v="1"/>
    <s v="Men"/>
    <n v="687"/>
    <n v="848.77114750950238"/>
    <n v="4"/>
    <n v="0"/>
    <n v="3395.0845900380095"/>
    <n v="2748"/>
    <n v="647.08459003800954"/>
    <s v="Credit Card"/>
    <x v="0"/>
    <d v="2023-12-29T00:00:00"/>
    <n v="6"/>
    <n v="3"/>
    <x v="0"/>
  </r>
  <r>
    <s v="ORD00776"/>
    <d v="2023-12-19T00:00:00"/>
    <s v="CUST0226"/>
    <s v="Ramesh"/>
    <s v="Hyderabad"/>
    <s v="Telangana"/>
    <x v="8"/>
    <x v="3"/>
    <s v="Fragrance"/>
    <n v="671"/>
    <n v="745.59655985292727"/>
    <n v="5"/>
    <n v="0"/>
    <n v="3727.9827992646365"/>
    <n v="3355"/>
    <n v="372.98279926463647"/>
    <s v="Debit Card"/>
    <x v="0"/>
    <d v="2023-12-28T00:00:00"/>
    <n v="4"/>
    <n v="4"/>
    <x v="0"/>
  </r>
  <r>
    <s v="ORD00365"/>
    <d v="2023-12-20T00:00:00"/>
    <s v="CUST0135"/>
    <s v="Divya"/>
    <s v="Ahmedabad"/>
    <s v="Gujarat"/>
    <x v="6"/>
    <x v="1"/>
    <s v="Men"/>
    <n v="936"/>
    <n v="1458.9261729941818"/>
    <n v="5"/>
    <n v="0"/>
    <n v="7294.630864970909"/>
    <n v="4680"/>
    <n v="2614.630864970909"/>
    <s v="Debit Card"/>
    <x v="0"/>
    <d v="2023-12-27T00:00:00"/>
    <n v="1"/>
    <n v="5"/>
    <x v="0"/>
  </r>
  <r>
    <s v="ORD00466"/>
    <d v="2023-12-20T00:00:00"/>
    <s v="CUST0033"/>
    <s v="Kavya"/>
    <s v="Pune"/>
    <s v="Maharashtra"/>
    <x v="8"/>
    <x v="3"/>
    <s v="Fragrance"/>
    <n v="757"/>
    <n v="1134.6240757578882"/>
    <n v="4"/>
    <n v="20"/>
    <n v="3630.7970424252426"/>
    <n v="3028"/>
    <n v="602.79704242524258"/>
    <s v="UPI"/>
    <x v="1"/>
    <m/>
    <n v="7"/>
    <n v="4"/>
    <x v="1"/>
  </r>
  <r>
    <s v="ORD00085"/>
    <d v="2023-12-21T00:00:00"/>
    <s v="CUST0050"/>
    <s v="Rahul"/>
    <s v="Bangalore"/>
    <s v="Karnataka"/>
    <x v="10"/>
    <x v="2"/>
    <s v="Mobile"/>
    <n v="67077"/>
    <n v="103004.41864879279"/>
    <n v="4"/>
    <n v="0"/>
    <n v="412017.67459517118"/>
    <n v="268308"/>
    <n v="143709.67459517118"/>
    <s v="COD"/>
    <x v="0"/>
    <d v="2024-01-03T00:00:00"/>
    <n v="6"/>
    <n v="4"/>
    <x v="2"/>
  </r>
  <r>
    <s v="ORD00165"/>
    <d v="2023-12-21T00:00:00"/>
    <s v="CUST0033"/>
    <s v="Pooja"/>
    <s v="Kolkata"/>
    <s v="West Bengal"/>
    <x v="11"/>
    <x v="2"/>
    <s v="Computers"/>
    <n v="46800"/>
    <n v="64909.591184149467"/>
    <n v="3"/>
    <n v="0"/>
    <n v="194728.7735524484"/>
    <n v="140400"/>
    <n v="54328.773552448401"/>
    <s v="UPI"/>
    <x v="0"/>
    <d v="2024-01-03T00:00:00"/>
    <n v="6"/>
    <n v="2"/>
    <x v="0"/>
  </r>
  <r>
    <s v="ORD00406"/>
    <d v="2023-12-21T00:00:00"/>
    <s v="CUST0054"/>
    <s v="Deepika"/>
    <s v="Ahmedabad"/>
    <s v="Gujarat"/>
    <x v="5"/>
    <x v="0"/>
    <s v="Furniture"/>
    <n v="52593"/>
    <n v="78527.780535519356"/>
    <n v="3"/>
    <n v="10"/>
    <n v="212025.00744590227"/>
    <n v="157779"/>
    <n v="54246.007445902273"/>
    <s v="COD"/>
    <x v="0"/>
    <d v="2024-01-01T00:00:00"/>
    <n v="4"/>
    <n v="3"/>
    <x v="0"/>
  </r>
  <r>
    <s v="ORD00455"/>
    <d v="2023-12-21T00:00:00"/>
    <s v="CUST0154"/>
    <s v="Ramesh"/>
    <s v="Ahmedabad"/>
    <s v="Gujarat"/>
    <x v="3"/>
    <x v="2"/>
    <s v="Accessories"/>
    <n v="1688"/>
    <n v="2065.6526374739574"/>
    <n v="2"/>
    <n v="10"/>
    <n v="3718.1747474531235"/>
    <n v="3376"/>
    <n v="342.17474745312347"/>
    <s v="Credit Card"/>
    <x v="1"/>
    <m/>
    <n v="8"/>
    <n v="2"/>
    <x v="1"/>
  </r>
  <r>
    <s v="ORD00597"/>
    <d v="2023-12-21T00:00:00"/>
    <s v="CUST0173"/>
    <s v="Pooja"/>
    <s v="Bangalore"/>
    <s v="Karnataka"/>
    <x v="6"/>
    <x v="1"/>
    <s v="Men"/>
    <n v="1382"/>
    <n v="2342.4648681896629"/>
    <n v="3"/>
    <n v="10"/>
    <n v="6324.6551441120891"/>
    <n v="4146"/>
    <n v="2178.6551441120891"/>
    <s v="Credit Card"/>
    <x v="1"/>
    <m/>
    <n v="10"/>
    <n v="1"/>
    <x v="1"/>
  </r>
  <r>
    <s v="ORD00724"/>
    <d v="2023-12-22T00:00:00"/>
    <s v="CUST0029"/>
    <s v="Kiran"/>
    <s v="Hyderabad"/>
    <s v="Telangana"/>
    <x v="9"/>
    <x v="2"/>
    <s v="TV"/>
    <n v="77392"/>
    <n v="109159.86634233031"/>
    <n v="4"/>
    <n v="20"/>
    <n v="349311.57229545701"/>
    <n v="309568"/>
    <n v="39743.572295457008"/>
    <s v="UPI"/>
    <x v="0"/>
    <d v="2023-12-31T00:00:00"/>
    <n v="3"/>
    <n v="3"/>
    <x v="0"/>
  </r>
  <r>
    <s v="ORD00843"/>
    <d v="2023-12-22T00:00:00"/>
    <s v="CUST0131"/>
    <s v="Suresh"/>
    <s v="Chennai"/>
    <s v="Tamil Nadu"/>
    <x v="5"/>
    <x v="0"/>
    <s v="Furniture"/>
    <n v="41213"/>
    <n v="69808.626393614046"/>
    <n v="4"/>
    <n v="0"/>
    <n v="279234.50557445618"/>
    <n v="164852"/>
    <n v="114382.50557445618"/>
    <s v="Credit Card"/>
    <x v="0"/>
    <d v="2024-01-01T00:00:00"/>
    <n v="5"/>
    <n v="3"/>
    <x v="0"/>
  </r>
  <r>
    <s v="ORD00203"/>
    <d v="2023-12-23T00:00:00"/>
    <s v="CUST0101"/>
    <s v="Rahul"/>
    <s v="Bangalore"/>
    <s v="Karnataka"/>
    <x v="11"/>
    <x v="2"/>
    <s v="Computers"/>
    <n v="42357"/>
    <n v="60711.804223408966"/>
    <n v="4"/>
    <n v="0"/>
    <n v="242847.21689363586"/>
    <n v="169428"/>
    <n v="73419.216893635865"/>
    <s v="Credit Card"/>
    <x v="0"/>
    <d v="2024-01-07T00:00:00"/>
    <n v="8"/>
    <n v="4"/>
    <x v="2"/>
  </r>
  <r>
    <s v="ORD00900"/>
    <d v="2023-12-23T00:00:00"/>
    <s v="CUST0001"/>
    <s v="Meena"/>
    <s v="Bangalore"/>
    <s v="Karnataka"/>
    <x v="9"/>
    <x v="2"/>
    <s v="TV"/>
    <n v="35835"/>
    <n v="55243.774757737126"/>
    <n v="2"/>
    <n v="0"/>
    <n v="110487.54951547425"/>
    <n v="71670"/>
    <n v="38817.549515474253"/>
    <s v="Credit Card"/>
    <x v="0"/>
    <d v="2024-01-02T00:00:00"/>
    <n v="5"/>
    <n v="3"/>
    <x v="0"/>
  </r>
  <r>
    <s v="ORD00116"/>
    <d v="2023-12-25T00:00:00"/>
    <s v="CUST0194"/>
    <s v="Anjali"/>
    <s v="Pune"/>
    <s v="Maharashtra"/>
    <x v="0"/>
    <x v="0"/>
    <s v="Kitchen"/>
    <n v="4395"/>
    <n v="5752.5509378619345"/>
    <n v="1"/>
    <n v="10"/>
    <n v="5177.2958440757411"/>
    <n v="4395"/>
    <n v="782.29584407574112"/>
    <s v="UPI"/>
    <x v="0"/>
    <d v="2024-01-07T00:00:00"/>
    <n v="8"/>
    <n v="4"/>
    <x v="2"/>
  </r>
  <r>
    <s v="ORD00907"/>
    <d v="2023-12-25T00:00:00"/>
    <s v="CUST0141"/>
    <s v="Ramesh"/>
    <s v="Chennai"/>
    <s v="Tamil Nadu"/>
    <x v="1"/>
    <x v="1"/>
    <s v="Men"/>
    <n v="465"/>
    <n v="763.61290865887827"/>
    <n v="5"/>
    <n v="10"/>
    <n v="3436.2580889649521"/>
    <n v="2325"/>
    <n v="1111.2580889649521"/>
    <s v="Debit Card"/>
    <x v="1"/>
    <m/>
    <n v="7"/>
    <n v="4"/>
    <x v="1"/>
  </r>
  <r>
    <s v="ORD00910"/>
    <d v="2023-12-25T00:00:00"/>
    <s v="CUST0177"/>
    <s v="Anjali"/>
    <s v="Pune"/>
    <s v="Maharashtra"/>
    <x v="2"/>
    <x v="1"/>
    <s v="Women"/>
    <n v="1196"/>
    <n v="1875.8494619286907"/>
    <n v="4"/>
    <n v="15"/>
    <n v="6377.8881705575486"/>
    <n v="4784"/>
    <n v="1593.8881705575486"/>
    <s v="COD"/>
    <x v="0"/>
    <d v="2024-01-02T00:00:00"/>
    <n v="2"/>
    <n v="5"/>
    <x v="0"/>
  </r>
  <r>
    <s v="ORD01191"/>
    <d v="2023-12-25T00:00:00"/>
    <s v="CUST0183"/>
    <s v="Rahul"/>
    <s v="Kolkata"/>
    <s v="West Bengal"/>
    <x v="4"/>
    <x v="1"/>
    <s v="Footwear"/>
    <n v="1250"/>
    <n v="2243.1865649310535"/>
    <n v="1"/>
    <n v="20"/>
    <n v="1794.5492519448428"/>
    <n v="1250"/>
    <n v="544.54925194484281"/>
    <s v="UPI"/>
    <x v="1"/>
    <m/>
    <n v="7"/>
    <n v="2"/>
    <x v="1"/>
  </r>
  <r>
    <s v="ORD00178"/>
    <d v="2023-12-26T00:00:00"/>
    <s v="CUST0119"/>
    <s v="Kiran"/>
    <s v="Bangalore"/>
    <s v="Karnataka"/>
    <x v="11"/>
    <x v="2"/>
    <s v="Computers"/>
    <n v="41746"/>
    <n v="63438.310607610554"/>
    <n v="4"/>
    <n v="15"/>
    <n v="215690.25606587587"/>
    <n v="166984"/>
    <n v="48706.256065875874"/>
    <s v="Credit Card"/>
    <x v="0"/>
    <d v="2024-01-07T00:00:00"/>
    <n v="5"/>
    <n v="4"/>
    <x v="0"/>
  </r>
  <r>
    <s v="ORD00246"/>
    <d v="2023-12-26T00:00:00"/>
    <s v="CUST0203"/>
    <s v="Ramesh"/>
    <s v="Hyderabad"/>
    <s v="Telangana"/>
    <x v="0"/>
    <x v="0"/>
    <s v="Kitchen"/>
    <n v="6771"/>
    <n v="8695.1325475208741"/>
    <n v="3"/>
    <n v="0"/>
    <n v="26085.397642562624"/>
    <n v="20313"/>
    <n v="5772.3976425626242"/>
    <s v="COD"/>
    <x v="1"/>
    <m/>
    <n v="7"/>
    <n v="3"/>
    <x v="1"/>
  </r>
  <r>
    <s v="ORD00362"/>
    <d v="2023-12-26T00:00:00"/>
    <s v="CUST0159"/>
    <s v="Meena"/>
    <s v="Chennai"/>
    <s v="Tamil Nadu"/>
    <x v="1"/>
    <x v="1"/>
    <s v="Men"/>
    <n v="262"/>
    <n v="290.38579122853963"/>
    <n v="1"/>
    <n v="10"/>
    <n v="261.34721210568568"/>
    <n v="262"/>
    <n v="-0.65278789431431505"/>
    <s v="UPI"/>
    <x v="0"/>
    <d v="2024-01-03T00:00:00"/>
    <n v="4"/>
    <n v="3"/>
    <x v="0"/>
  </r>
  <r>
    <s v="ORD00698"/>
    <d v="2023-12-26T00:00:00"/>
    <s v="CUST0269"/>
    <s v="Suresh"/>
    <s v="Ahmedabad"/>
    <s v="Gujarat"/>
    <x v="2"/>
    <x v="1"/>
    <s v="Women"/>
    <n v="1827"/>
    <n v="2306.2664172116451"/>
    <n v="2"/>
    <n v="20"/>
    <n v="3690.0262675386325"/>
    <n v="3654"/>
    <n v="36.02626753863251"/>
    <s v="Credit Card"/>
    <x v="0"/>
    <d v="2024-01-03T00:00:00"/>
    <n v="2"/>
    <n v="5"/>
    <x v="0"/>
  </r>
  <r>
    <s v="ORD01067"/>
    <d v="2023-12-26T00:00:00"/>
    <s v="CUST0262"/>
    <s v="Ramesh"/>
    <s v="Hyderabad"/>
    <s v="Telangana"/>
    <x v="5"/>
    <x v="0"/>
    <s v="Furniture"/>
    <n v="24788"/>
    <n v="33836.796284206481"/>
    <n v="2"/>
    <n v="0"/>
    <n v="67673.592568412962"/>
    <n v="49576"/>
    <n v="18097.592568412962"/>
    <s v="Debit Card"/>
    <x v="0"/>
    <d v="2024-01-04T00:00:00"/>
    <n v="2"/>
    <n v="5"/>
    <x v="0"/>
  </r>
  <r>
    <s v="ORD00375"/>
    <d v="2023-12-27T00:00:00"/>
    <s v="CUST0281"/>
    <s v="Deepika"/>
    <s v="Delhi"/>
    <s v="Delhi"/>
    <x v="5"/>
    <x v="0"/>
    <s v="Furniture"/>
    <n v="27418"/>
    <n v="45118.097585303862"/>
    <n v="3"/>
    <n v="15"/>
    <n v="115051.14884252485"/>
    <n v="82254"/>
    <n v="32797.148842524854"/>
    <s v="COD"/>
    <x v="0"/>
    <d v="2024-01-03T00:00:00"/>
    <n v="3"/>
    <n v="3"/>
    <x v="0"/>
  </r>
  <r>
    <s v="ORD00387"/>
    <d v="2023-12-27T00:00:00"/>
    <s v="CUST0270"/>
    <s v="Rohit"/>
    <s v="Pune"/>
    <s v="Maharashtra"/>
    <x v="8"/>
    <x v="3"/>
    <s v="Fragrance"/>
    <n v="817"/>
    <n v="1043.5576777016317"/>
    <n v="5"/>
    <n v="5"/>
    <n v="4956.8989690827511"/>
    <n v="4085"/>
    <n v="871.89896908275114"/>
    <s v="Debit Card"/>
    <x v="0"/>
    <d v="2023-12-31T00:00:00"/>
    <n v="1"/>
    <n v="5"/>
    <x v="0"/>
  </r>
  <r>
    <s v="ORD00470"/>
    <d v="2023-12-27T00:00:00"/>
    <s v="CUST0191"/>
    <s v="Pooja"/>
    <s v="Chennai"/>
    <s v="Tamil Nadu"/>
    <x v="1"/>
    <x v="1"/>
    <s v="Men"/>
    <n v="455"/>
    <n v="600.76527486414977"/>
    <n v="1"/>
    <n v="15"/>
    <n v="510.65048363452729"/>
    <n v="455"/>
    <n v="55.650483634527291"/>
    <s v="COD"/>
    <x v="0"/>
    <d v="2024-01-03T00:00:00"/>
    <n v="3"/>
    <n v="3"/>
    <x v="0"/>
  </r>
  <r>
    <s v="ORD01164"/>
    <d v="2023-12-27T00:00:00"/>
    <s v="CUST0239"/>
    <s v="Vikram"/>
    <s v="Hyderabad"/>
    <s v="Telangana"/>
    <x v="5"/>
    <x v="0"/>
    <s v="Furniture"/>
    <n v="26995"/>
    <n v="38240.155503383423"/>
    <n v="4"/>
    <n v="0"/>
    <n v="152960.62201353369"/>
    <n v="107980"/>
    <n v="44980.622013533692"/>
    <s v="UPI"/>
    <x v="0"/>
    <d v="2024-01-10T00:00:00"/>
    <n v="8"/>
    <n v="3"/>
    <x v="0"/>
  </r>
  <r>
    <s v="ORD00216"/>
    <d v="2023-12-28T00:00:00"/>
    <s v="CUST0037"/>
    <s v="Rohit"/>
    <s v="Hyderabad"/>
    <s v="Telangana"/>
    <x v="4"/>
    <x v="1"/>
    <s v="Footwear"/>
    <n v="2294"/>
    <n v="3476.3274241216668"/>
    <n v="5"/>
    <n v="5"/>
    <n v="16512.555264577917"/>
    <n v="11470"/>
    <n v="5042.5552645779171"/>
    <s v="COD"/>
    <x v="1"/>
    <m/>
    <n v="8"/>
    <n v="4"/>
    <x v="1"/>
  </r>
  <r>
    <s v="ORD00320"/>
    <d v="2023-12-28T00:00:00"/>
    <s v="CUST0229"/>
    <s v="Nikhil"/>
    <s v="Mumbai"/>
    <s v="Maharashtra"/>
    <x v="1"/>
    <x v="1"/>
    <s v="Men"/>
    <n v="673"/>
    <n v="744.7503535730317"/>
    <n v="4"/>
    <n v="20"/>
    <n v="2383.2011314337014"/>
    <n v="2692"/>
    <n v="-308.79886856629855"/>
    <s v="Credit Card"/>
    <x v="0"/>
    <d v="2024-01-09T00:00:00"/>
    <n v="6"/>
    <n v="4"/>
    <x v="2"/>
  </r>
  <r>
    <s v="ORD00735"/>
    <d v="2023-12-28T00:00:00"/>
    <s v="CUST0254"/>
    <s v="Rahul"/>
    <s v="Bangalore"/>
    <s v="Karnataka"/>
    <x v="9"/>
    <x v="2"/>
    <s v="TV"/>
    <n v="65539"/>
    <n v="77434.604696846"/>
    <n v="5"/>
    <n v="20"/>
    <n v="309738.418787384"/>
    <n v="327695"/>
    <n v="-17956.581212616002"/>
    <s v="Debit Card"/>
    <x v="0"/>
    <d v="2024-01-05T00:00:00"/>
    <n v="5"/>
    <n v="3"/>
    <x v="0"/>
  </r>
  <r>
    <s v="ORD00829"/>
    <d v="2023-12-28T00:00:00"/>
    <s v="CUST0247"/>
    <s v="Divya"/>
    <s v="Kolkata"/>
    <s v="West Bengal"/>
    <x v="2"/>
    <x v="1"/>
    <s v="Women"/>
    <n v="1821"/>
    <n v="2932.8434243311031"/>
    <n v="1"/>
    <n v="0"/>
    <n v="2932.8434243311031"/>
    <n v="1821"/>
    <n v="1111.8434243311031"/>
    <s v="Credit Card"/>
    <x v="0"/>
    <d v="2024-01-04T00:00:00"/>
    <n v="3"/>
    <n v="3"/>
    <x v="0"/>
  </r>
  <r>
    <s v="ORD01049"/>
    <d v="2023-12-28T00:00:00"/>
    <s v="CUST0286"/>
    <s v="Neha"/>
    <s v="Ahmedabad"/>
    <s v="Gujarat"/>
    <x v="3"/>
    <x v="2"/>
    <s v="Accessories"/>
    <n v="1702"/>
    <n v="2186.9905169953599"/>
    <n v="4"/>
    <n v="5"/>
    <n v="8310.5639645823667"/>
    <n v="6808"/>
    <n v="1502.5639645823667"/>
    <s v="COD"/>
    <x v="0"/>
    <d v="2024-01-04T00:00:00"/>
    <n v="4"/>
    <n v="2"/>
    <x v="0"/>
  </r>
  <r>
    <s v="ORD01068"/>
    <d v="2023-12-29T00:00:00"/>
    <s v="CUST0146"/>
    <s v="Anjali"/>
    <s v="Pune"/>
    <s v="Maharashtra"/>
    <x v="2"/>
    <x v="1"/>
    <s v="Women"/>
    <n v="1323"/>
    <n v="1987.7490739616171"/>
    <n v="3"/>
    <n v="10"/>
    <n v="5366.9224996963667"/>
    <n v="3969"/>
    <n v="1397.9224996963667"/>
    <s v="Debit Card"/>
    <x v="0"/>
    <d v="2024-01-05T00:00:00"/>
    <n v="2"/>
    <n v="4"/>
    <x v="0"/>
  </r>
  <r>
    <s v="ORD01138"/>
    <d v="2023-12-29T00:00:00"/>
    <s v="CUST0152"/>
    <s v="Nikhil"/>
    <s v="Delhi"/>
    <s v="Delhi"/>
    <x v="1"/>
    <x v="1"/>
    <s v="Men"/>
    <n v="637"/>
    <n v="812.01401934568059"/>
    <n v="4"/>
    <n v="0"/>
    <n v="3248.0560773827224"/>
    <n v="2548"/>
    <n v="700.05607738272238"/>
    <s v="Debit Card"/>
    <x v="1"/>
    <m/>
    <n v="7"/>
    <n v="2"/>
    <x v="1"/>
  </r>
  <r>
    <s v="ORD00293"/>
    <d v="2023-12-30T00:00:00"/>
    <s v="CUST0168"/>
    <s v="Manoj"/>
    <s v="Pune"/>
    <s v="Maharashtra"/>
    <x v="4"/>
    <x v="1"/>
    <s v="Footwear"/>
    <n v="2645"/>
    <n v="3597.7870070919162"/>
    <n v="3"/>
    <n v="5"/>
    <n v="10253.692970211961"/>
    <n v="7935"/>
    <n v="2318.6929702119614"/>
    <s v="Debit Card"/>
    <x v="1"/>
    <m/>
    <n v="10"/>
    <n v="1"/>
    <x v="1"/>
  </r>
  <r>
    <s v="ORD00821"/>
    <d v="2023-12-30T00:00:00"/>
    <s v="CUST0095"/>
    <s v="Priya"/>
    <s v="Ahmedabad"/>
    <s v="Gujarat"/>
    <x v="0"/>
    <x v="0"/>
    <s v="Kitchen"/>
    <n v="4361"/>
    <n v="4543.0859256377362"/>
    <n v="3"/>
    <n v="10"/>
    <n v="12266.331999221888"/>
    <n v="13083"/>
    <n v="-816.6680007781124"/>
    <s v="Credit Card"/>
    <x v="0"/>
    <d v="2024-01-07T00:00:00"/>
    <n v="5"/>
    <n v="4"/>
    <x v="0"/>
  </r>
  <r>
    <s v="ORD00150"/>
    <d v="2023-12-31T00:00:00"/>
    <s v="CUST0094"/>
    <s v="Kavya"/>
    <s v="Ahmedabad"/>
    <s v="Gujarat"/>
    <x v="8"/>
    <x v="3"/>
    <s v="Fragrance"/>
    <n v="773"/>
    <n v="1209.0271375313939"/>
    <n v="5"/>
    <n v="5"/>
    <n v="5742.8789032741215"/>
    <n v="3865"/>
    <n v="1877.8789032741215"/>
    <s v="Credit Card"/>
    <x v="0"/>
    <d v="2024-01-08T00:00:00"/>
    <n v="1"/>
    <n v="4"/>
    <x v="0"/>
  </r>
  <r>
    <s v="ORD00198"/>
    <d v="2023-12-31T00:00:00"/>
    <s v="CUST0129"/>
    <s v="Meena"/>
    <s v="Mumbai"/>
    <s v="Maharashtra"/>
    <x v="4"/>
    <x v="1"/>
    <s v="Footwear"/>
    <n v="897"/>
    <n v="1500.7374147485591"/>
    <n v="3"/>
    <n v="10"/>
    <n v="4051.9910198211101"/>
    <n v="2691"/>
    <n v="1360.9910198211101"/>
    <s v="UPI"/>
    <x v="0"/>
    <d v="2024-01-10T00:00:00"/>
    <n v="4"/>
    <n v="2"/>
    <x v="0"/>
  </r>
  <r>
    <s v="ORD00544"/>
    <d v="2023-12-31T00:00:00"/>
    <s v="CUST0267"/>
    <s v="Ramesh"/>
    <s v="Hyderabad"/>
    <s v="Telangana"/>
    <x v="2"/>
    <x v="1"/>
    <s v="Women"/>
    <n v="1521"/>
    <n v="2151.2347821694248"/>
    <n v="1"/>
    <n v="20"/>
    <n v="1720.9878257355399"/>
    <n v="1521"/>
    <n v="199.9878257355399"/>
    <s v="UPI"/>
    <x v="0"/>
    <d v="2024-01-09T00:00:00"/>
    <n v="4"/>
    <n v="4"/>
    <x v="0"/>
  </r>
  <r>
    <s v="ORD01200"/>
    <d v="2023-12-31T00:00:00"/>
    <s v="CUST0165"/>
    <s v="Vikram"/>
    <s v="Chennai"/>
    <s v="Tamil Nadu"/>
    <x v="4"/>
    <x v="1"/>
    <s v="Footwear"/>
    <n v="2146"/>
    <n v="2267.9274692544418"/>
    <n v="4"/>
    <n v="15"/>
    <n v="7710.9533954651015"/>
    <n v="8584"/>
    <n v="-873.04660453489851"/>
    <s v="Debit Card"/>
    <x v="1"/>
    <m/>
    <n v="9"/>
    <n v="1"/>
    <x v="1"/>
  </r>
  <r>
    <s v="ORD1197"/>
    <d v="2023-12-31T00:00:00"/>
    <s v="CUST0267"/>
    <s v="Ramesh"/>
    <s v="Hyderabad"/>
    <s v="Telangana"/>
    <x v="4"/>
    <x v="1"/>
    <s v="Footwear"/>
    <n v="2700"/>
    <n v="3470"/>
    <n v="2"/>
    <n v="5"/>
    <n v="6593"/>
    <n v="5400"/>
    <n v="1193"/>
    <s v="UPI"/>
    <x v="0"/>
    <d v="2024-01-05T00:00:00"/>
    <n v="2"/>
    <n v="4"/>
    <x v="0"/>
  </r>
  <r>
    <s v="ORD1198"/>
    <d v="2024-12-31T00:00:00"/>
    <s v="CUST0165"/>
    <s v="Vikram"/>
    <s v="Chennai"/>
    <s v="Tamil Nadu"/>
    <x v="8"/>
    <x v="3"/>
    <s v="Fragrance"/>
    <n v="793"/>
    <n v="900"/>
    <n v="3"/>
    <n v="0"/>
    <n v="2700"/>
    <n v="2379"/>
    <n v="321"/>
    <s v="Credit Card"/>
    <x v="0"/>
    <d v="2024-01-07T00:00:00"/>
    <n v="1"/>
    <n v="5"/>
    <x v="0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  <r>
    <m/>
    <m/>
    <m/>
    <m/>
    <m/>
    <m/>
    <x v="12"/>
    <x v="4"/>
    <m/>
    <m/>
    <m/>
    <m/>
    <m/>
    <m/>
    <m/>
    <m/>
    <m/>
    <x v="2"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_tables and Calculations" cacheId="6" applyNumberFormats="0" applyBorderFormats="0" applyFontFormats="0" applyPatternFormats="0" applyAlignmentFormats="0" applyWidthHeightFormats="0" dataCaption="" updatedVersion="6" rowGrandTotals="0" compact="0" compactData="0">
  <location ref="E11:H16" firstHeaderRow="1" firstDataRow="2" firstDataCol="1" rowPageCount="2" colPageCount="1"/>
  <pivotFields count="22">
    <pivotField name="Order_ID" compact="0" outline="0" multipleItemSelectionAllowed="1" showAll="0"/>
    <pivotField name="Order_Date" compact="0" numFmtId="164" outline="0" multipleItemSelectionAllowed="1" showAll="0"/>
    <pivotField name="Customer_ID" compact="0" outline="0" multipleItemSelectionAllowed="1" showAll="0"/>
    <pivotField name="Customer_Name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roduct" compact="0" outline="0" multipleItemSelectionAllowed="1" showAll="0"/>
    <pivotField name="Category" axis="axisRow" compact="0" outline="0" multipleItemSelectionAllowed="1" showAll="0" sortType="descending">
      <items count="6">
        <item x="0"/>
        <item x="1"/>
        <item x="2"/>
        <item x="3"/>
        <item x="4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Sub_Category" compact="0" outline="0" multipleItemSelectionAllowed="1" showAll="0"/>
    <pivotField name="cost" compact="0" outline="0" multipleItemSelectionAllowed="1" showAll="0"/>
    <pivotField name="MRP" compact="0" numFmtId="2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Revenue" dataField="1" compact="0" outline="0" multipleItemSelectionAllowed="1" showAll="0"/>
    <pivotField name="Total_cost" compact="0" outline="0" multipleItemSelectionAllowed="1" showAll="0"/>
    <pivotField name="Profit" dataField="1" compact="0" outline="0" multipleItemSelectionAllowed="1" showAll="0"/>
    <pivotField name="Payment_Method" compact="0" outline="0" multipleItemSelectionAllowed="1" showAll="0"/>
    <pivotField name="Order_status" axis="axisPage" compact="0" outline="0" multipleItemSelectionAllowed="1" showAll="0">
      <items count="4">
        <item x="0"/>
        <item h="1" x="1"/>
        <item h="1" x="2"/>
        <item t="default"/>
      </items>
    </pivotField>
    <pivotField name="Delivery_date" compact="0" numFmtId="164" outline="0" multipleItemSelectionAllowed="1" showAll="0"/>
    <pivotField name="Shipping_Delay" compact="0" outline="0" multipleItemSelectionAllowed="1" showAll="0"/>
    <pivotField name="Rating" dataField="1" compact="0" outline="0" multipleItemSelectionAllowed="1" showAll="0"/>
    <pivotField name="Returned" axis="axisPage" compact="0" outline="0" multipleItemSelectionAllowed="1" showAll="0">
      <items count="4">
        <item x="0"/>
        <item h="1" x="1"/>
        <item h="1" x="2"/>
        <item t="default"/>
      </items>
    </pivotField>
  </pivotFields>
  <rowFields count="1">
    <field x="7"/>
  </rowFields>
  <rowItems count="4">
    <i>
      <x v="2"/>
    </i>
    <i>
      <x/>
    </i>
    <i>
      <x v="1"/>
    </i>
    <i>
      <x v="3"/>
    </i>
  </rowItems>
  <colFields count="1">
    <field x="-2"/>
  </colFields>
  <colItems count="3">
    <i>
      <x/>
    </i>
    <i i="1">
      <x v="1"/>
    </i>
    <i i="2">
      <x v="2"/>
    </i>
  </colItems>
  <pageFields count="2">
    <pageField fld="21" hier="0"/>
    <pageField fld="17" hier="0"/>
  </pageFields>
  <dataFields count="3">
    <dataField name="SUM of Revenue" fld="13" baseField="0"/>
    <dataField name="SUM of Profit" fld="15" baseField="0"/>
    <dataField name="AVERAGE of Rating" fld="2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Sheet5" cacheId="6" applyNumberFormats="0" applyBorderFormats="0" applyFontFormats="0" applyPatternFormats="0" applyAlignmentFormats="0" applyWidthHeightFormats="0" dataCaption="" updatedVersion="6" rowGrandTotals="0" compact="0" compactData="0">
  <location ref="B5:C17" firstHeaderRow="1" firstDataRow="1" firstDataCol="1" rowPageCount="2" colPageCount="1"/>
  <pivotFields count="22">
    <pivotField name="Order_ID" compact="0" outline="0" multipleItemSelectionAllowed="1" showAll="0"/>
    <pivotField name="Order_Date" compact="0" numFmtId="164" outline="0" multipleItemSelectionAllowed="1" showAll="0"/>
    <pivotField name="Customer_ID" compact="0" outline="0" multipleItemSelectionAllowed="1" showAll="0"/>
    <pivotField name="Customer_Name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roduct" axis="axisRow" compact="0" outline="0" multipleItemSelectionAllowed="1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tegory" compact="0" outline="0" multipleItemSelectionAllowed="1" showAll="0"/>
    <pivotField name="Sub_Category" compact="0" outline="0" multipleItemSelectionAllowed="1" showAll="0"/>
    <pivotField name="cost" compact="0" outline="0" multipleItemSelectionAllowed="1" showAll="0"/>
    <pivotField name="MRP" compact="0" numFmtId="2" outline="0" multipleItemSelectionAllowed="1" showAll="0"/>
    <pivotField name="Quantity" dataField="1" compact="0" outline="0" multipleItemSelectionAllowed="1" showAll="0"/>
    <pivotField name="Discount" compact="0" outline="0" multipleItemSelectionAllowed="1" showAll="0"/>
    <pivotField name="Revenue" compact="0" outline="0" multipleItemSelectionAllowed="1" showAll="0"/>
    <pivotField name="Total_cost" compact="0" outline="0" multipleItemSelectionAllowed="1" showAll="0"/>
    <pivotField name="Profit" compact="0" outline="0" multipleItemSelectionAllowed="1" showAll="0"/>
    <pivotField name="Payment_Method" compact="0" outline="0" multipleItemSelectionAllowed="1" showAll="0"/>
    <pivotField name="Order_status" axis="axisPage" compact="0" outline="0" multipleItemSelectionAllowed="1" showAll="0">
      <items count="4">
        <item x="0"/>
        <item h="1" x="1"/>
        <item h="1" x="2"/>
        <item t="default"/>
      </items>
    </pivotField>
    <pivotField name="Delivery_date" compact="0" numFmtId="164" outline="0" multipleItemSelectionAllowed="1" showAll="0"/>
    <pivotField name="Shipping_Delay" compact="0" outline="0" multipleItemSelectionAllowed="1" showAll="0"/>
    <pivotField name="Rating" compact="0" outline="0" multipleItemSelectionAllowed="1" showAll="0"/>
    <pivotField name="Returned" axis="axisPage" compact="0" outline="0" multipleItemSelectionAllowed="1" showAll="0">
      <items count="4">
        <item x="0"/>
        <item h="1" x="1"/>
        <item h="1" x="2"/>
        <item t="default"/>
      </items>
    </pivotField>
  </pivotFields>
  <rowFields count="1">
    <field x="6"/>
  </rowFields>
  <rowItems count="12">
    <i>
      <x v="8"/>
    </i>
    <i>
      <x v="1"/>
    </i>
    <i>
      <x v="2"/>
    </i>
    <i>
      <x v="4"/>
    </i>
    <i>
      <x v="5"/>
    </i>
    <i>
      <x v="11"/>
    </i>
    <i>
      <x v="9"/>
    </i>
    <i>
      <x v="6"/>
    </i>
    <i>
      <x v="3"/>
    </i>
    <i>
      <x/>
    </i>
    <i>
      <x v="10"/>
    </i>
    <i>
      <x v="7"/>
    </i>
  </rowItems>
  <colItems count="1">
    <i/>
  </colItems>
  <pageFields count="2">
    <pageField fld="21" hier="0"/>
    <pageField fld="17" hier="0"/>
  </pageFields>
  <dataFields count="1">
    <dataField name="SUM of Quantity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Monthly" cacheId="6" applyNumberFormats="0" applyBorderFormats="0" applyFontFormats="0" applyPatternFormats="0" applyAlignmentFormats="0" applyWidthHeightFormats="0" dataCaption="" updatedVersion="6" compact="0" compactData="0">
  <location ref="A4:A5" firstHeaderRow="1" firstDataRow="1" firstDataCol="0" rowPageCount="1" colPageCount="1"/>
  <pivotFields count="22">
    <pivotField name="Order_ID" dataField="1" compact="0" outline="0" multipleItemSelectionAllowed="1" showAll="0"/>
    <pivotField name="Order_Date" compact="0" numFmtId="164" outline="0" multipleItemSelectionAllowed="1" showAll="0"/>
    <pivotField name="Customer_ID" compact="0" outline="0" multipleItemSelectionAllowed="1" showAll="0"/>
    <pivotField name="Customer_Name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Sub_Category" compact="0" outline="0" multipleItemSelectionAllowed="1" showAll="0"/>
    <pivotField name="cost" compact="0" outline="0" multipleItemSelectionAllowed="1" showAll="0"/>
    <pivotField name="MRP" compact="0" numFmtId="2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Revenue" compact="0" outline="0" multipleItemSelectionAllowed="1" showAll="0"/>
    <pivotField name="Total_cost" compact="0" outline="0" multipleItemSelectionAllowed="1" showAll="0"/>
    <pivotField name="Profit" compact="0" outline="0" multipleItemSelectionAllowed="1" showAll="0"/>
    <pivotField name="Payment_Method" compact="0" outline="0" multipleItemSelectionAllowed="1" showAll="0"/>
    <pivotField name="Order_status" axis="axisPage" compact="0" outline="0" multipleItemSelectionAllowed="1" showAll="0">
      <items count="4">
        <item x="0"/>
        <item h="1" x="1"/>
        <item h="1" x="2"/>
        <item t="default"/>
      </items>
    </pivotField>
    <pivotField name="Delivery_date" compact="0" numFmtId="164" outline="0" multipleItemSelectionAllowed="1" showAll="0"/>
    <pivotField name="Shipping_Delay" compact="0" outline="0" multipleItemSelectionAllowed="1" showAll="0"/>
    <pivotField name="Rating" compact="0" outline="0" multipleItemSelectionAllowed="1" showAll="0"/>
    <pivotField name="Returned" compact="0" outline="0" multipleItemSelectionAllowed="1" showAll="0"/>
  </pivotFields>
  <rowItems count="1">
    <i/>
  </rowItems>
  <colItems count="1">
    <i/>
  </colItems>
  <pageFields count="1">
    <pageField fld="17" hier="0"/>
  </pageFields>
  <dataFields count="1">
    <dataField name="Order count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9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8.7109375" customWidth="1"/>
    <col min="2" max="2" width="9.5703125" customWidth="1"/>
    <col min="3" max="6" width="8.7109375" customWidth="1"/>
    <col min="7" max="7" width="11.7109375" customWidth="1"/>
    <col min="8" max="13" width="8.7109375" customWidth="1"/>
    <col min="14" max="14" width="12.140625" customWidth="1"/>
    <col min="15" max="15" width="12.7109375" customWidth="1"/>
    <col min="16" max="19" width="8.7109375" customWidth="1"/>
    <col min="20" max="20" width="12.42578125" customWidth="1"/>
    <col min="21" max="30" width="8.7109375" customWidth="1"/>
  </cols>
  <sheetData>
    <row r="1" spans="1: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1"/>
      <c r="Y1" s="1"/>
      <c r="Z1" s="1"/>
      <c r="AA1" s="1"/>
      <c r="AB1" s="1"/>
      <c r="AC1" s="1"/>
      <c r="AD1" s="1"/>
    </row>
    <row r="2" spans="1:30" x14ac:dyDescent="0.25">
      <c r="A2" s="5" t="s">
        <v>23</v>
      </c>
      <c r="B2" s="6">
        <v>44927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>
        <v>4109</v>
      </c>
      <c r="K2" s="7">
        <v>4597.4149117473044</v>
      </c>
      <c r="L2" s="5">
        <v>5</v>
      </c>
      <c r="M2" s="5">
        <v>0</v>
      </c>
      <c r="N2" s="8">
        <f t="shared" ref="N2:N1199" si="0">K2*L2*(1-M2/100)</f>
        <v>22987.074558736524</v>
      </c>
      <c r="O2" s="5">
        <f t="shared" ref="O2:O1199" si="1">J2*L2</f>
        <v>20545</v>
      </c>
      <c r="P2" s="5">
        <f t="shared" ref="P2:P1199" si="2">N2-O2</f>
        <v>2442.0745587365236</v>
      </c>
      <c r="Q2" s="5" t="s">
        <v>31</v>
      </c>
      <c r="R2" s="5" t="s">
        <v>32</v>
      </c>
      <c r="S2" s="6">
        <v>44935</v>
      </c>
      <c r="T2" s="5">
        <v>5</v>
      </c>
      <c r="U2" s="5">
        <v>4</v>
      </c>
      <c r="V2" s="5" t="s">
        <v>33</v>
      </c>
      <c r="W2" s="5">
        <f t="shared" ref="W2:W1197" si="3">IF(AND(NOT(R2="Cancelled"),V2="Yes"),1,0)</f>
        <v>0</v>
      </c>
    </row>
    <row r="3" spans="1:30" x14ac:dyDescent="0.25">
      <c r="A3" s="5" t="s">
        <v>34</v>
      </c>
      <c r="B3" s="6">
        <v>44928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28</v>
      </c>
      <c r="H3" s="5" t="s">
        <v>29</v>
      </c>
      <c r="I3" s="5" t="s">
        <v>30</v>
      </c>
      <c r="J3" s="5">
        <v>5503</v>
      </c>
      <c r="K3" s="7">
        <v>8127.6669571646908</v>
      </c>
      <c r="L3" s="5">
        <v>2</v>
      </c>
      <c r="M3" s="5">
        <v>0</v>
      </c>
      <c r="N3" s="8">
        <f t="shared" si="0"/>
        <v>16255.333914329382</v>
      </c>
      <c r="O3" s="5">
        <f t="shared" si="1"/>
        <v>11006</v>
      </c>
      <c r="P3" s="5">
        <f t="shared" si="2"/>
        <v>5249.3339143293815</v>
      </c>
      <c r="Q3" s="5" t="s">
        <v>39</v>
      </c>
      <c r="R3" s="5" t="s">
        <v>32</v>
      </c>
      <c r="S3" s="6">
        <v>44941</v>
      </c>
      <c r="T3" s="5">
        <v>6</v>
      </c>
      <c r="U3" s="5">
        <v>2</v>
      </c>
      <c r="V3" s="5" t="s">
        <v>33</v>
      </c>
      <c r="W3" s="5">
        <f t="shared" si="3"/>
        <v>0</v>
      </c>
    </row>
    <row r="4" spans="1:30" x14ac:dyDescent="0.25">
      <c r="A4" s="5" t="s">
        <v>40</v>
      </c>
      <c r="B4" s="6">
        <v>44928</v>
      </c>
      <c r="C4" s="5" t="s">
        <v>41</v>
      </c>
      <c r="D4" s="5" t="s">
        <v>42</v>
      </c>
      <c r="E4" s="5" t="s">
        <v>37</v>
      </c>
      <c r="F4" s="5" t="s">
        <v>38</v>
      </c>
      <c r="G4" s="5" t="s">
        <v>43</v>
      </c>
      <c r="H4" s="5" t="s">
        <v>44</v>
      </c>
      <c r="I4" s="5" t="s">
        <v>45</v>
      </c>
      <c r="J4" s="5">
        <v>563</v>
      </c>
      <c r="K4" s="7">
        <v>585.86996494561913</v>
      </c>
      <c r="L4" s="5">
        <v>1</v>
      </c>
      <c r="M4" s="5">
        <v>15</v>
      </c>
      <c r="N4" s="8">
        <f t="shared" si="0"/>
        <v>497.98947020377625</v>
      </c>
      <c r="O4" s="5">
        <f t="shared" si="1"/>
        <v>563</v>
      </c>
      <c r="P4" s="5">
        <f t="shared" si="2"/>
        <v>-65.01052979622375</v>
      </c>
      <c r="Q4" s="5" t="s">
        <v>46</v>
      </c>
      <c r="R4" s="5" t="s">
        <v>32</v>
      </c>
      <c r="S4" s="6">
        <v>44934</v>
      </c>
      <c r="T4" s="5">
        <v>3</v>
      </c>
      <c r="U4" s="5">
        <v>3</v>
      </c>
      <c r="V4" s="5" t="s">
        <v>33</v>
      </c>
      <c r="W4" s="5">
        <f t="shared" si="3"/>
        <v>0</v>
      </c>
    </row>
    <row r="5" spans="1:30" x14ac:dyDescent="0.25">
      <c r="A5" s="5" t="s">
        <v>47</v>
      </c>
      <c r="B5" s="6">
        <v>44928</v>
      </c>
      <c r="C5" s="5" t="s">
        <v>48</v>
      </c>
      <c r="D5" s="5" t="s">
        <v>36</v>
      </c>
      <c r="E5" s="5" t="s">
        <v>49</v>
      </c>
      <c r="F5" s="5" t="s">
        <v>50</v>
      </c>
      <c r="G5" s="5" t="s">
        <v>43</v>
      </c>
      <c r="H5" s="5" t="s">
        <v>44</v>
      </c>
      <c r="I5" s="5" t="s">
        <v>45</v>
      </c>
      <c r="J5" s="5">
        <v>505</v>
      </c>
      <c r="K5" s="7">
        <v>566.79692945020156</v>
      </c>
      <c r="L5" s="5">
        <v>3</v>
      </c>
      <c r="M5" s="5">
        <v>5</v>
      </c>
      <c r="N5" s="8">
        <f t="shared" si="0"/>
        <v>1615.3712489330744</v>
      </c>
      <c r="O5" s="5">
        <f t="shared" si="1"/>
        <v>1515</v>
      </c>
      <c r="P5" s="5">
        <f t="shared" si="2"/>
        <v>100.37124893307441</v>
      </c>
      <c r="Q5" s="5" t="s">
        <v>39</v>
      </c>
      <c r="R5" s="5" t="s">
        <v>32</v>
      </c>
      <c r="S5" s="6">
        <v>44935</v>
      </c>
      <c r="T5" s="5">
        <v>2</v>
      </c>
      <c r="U5" s="5">
        <v>5</v>
      </c>
      <c r="V5" s="5" t="s">
        <v>33</v>
      </c>
      <c r="W5" s="5">
        <f t="shared" si="3"/>
        <v>0</v>
      </c>
    </row>
    <row r="6" spans="1:30" x14ac:dyDescent="0.25">
      <c r="A6" s="5" t="s">
        <v>51</v>
      </c>
      <c r="B6" s="6">
        <v>44928</v>
      </c>
      <c r="C6" s="5" t="s">
        <v>52</v>
      </c>
      <c r="D6" s="5" t="s">
        <v>53</v>
      </c>
      <c r="E6" s="5" t="s">
        <v>54</v>
      </c>
      <c r="F6" s="5" t="s">
        <v>55</v>
      </c>
      <c r="G6" s="5" t="s">
        <v>43</v>
      </c>
      <c r="H6" s="5" t="s">
        <v>44</v>
      </c>
      <c r="I6" s="5" t="s">
        <v>45</v>
      </c>
      <c r="J6" s="5">
        <v>566</v>
      </c>
      <c r="K6" s="7">
        <v>743.87909058160346</v>
      </c>
      <c r="L6" s="5">
        <v>3</v>
      </c>
      <c r="M6" s="5">
        <v>10</v>
      </c>
      <c r="N6" s="8">
        <f t="shared" si="0"/>
        <v>2008.4735445703293</v>
      </c>
      <c r="O6" s="5">
        <f t="shared" si="1"/>
        <v>1698</v>
      </c>
      <c r="P6" s="5">
        <f t="shared" si="2"/>
        <v>310.4735445703293</v>
      </c>
      <c r="Q6" s="5" t="s">
        <v>31</v>
      </c>
      <c r="R6" s="5" t="s">
        <v>56</v>
      </c>
      <c r="T6" s="5">
        <v>8</v>
      </c>
      <c r="U6" s="5">
        <v>4</v>
      </c>
      <c r="W6" s="5">
        <f t="shared" si="3"/>
        <v>0</v>
      </c>
    </row>
    <row r="7" spans="1:30" x14ac:dyDescent="0.25">
      <c r="A7" s="5" t="s">
        <v>57</v>
      </c>
      <c r="B7" s="6">
        <v>44929</v>
      </c>
      <c r="C7" s="5" t="s">
        <v>58</v>
      </c>
      <c r="D7" s="5" t="s">
        <v>59</v>
      </c>
      <c r="E7" s="5" t="s">
        <v>60</v>
      </c>
      <c r="F7" s="5" t="s">
        <v>61</v>
      </c>
      <c r="G7" s="5" t="s">
        <v>28</v>
      </c>
      <c r="H7" s="5" t="s">
        <v>29</v>
      </c>
      <c r="I7" s="5" t="s">
        <v>30</v>
      </c>
      <c r="J7" s="5">
        <v>6377</v>
      </c>
      <c r="K7" s="7">
        <v>7324.9864060177861</v>
      </c>
      <c r="L7" s="5">
        <v>1</v>
      </c>
      <c r="M7" s="5">
        <v>20</v>
      </c>
      <c r="N7" s="8">
        <f t="shared" si="0"/>
        <v>5859.9891248142294</v>
      </c>
      <c r="O7" s="5">
        <f t="shared" si="1"/>
        <v>6377</v>
      </c>
      <c r="P7" s="5">
        <f t="shared" si="2"/>
        <v>-517.0108751857706</v>
      </c>
      <c r="Q7" s="5" t="s">
        <v>39</v>
      </c>
      <c r="R7" s="5" t="s">
        <v>32</v>
      </c>
      <c r="S7" s="6">
        <v>44937</v>
      </c>
      <c r="T7" s="5">
        <v>5</v>
      </c>
      <c r="U7" s="5">
        <v>2</v>
      </c>
      <c r="V7" s="5" t="s">
        <v>33</v>
      </c>
      <c r="W7" s="5">
        <f t="shared" si="3"/>
        <v>0</v>
      </c>
    </row>
    <row r="8" spans="1:30" x14ac:dyDescent="0.25">
      <c r="A8" s="5" t="s">
        <v>62</v>
      </c>
      <c r="B8" s="6">
        <v>44929</v>
      </c>
      <c r="C8" s="5" t="s">
        <v>63</v>
      </c>
      <c r="D8" s="5" t="s">
        <v>64</v>
      </c>
      <c r="E8" s="5" t="s">
        <v>37</v>
      </c>
      <c r="F8" s="5" t="s">
        <v>38</v>
      </c>
      <c r="G8" s="5" t="s">
        <v>28</v>
      </c>
      <c r="H8" s="5" t="s">
        <v>29</v>
      </c>
      <c r="I8" s="5" t="s">
        <v>30</v>
      </c>
      <c r="J8" s="5">
        <v>5122</v>
      </c>
      <c r="K8" s="7">
        <v>7138.701138894201</v>
      </c>
      <c r="L8" s="5">
        <v>3</v>
      </c>
      <c r="M8" s="5">
        <v>10</v>
      </c>
      <c r="N8" s="8">
        <f t="shared" si="0"/>
        <v>19274.493075014343</v>
      </c>
      <c r="O8" s="5">
        <f t="shared" si="1"/>
        <v>15366</v>
      </c>
      <c r="P8" s="5">
        <f t="shared" si="2"/>
        <v>3908.493075014343</v>
      </c>
      <c r="Q8" s="5" t="s">
        <v>31</v>
      </c>
      <c r="R8" s="5" t="s">
        <v>32</v>
      </c>
      <c r="S8" s="6">
        <v>44937</v>
      </c>
      <c r="T8" s="5">
        <v>5</v>
      </c>
      <c r="U8" s="5">
        <v>4</v>
      </c>
      <c r="V8" s="5" t="s">
        <v>33</v>
      </c>
      <c r="W8" s="5">
        <f t="shared" si="3"/>
        <v>0</v>
      </c>
    </row>
    <row r="9" spans="1:30" x14ac:dyDescent="0.25">
      <c r="A9" s="5" t="s">
        <v>65</v>
      </c>
      <c r="B9" s="6">
        <v>44930</v>
      </c>
      <c r="C9" s="5" t="s">
        <v>66</v>
      </c>
      <c r="D9" s="5" t="s">
        <v>42</v>
      </c>
      <c r="E9" s="5" t="s">
        <v>37</v>
      </c>
      <c r="F9" s="5" t="s">
        <v>38</v>
      </c>
      <c r="G9" s="5" t="s">
        <v>43</v>
      </c>
      <c r="H9" s="5" t="s">
        <v>44</v>
      </c>
      <c r="I9" s="5" t="s">
        <v>45</v>
      </c>
      <c r="J9" s="5">
        <v>389</v>
      </c>
      <c r="K9" s="7">
        <v>486.42562787676763</v>
      </c>
      <c r="L9" s="5">
        <v>3</v>
      </c>
      <c r="M9" s="5">
        <v>0</v>
      </c>
      <c r="N9" s="8">
        <f t="shared" si="0"/>
        <v>1459.276883630303</v>
      </c>
      <c r="O9" s="5">
        <f t="shared" si="1"/>
        <v>1167</v>
      </c>
      <c r="P9" s="5">
        <f t="shared" si="2"/>
        <v>292.27688363030302</v>
      </c>
      <c r="Q9" s="5" t="s">
        <v>31</v>
      </c>
      <c r="R9" s="5" t="s">
        <v>56</v>
      </c>
      <c r="T9" s="5">
        <v>7</v>
      </c>
      <c r="U9" s="5">
        <v>2</v>
      </c>
      <c r="W9" s="5">
        <f t="shared" si="3"/>
        <v>0</v>
      </c>
    </row>
    <row r="10" spans="1:30" x14ac:dyDescent="0.25">
      <c r="A10" s="5" t="s">
        <v>67</v>
      </c>
      <c r="B10" s="6">
        <v>44930</v>
      </c>
      <c r="C10" s="5" t="s">
        <v>68</v>
      </c>
      <c r="D10" s="5" t="s">
        <v>36</v>
      </c>
      <c r="E10" s="5" t="s">
        <v>69</v>
      </c>
      <c r="F10" s="5" t="s">
        <v>55</v>
      </c>
      <c r="G10" s="5" t="s">
        <v>70</v>
      </c>
      <c r="H10" s="5" t="s">
        <v>44</v>
      </c>
      <c r="I10" s="5" t="s">
        <v>71</v>
      </c>
      <c r="J10" s="5">
        <v>804</v>
      </c>
      <c r="K10" s="7">
        <v>823.59579901326572</v>
      </c>
      <c r="L10" s="5">
        <v>4</v>
      </c>
      <c r="M10" s="5">
        <v>15</v>
      </c>
      <c r="N10" s="8">
        <f t="shared" si="0"/>
        <v>2800.2257166451031</v>
      </c>
      <c r="O10" s="5">
        <f t="shared" si="1"/>
        <v>3216</v>
      </c>
      <c r="P10" s="5">
        <f t="shared" si="2"/>
        <v>-415.77428335489685</v>
      </c>
      <c r="Q10" s="5" t="s">
        <v>31</v>
      </c>
      <c r="R10" s="5" t="s">
        <v>32</v>
      </c>
      <c r="S10" s="6">
        <v>44942</v>
      </c>
      <c r="T10" s="5">
        <v>5</v>
      </c>
      <c r="U10" s="5">
        <v>2</v>
      </c>
      <c r="V10" s="5" t="s">
        <v>33</v>
      </c>
      <c r="W10" s="5">
        <f t="shared" si="3"/>
        <v>0</v>
      </c>
    </row>
    <row r="11" spans="1:30" x14ac:dyDescent="0.25">
      <c r="A11" s="5" t="s">
        <v>72</v>
      </c>
      <c r="B11" s="6">
        <v>44930</v>
      </c>
      <c r="C11" s="5" t="s">
        <v>73</v>
      </c>
      <c r="D11" s="5" t="s">
        <v>74</v>
      </c>
      <c r="E11" s="5" t="s">
        <v>60</v>
      </c>
      <c r="F11" s="5" t="s">
        <v>61</v>
      </c>
      <c r="G11" s="5" t="s">
        <v>75</v>
      </c>
      <c r="H11" s="5" t="s">
        <v>76</v>
      </c>
      <c r="I11" s="5" t="s">
        <v>77</v>
      </c>
      <c r="J11" s="5">
        <v>1025</v>
      </c>
      <c r="K11" s="7">
        <v>1706.6953842428634</v>
      </c>
      <c r="L11" s="5">
        <v>5</v>
      </c>
      <c r="M11" s="5">
        <v>5</v>
      </c>
      <c r="N11" s="8">
        <f t="shared" si="0"/>
        <v>8106.8030751535998</v>
      </c>
      <c r="O11" s="5">
        <f t="shared" si="1"/>
        <v>5125</v>
      </c>
      <c r="P11" s="5">
        <f t="shared" si="2"/>
        <v>2981.8030751535998</v>
      </c>
      <c r="Q11" s="5" t="s">
        <v>39</v>
      </c>
      <c r="R11" s="5" t="s">
        <v>32</v>
      </c>
      <c r="S11" s="6">
        <v>44943</v>
      </c>
      <c r="T11" s="5">
        <v>6</v>
      </c>
      <c r="U11" s="5">
        <v>2</v>
      </c>
      <c r="V11" s="5" t="s">
        <v>33</v>
      </c>
      <c r="W11" s="5">
        <f t="shared" si="3"/>
        <v>0</v>
      </c>
    </row>
    <row r="12" spans="1:30" x14ac:dyDescent="0.25">
      <c r="A12" s="5" t="s">
        <v>78</v>
      </c>
      <c r="B12" s="6">
        <v>44930</v>
      </c>
      <c r="C12" s="5" t="s">
        <v>79</v>
      </c>
      <c r="D12" s="5" t="s">
        <v>36</v>
      </c>
      <c r="E12" s="5" t="s">
        <v>80</v>
      </c>
      <c r="F12" s="5" t="s">
        <v>80</v>
      </c>
      <c r="G12" s="5" t="s">
        <v>81</v>
      </c>
      <c r="H12" s="5" t="s">
        <v>44</v>
      </c>
      <c r="I12" s="5" t="s">
        <v>82</v>
      </c>
      <c r="J12" s="5">
        <v>722</v>
      </c>
      <c r="K12" s="7">
        <v>1293.6533836415288</v>
      </c>
      <c r="L12" s="5">
        <v>4</v>
      </c>
      <c r="M12" s="5">
        <v>20</v>
      </c>
      <c r="N12" s="8">
        <f t="shared" si="0"/>
        <v>4139.690827652892</v>
      </c>
      <c r="O12" s="5">
        <f t="shared" si="1"/>
        <v>2888</v>
      </c>
      <c r="P12" s="5">
        <f t="shared" si="2"/>
        <v>1251.690827652892</v>
      </c>
      <c r="Q12" s="5" t="s">
        <v>83</v>
      </c>
      <c r="R12" s="5" t="s">
        <v>56</v>
      </c>
      <c r="T12" s="5">
        <v>9</v>
      </c>
      <c r="U12" s="5">
        <v>1</v>
      </c>
      <c r="W12" s="5">
        <f t="shared" si="3"/>
        <v>0</v>
      </c>
    </row>
    <row r="13" spans="1:30" x14ac:dyDescent="0.25">
      <c r="A13" s="5" t="s">
        <v>84</v>
      </c>
      <c r="B13" s="6">
        <v>44930</v>
      </c>
      <c r="C13" s="5" t="s">
        <v>85</v>
      </c>
      <c r="D13" s="5" t="s">
        <v>86</v>
      </c>
      <c r="E13" s="5" t="s">
        <v>37</v>
      </c>
      <c r="F13" s="5" t="s">
        <v>38</v>
      </c>
      <c r="G13" s="5" t="s">
        <v>87</v>
      </c>
      <c r="H13" s="5" t="s">
        <v>29</v>
      </c>
      <c r="I13" s="5" t="s">
        <v>88</v>
      </c>
      <c r="J13" s="5">
        <v>35408</v>
      </c>
      <c r="K13" s="7">
        <v>49239.020398067769</v>
      </c>
      <c r="L13" s="5">
        <v>2</v>
      </c>
      <c r="M13" s="5">
        <v>0</v>
      </c>
      <c r="N13" s="8">
        <f t="shared" si="0"/>
        <v>98478.040796135538</v>
      </c>
      <c r="O13" s="5">
        <f t="shared" si="1"/>
        <v>70816</v>
      </c>
      <c r="P13" s="5">
        <f t="shared" si="2"/>
        <v>27662.040796135538</v>
      </c>
      <c r="Q13" s="5" t="s">
        <v>83</v>
      </c>
      <c r="R13" s="5" t="s">
        <v>32</v>
      </c>
      <c r="S13" s="6">
        <v>44939</v>
      </c>
      <c r="T13" s="5">
        <v>6</v>
      </c>
      <c r="U13" s="5">
        <v>4</v>
      </c>
      <c r="V13" s="5" t="s">
        <v>89</v>
      </c>
      <c r="W13" s="5">
        <f t="shared" si="3"/>
        <v>1</v>
      </c>
    </row>
    <row r="14" spans="1:30" x14ac:dyDescent="0.25">
      <c r="A14" s="5" t="s">
        <v>90</v>
      </c>
      <c r="B14" s="6">
        <v>44931</v>
      </c>
      <c r="C14" s="5" t="s">
        <v>91</v>
      </c>
      <c r="D14" s="5" t="s">
        <v>64</v>
      </c>
      <c r="E14" s="5" t="s">
        <v>37</v>
      </c>
      <c r="F14" s="5" t="s">
        <v>38</v>
      </c>
      <c r="G14" s="5" t="s">
        <v>92</v>
      </c>
      <c r="H14" s="5" t="s">
        <v>44</v>
      </c>
      <c r="I14" s="5" t="s">
        <v>45</v>
      </c>
      <c r="J14" s="5">
        <v>892</v>
      </c>
      <c r="K14" s="7">
        <v>1458.3970991740121</v>
      </c>
      <c r="L14" s="5">
        <v>4</v>
      </c>
      <c r="M14" s="5">
        <v>0</v>
      </c>
      <c r="N14" s="8">
        <f t="shared" si="0"/>
        <v>5833.5883966960482</v>
      </c>
      <c r="O14" s="5">
        <f t="shared" si="1"/>
        <v>3568</v>
      </c>
      <c r="P14" s="5">
        <f t="shared" si="2"/>
        <v>2265.5883966960482</v>
      </c>
      <c r="Q14" s="5" t="s">
        <v>83</v>
      </c>
      <c r="R14" s="5" t="s">
        <v>56</v>
      </c>
      <c r="T14" s="5">
        <v>8</v>
      </c>
      <c r="U14" s="5">
        <v>2</v>
      </c>
      <c r="W14" s="5">
        <f t="shared" si="3"/>
        <v>0</v>
      </c>
    </row>
    <row r="15" spans="1:30" x14ac:dyDescent="0.25">
      <c r="A15" s="5" t="s">
        <v>93</v>
      </c>
      <c r="B15" s="6">
        <v>44931</v>
      </c>
      <c r="C15" s="5" t="s">
        <v>94</v>
      </c>
      <c r="D15" s="5" t="s">
        <v>53</v>
      </c>
      <c r="E15" s="5" t="s">
        <v>80</v>
      </c>
      <c r="F15" s="5" t="s">
        <v>80</v>
      </c>
      <c r="G15" s="5" t="s">
        <v>92</v>
      </c>
      <c r="H15" s="5" t="s">
        <v>44</v>
      </c>
      <c r="I15" s="5" t="s">
        <v>45</v>
      </c>
      <c r="J15" s="5">
        <v>1265</v>
      </c>
      <c r="K15" s="7">
        <v>2090.3877806236756</v>
      </c>
      <c r="L15" s="5">
        <v>3</v>
      </c>
      <c r="M15" s="5">
        <v>5</v>
      </c>
      <c r="N15" s="8">
        <f t="shared" si="0"/>
        <v>5957.6051747774745</v>
      </c>
      <c r="O15" s="5">
        <f t="shared" si="1"/>
        <v>3795</v>
      </c>
      <c r="P15" s="5">
        <f t="shared" si="2"/>
        <v>2162.6051747774745</v>
      </c>
      <c r="Q15" s="5" t="s">
        <v>46</v>
      </c>
      <c r="R15" s="5" t="s">
        <v>56</v>
      </c>
      <c r="T15" s="5">
        <v>8</v>
      </c>
      <c r="U15" s="5">
        <v>3</v>
      </c>
      <c r="W15" s="5">
        <f t="shared" si="3"/>
        <v>0</v>
      </c>
    </row>
    <row r="16" spans="1:30" x14ac:dyDescent="0.25">
      <c r="A16" s="5" t="s">
        <v>95</v>
      </c>
      <c r="B16" s="6">
        <v>44932</v>
      </c>
      <c r="C16" s="5" t="s">
        <v>96</v>
      </c>
      <c r="D16" s="5" t="s">
        <v>36</v>
      </c>
      <c r="E16" s="5" t="s">
        <v>37</v>
      </c>
      <c r="F16" s="5" t="s">
        <v>38</v>
      </c>
      <c r="G16" s="5" t="s">
        <v>97</v>
      </c>
      <c r="H16" s="5" t="s">
        <v>98</v>
      </c>
      <c r="I16" s="5" t="s">
        <v>99</v>
      </c>
      <c r="J16" s="5">
        <v>480</v>
      </c>
      <c r="K16" s="7">
        <v>531.52965816263816</v>
      </c>
      <c r="L16" s="5">
        <v>3</v>
      </c>
      <c r="M16" s="5">
        <v>5</v>
      </c>
      <c r="N16" s="8">
        <f t="shared" si="0"/>
        <v>1514.8595257635188</v>
      </c>
      <c r="O16" s="5">
        <f t="shared" si="1"/>
        <v>1440</v>
      </c>
      <c r="P16" s="5">
        <f t="shared" si="2"/>
        <v>74.859525763518832</v>
      </c>
      <c r="Q16" s="5" t="s">
        <v>39</v>
      </c>
      <c r="R16" s="5" t="s">
        <v>32</v>
      </c>
      <c r="S16" s="6">
        <v>44943</v>
      </c>
      <c r="T16" s="5">
        <v>6</v>
      </c>
      <c r="U16" s="5">
        <v>4</v>
      </c>
      <c r="V16" s="5" t="s">
        <v>89</v>
      </c>
      <c r="W16" s="5">
        <f t="shared" si="3"/>
        <v>1</v>
      </c>
    </row>
    <row r="17" spans="1:23" x14ac:dyDescent="0.25">
      <c r="A17" s="5" t="s">
        <v>100</v>
      </c>
      <c r="B17" s="6">
        <v>44932</v>
      </c>
      <c r="C17" s="5" t="s">
        <v>101</v>
      </c>
      <c r="D17" s="5" t="s">
        <v>102</v>
      </c>
      <c r="E17" s="5" t="s">
        <v>80</v>
      </c>
      <c r="F17" s="5" t="s">
        <v>80</v>
      </c>
      <c r="G17" s="5" t="s">
        <v>81</v>
      </c>
      <c r="H17" s="5" t="s">
        <v>44</v>
      </c>
      <c r="I17" s="5" t="s">
        <v>82</v>
      </c>
      <c r="J17" s="5">
        <v>1200</v>
      </c>
      <c r="K17" s="7">
        <v>1293.9325358866715</v>
      </c>
      <c r="L17" s="5">
        <v>5</v>
      </c>
      <c r="M17" s="5">
        <v>0</v>
      </c>
      <c r="N17" s="8">
        <f t="shared" si="0"/>
        <v>6469.6626794333579</v>
      </c>
      <c r="O17" s="5">
        <f t="shared" si="1"/>
        <v>6000</v>
      </c>
      <c r="P17" s="5">
        <f t="shared" si="2"/>
        <v>469.66267943335788</v>
      </c>
      <c r="Q17" s="5" t="s">
        <v>46</v>
      </c>
      <c r="R17" s="5" t="s">
        <v>56</v>
      </c>
      <c r="T17" s="5">
        <v>7</v>
      </c>
      <c r="U17" s="5">
        <v>3</v>
      </c>
      <c r="W17" s="5">
        <f t="shared" si="3"/>
        <v>0</v>
      </c>
    </row>
    <row r="18" spans="1:23" x14ac:dyDescent="0.25">
      <c r="A18" s="5" t="s">
        <v>103</v>
      </c>
      <c r="B18" s="6">
        <v>44933</v>
      </c>
      <c r="C18" s="5" t="s">
        <v>104</v>
      </c>
      <c r="D18" s="5" t="s">
        <v>105</v>
      </c>
      <c r="E18" s="5" t="s">
        <v>49</v>
      </c>
      <c r="F18" s="5" t="s">
        <v>50</v>
      </c>
      <c r="G18" s="5" t="s">
        <v>106</v>
      </c>
      <c r="H18" s="5" t="s">
        <v>98</v>
      </c>
      <c r="I18" s="5" t="s">
        <v>107</v>
      </c>
      <c r="J18" s="5">
        <v>649</v>
      </c>
      <c r="K18" s="7">
        <v>818.41542553922591</v>
      </c>
      <c r="L18" s="5">
        <v>4</v>
      </c>
      <c r="M18" s="5">
        <v>20</v>
      </c>
      <c r="N18" s="8">
        <f t="shared" si="0"/>
        <v>2618.929361725523</v>
      </c>
      <c r="O18" s="5">
        <f t="shared" si="1"/>
        <v>2596</v>
      </c>
      <c r="P18" s="5">
        <f t="shared" si="2"/>
        <v>22.929361725522995</v>
      </c>
      <c r="Q18" s="5" t="s">
        <v>39</v>
      </c>
      <c r="R18" s="5" t="s">
        <v>32</v>
      </c>
      <c r="S18" s="6">
        <v>44942</v>
      </c>
      <c r="T18" s="5">
        <v>6</v>
      </c>
      <c r="U18" s="5">
        <v>4</v>
      </c>
      <c r="V18" s="5" t="s">
        <v>89</v>
      </c>
      <c r="W18" s="5">
        <f t="shared" si="3"/>
        <v>1</v>
      </c>
    </row>
    <row r="19" spans="1:23" x14ac:dyDescent="0.25">
      <c r="A19" s="5" t="s">
        <v>108</v>
      </c>
      <c r="B19" s="6">
        <v>44933</v>
      </c>
      <c r="C19" s="5" t="s">
        <v>109</v>
      </c>
      <c r="D19" s="5" t="s">
        <v>53</v>
      </c>
      <c r="E19" s="5" t="s">
        <v>80</v>
      </c>
      <c r="F19" s="5" t="s">
        <v>80</v>
      </c>
      <c r="G19" s="5" t="s">
        <v>106</v>
      </c>
      <c r="H19" s="5" t="s">
        <v>98</v>
      </c>
      <c r="I19" s="5" t="s">
        <v>107</v>
      </c>
      <c r="J19" s="5">
        <v>545</v>
      </c>
      <c r="K19" s="7">
        <v>647.07393998810005</v>
      </c>
      <c r="L19" s="5">
        <v>3</v>
      </c>
      <c r="M19" s="5">
        <v>10</v>
      </c>
      <c r="N19" s="8">
        <f t="shared" si="0"/>
        <v>1747.0996379678702</v>
      </c>
      <c r="O19" s="5">
        <f t="shared" si="1"/>
        <v>1635</v>
      </c>
      <c r="P19" s="5">
        <f t="shared" si="2"/>
        <v>112.09963796787019</v>
      </c>
      <c r="Q19" s="5" t="s">
        <v>83</v>
      </c>
      <c r="R19" s="5" t="s">
        <v>32</v>
      </c>
      <c r="S19" s="6">
        <v>44937</v>
      </c>
      <c r="T19" s="5">
        <v>1</v>
      </c>
      <c r="U19" s="5">
        <v>5</v>
      </c>
      <c r="V19" s="5" t="s">
        <v>33</v>
      </c>
      <c r="W19" s="5">
        <f t="shared" si="3"/>
        <v>0</v>
      </c>
    </row>
    <row r="20" spans="1:23" x14ac:dyDescent="0.25">
      <c r="A20" s="5" t="s">
        <v>110</v>
      </c>
      <c r="B20" s="6">
        <v>44933</v>
      </c>
      <c r="C20" s="5" t="s">
        <v>111</v>
      </c>
      <c r="D20" s="5" t="s">
        <v>105</v>
      </c>
      <c r="E20" s="5" t="s">
        <v>112</v>
      </c>
      <c r="F20" s="5" t="s">
        <v>113</v>
      </c>
      <c r="G20" s="5" t="s">
        <v>43</v>
      </c>
      <c r="H20" s="5" t="s">
        <v>44</v>
      </c>
      <c r="I20" s="5" t="s">
        <v>45</v>
      </c>
      <c r="J20" s="5">
        <v>658</v>
      </c>
      <c r="K20" s="7">
        <v>1051.926486307362</v>
      </c>
      <c r="L20" s="5">
        <v>5</v>
      </c>
      <c r="M20" s="5">
        <v>15</v>
      </c>
      <c r="N20" s="8">
        <f t="shared" si="0"/>
        <v>4470.6875668062885</v>
      </c>
      <c r="O20" s="5">
        <f t="shared" si="1"/>
        <v>3290</v>
      </c>
      <c r="P20" s="5">
        <f t="shared" si="2"/>
        <v>1180.6875668062885</v>
      </c>
      <c r="Q20" s="5" t="s">
        <v>83</v>
      </c>
      <c r="R20" s="5" t="s">
        <v>32</v>
      </c>
      <c r="S20" s="6">
        <v>44944</v>
      </c>
      <c r="T20" s="5">
        <v>6</v>
      </c>
      <c r="U20" s="5">
        <v>3</v>
      </c>
      <c r="V20" s="5" t="s">
        <v>33</v>
      </c>
      <c r="W20" s="5">
        <f t="shared" si="3"/>
        <v>0</v>
      </c>
    </row>
    <row r="21" spans="1:23" ht="15.75" customHeight="1" x14ac:dyDescent="0.25">
      <c r="A21" s="5" t="s">
        <v>114</v>
      </c>
      <c r="B21" s="6">
        <v>44933</v>
      </c>
      <c r="C21" s="5" t="s">
        <v>115</v>
      </c>
      <c r="D21" s="5" t="s">
        <v>116</v>
      </c>
      <c r="E21" s="5" t="s">
        <v>69</v>
      </c>
      <c r="F21" s="5" t="s">
        <v>55</v>
      </c>
      <c r="G21" s="5" t="s">
        <v>43</v>
      </c>
      <c r="H21" s="5" t="s">
        <v>44</v>
      </c>
      <c r="I21" s="5" t="s">
        <v>45</v>
      </c>
      <c r="J21" s="5">
        <v>525</v>
      </c>
      <c r="K21" s="7">
        <v>644.78263333134032</v>
      </c>
      <c r="L21" s="5">
        <v>1</v>
      </c>
      <c r="M21" s="5">
        <v>20</v>
      </c>
      <c r="N21" s="8">
        <f t="shared" si="0"/>
        <v>515.8261066650723</v>
      </c>
      <c r="O21" s="5">
        <f t="shared" si="1"/>
        <v>525</v>
      </c>
      <c r="P21" s="5">
        <f t="shared" si="2"/>
        <v>-9.1738933349276977</v>
      </c>
      <c r="Q21" s="5" t="s">
        <v>46</v>
      </c>
      <c r="R21" s="5" t="s">
        <v>56</v>
      </c>
      <c r="T21" s="5">
        <v>9</v>
      </c>
      <c r="U21" s="5">
        <v>1</v>
      </c>
      <c r="W21" s="5">
        <f t="shared" si="3"/>
        <v>0</v>
      </c>
    </row>
    <row r="22" spans="1:23" ht="15.75" customHeight="1" x14ac:dyDescent="0.25">
      <c r="A22" s="5" t="s">
        <v>117</v>
      </c>
      <c r="B22" s="6">
        <v>44933</v>
      </c>
      <c r="C22" s="5" t="s">
        <v>118</v>
      </c>
      <c r="D22" s="5" t="s">
        <v>86</v>
      </c>
      <c r="E22" s="5" t="s">
        <v>26</v>
      </c>
      <c r="F22" s="5" t="s">
        <v>27</v>
      </c>
      <c r="G22" s="5" t="s">
        <v>119</v>
      </c>
      <c r="H22" s="5" t="s">
        <v>76</v>
      </c>
      <c r="I22" s="5" t="s">
        <v>120</v>
      </c>
      <c r="J22" s="5">
        <v>41871</v>
      </c>
      <c r="K22" s="7">
        <v>52186.749552187699</v>
      </c>
      <c r="L22" s="5">
        <v>5</v>
      </c>
      <c r="M22" s="5">
        <v>5</v>
      </c>
      <c r="N22" s="8">
        <f t="shared" si="0"/>
        <v>247887.06037289154</v>
      </c>
      <c r="O22" s="5">
        <f t="shared" si="1"/>
        <v>209355</v>
      </c>
      <c r="P22" s="5">
        <f t="shared" si="2"/>
        <v>38532.060372891545</v>
      </c>
      <c r="Q22" s="5" t="s">
        <v>39</v>
      </c>
      <c r="R22" s="5" t="s">
        <v>32</v>
      </c>
      <c r="S22" s="6">
        <v>44938</v>
      </c>
      <c r="T22" s="5">
        <v>1</v>
      </c>
      <c r="U22" s="5">
        <v>5</v>
      </c>
      <c r="V22" s="5" t="s">
        <v>33</v>
      </c>
      <c r="W22" s="5">
        <f t="shared" si="3"/>
        <v>0</v>
      </c>
    </row>
    <row r="23" spans="1:23" ht="15.75" customHeight="1" x14ac:dyDescent="0.25">
      <c r="A23" s="5" t="s">
        <v>121</v>
      </c>
      <c r="B23" s="6">
        <v>44934</v>
      </c>
      <c r="C23" s="5" t="s">
        <v>96</v>
      </c>
      <c r="D23" s="5" t="s">
        <v>86</v>
      </c>
      <c r="E23" s="5" t="s">
        <v>49</v>
      </c>
      <c r="F23" s="5" t="s">
        <v>50</v>
      </c>
      <c r="G23" s="5" t="s">
        <v>81</v>
      </c>
      <c r="H23" s="5" t="s">
        <v>44</v>
      </c>
      <c r="I23" s="5" t="s">
        <v>82</v>
      </c>
      <c r="J23" s="5">
        <v>1585</v>
      </c>
      <c r="K23" s="7">
        <v>1916.8904470626389</v>
      </c>
      <c r="L23" s="5">
        <v>1</v>
      </c>
      <c r="M23" s="5">
        <v>5</v>
      </c>
      <c r="N23" s="8">
        <f t="shared" si="0"/>
        <v>1821.0459247095068</v>
      </c>
      <c r="O23" s="5">
        <f t="shared" si="1"/>
        <v>1585</v>
      </c>
      <c r="P23" s="5">
        <f t="shared" si="2"/>
        <v>236.04592470950683</v>
      </c>
      <c r="Q23" s="5" t="s">
        <v>39</v>
      </c>
      <c r="R23" s="5" t="s">
        <v>32</v>
      </c>
      <c r="S23" s="6">
        <v>44945</v>
      </c>
      <c r="T23" s="5">
        <v>6</v>
      </c>
      <c r="U23" s="5">
        <v>2</v>
      </c>
      <c r="V23" s="5" t="s">
        <v>33</v>
      </c>
      <c r="W23" s="5">
        <f t="shared" si="3"/>
        <v>0</v>
      </c>
    </row>
    <row r="24" spans="1:23" ht="15.75" customHeight="1" x14ac:dyDescent="0.25">
      <c r="A24" s="5" t="s">
        <v>122</v>
      </c>
      <c r="B24" s="6">
        <v>44934</v>
      </c>
      <c r="C24" s="5" t="s">
        <v>123</v>
      </c>
      <c r="D24" s="5" t="s">
        <v>105</v>
      </c>
      <c r="E24" s="5" t="s">
        <v>37</v>
      </c>
      <c r="F24" s="5" t="s">
        <v>38</v>
      </c>
      <c r="G24" s="5" t="s">
        <v>124</v>
      </c>
      <c r="H24" s="5" t="s">
        <v>76</v>
      </c>
      <c r="I24" s="5" t="s">
        <v>125</v>
      </c>
      <c r="J24" s="5">
        <v>74443</v>
      </c>
      <c r="K24" s="7">
        <v>99616.633912047168</v>
      </c>
      <c r="L24" s="5">
        <v>2</v>
      </c>
      <c r="M24" s="5">
        <v>5</v>
      </c>
      <c r="N24" s="8">
        <f t="shared" si="0"/>
        <v>189271.60443288961</v>
      </c>
      <c r="O24" s="5">
        <f t="shared" si="1"/>
        <v>148886</v>
      </c>
      <c r="P24" s="5">
        <f t="shared" si="2"/>
        <v>40385.60443288961</v>
      </c>
      <c r="Q24" s="5" t="s">
        <v>46</v>
      </c>
      <c r="R24" s="5" t="s">
        <v>32</v>
      </c>
      <c r="S24" s="6">
        <v>44947</v>
      </c>
      <c r="T24" s="5">
        <v>6</v>
      </c>
      <c r="U24" s="5">
        <v>4</v>
      </c>
      <c r="V24" s="5" t="s">
        <v>89</v>
      </c>
      <c r="W24" s="5">
        <f t="shared" si="3"/>
        <v>1</v>
      </c>
    </row>
    <row r="25" spans="1:23" ht="15.75" customHeight="1" x14ac:dyDescent="0.25">
      <c r="A25" s="5" t="s">
        <v>126</v>
      </c>
      <c r="B25" s="6">
        <v>44934</v>
      </c>
      <c r="C25" s="5" t="s">
        <v>127</v>
      </c>
      <c r="D25" s="5" t="s">
        <v>116</v>
      </c>
      <c r="E25" s="5" t="s">
        <v>60</v>
      </c>
      <c r="F25" s="5" t="s">
        <v>61</v>
      </c>
      <c r="G25" s="5" t="s">
        <v>28</v>
      </c>
      <c r="H25" s="5" t="s">
        <v>29</v>
      </c>
      <c r="I25" s="5" t="s">
        <v>30</v>
      </c>
      <c r="J25" s="5">
        <v>4882</v>
      </c>
      <c r="K25" s="7">
        <v>6220.914606950415</v>
      </c>
      <c r="L25" s="5">
        <v>1</v>
      </c>
      <c r="M25" s="5">
        <v>0</v>
      </c>
      <c r="N25" s="8">
        <f t="shared" si="0"/>
        <v>6220.914606950415</v>
      </c>
      <c r="O25" s="5">
        <f t="shared" si="1"/>
        <v>4882</v>
      </c>
      <c r="P25" s="5">
        <f t="shared" si="2"/>
        <v>1338.914606950415</v>
      </c>
      <c r="Q25" s="5" t="s">
        <v>83</v>
      </c>
      <c r="R25" s="5" t="s">
        <v>32</v>
      </c>
      <c r="S25" s="6">
        <v>44941</v>
      </c>
      <c r="T25" s="5">
        <v>1</v>
      </c>
      <c r="U25" s="5">
        <v>4</v>
      </c>
      <c r="V25" s="5" t="s">
        <v>33</v>
      </c>
      <c r="W25" s="5">
        <f t="shared" si="3"/>
        <v>0</v>
      </c>
    </row>
    <row r="26" spans="1:23" ht="15.75" customHeight="1" x14ac:dyDescent="0.25">
      <c r="A26" s="5" t="s">
        <v>128</v>
      </c>
      <c r="B26" s="6">
        <v>44935</v>
      </c>
      <c r="C26" s="5" t="s">
        <v>85</v>
      </c>
      <c r="D26" s="5" t="s">
        <v>74</v>
      </c>
      <c r="E26" s="5" t="s">
        <v>112</v>
      </c>
      <c r="F26" s="5" t="s">
        <v>113</v>
      </c>
      <c r="G26" s="5" t="s">
        <v>28</v>
      </c>
      <c r="H26" s="5" t="s">
        <v>29</v>
      </c>
      <c r="I26" s="5" t="s">
        <v>30</v>
      </c>
      <c r="J26" s="5">
        <v>3475</v>
      </c>
      <c r="K26" s="7">
        <v>5066.5993019326152</v>
      </c>
      <c r="L26" s="5">
        <v>4</v>
      </c>
      <c r="M26" s="5">
        <v>20</v>
      </c>
      <c r="N26" s="8">
        <f t="shared" si="0"/>
        <v>16213.117766184369</v>
      </c>
      <c r="O26" s="5">
        <f t="shared" si="1"/>
        <v>13900</v>
      </c>
      <c r="P26" s="5">
        <f t="shared" si="2"/>
        <v>2313.1177661843685</v>
      </c>
      <c r="Q26" s="5" t="s">
        <v>46</v>
      </c>
      <c r="R26" s="5" t="s">
        <v>56</v>
      </c>
      <c r="T26" s="5">
        <v>9</v>
      </c>
      <c r="U26" s="5">
        <v>1</v>
      </c>
      <c r="W26" s="5">
        <f t="shared" si="3"/>
        <v>0</v>
      </c>
    </row>
    <row r="27" spans="1:23" ht="15.75" customHeight="1" x14ac:dyDescent="0.25">
      <c r="A27" s="5" t="s">
        <v>129</v>
      </c>
      <c r="B27" s="6">
        <v>44935</v>
      </c>
      <c r="C27" s="5" t="s">
        <v>130</v>
      </c>
      <c r="D27" s="5" t="s">
        <v>25</v>
      </c>
      <c r="E27" s="5" t="s">
        <v>26</v>
      </c>
      <c r="F27" s="5" t="s">
        <v>27</v>
      </c>
      <c r="G27" s="5" t="s">
        <v>97</v>
      </c>
      <c r="H27" s="5" t="s">
        <v>98</v>
      </c>
      <c r="I27" s="5" t="s">
        <v>99</v>
      </c>
      <c r="J27" s="5">
        <v>221</v>
      </c>
      <c r="K27" s="7">
        <v>375.73340481891387</v>
      </c>
      <c r="L27" s="5">
        <v>5</v>
      </c>
      <c r="M27" s="5">
        <v>20</v>
      </c>
      <c r="N27" s="8">
        <f t="shared" si="0"/>
        <v>1502.9336192756555</v>
      </c>
      <c r="O27" s="5">
        <f t="shared" si="1"/>
        <v>1105</v>
      </c>
      <c r="P27" s="5">
        <f t="shared" si="2"/>
        <v>397.93361927565547</v>
      </c>
      <c r="Q27" s="5" t="s">
        <v>46</v>
      </c>
      <c r="R27" s="5" t="s">
        <v>32</v>
      </c>
      <c r="S27" s="6">
        <v>44948</v>
      </c>
      <c r="T27" s="5">
        <v>6</v>
      </c>
      <c r="U27" s="5">
        <v>4</v>
      </c>
      <c r="V27" s="5" t="s">
        <v>89</v>
      </c>
      <c r="W27" s="5">
        <f t="shared" si="3"/>
        <v>1</v>
      </c>
    </row>
    <row r="28" spans="1:23" ht="15.75" customHeight="1" x14ac:dyDescent="0.25">
      <c r="A28" s="5" t="s">
        <v>131</v>
      </c>
      <c r="B28" s="6">
        <v>44935</v>
      </c>
      <c r="C28" s="5" t="s">
        <v>132</v>
      </c>
      <c r="D28" s="5" t="s">
        <v>59</v>
      </c>
      <c r="E28" s="5" t="s">
        <v>37</v>
      </c>
      <c r="F28" s="5" t="s">
        <v>38</v>
      </c>
      <c r="G28" s="5" t="s">
        <v>81</v>
      </c>
      <c r="H28" s="5" t="s">
        <v>44</v>
      </c>
      <c r="I28" s="5" t="s">
        <v>82</v>
      </c>
      <c r="J28" s="5">
        <v>777</v>
      </c>
      <c r="K28" s="7">
        <v>1141.1981331700911</v>
      </c>
      <c r="L28" s="5">
        <v>5</v>
      </c>
      <c r="M28" s="5">
        <v>0</v>
      </c>
      <c r="N28" s="8">
        <f t="shared" si="0"/>
        <v>5705.9906658504551</v>
      </c>
      <c r="O28" s="5">
        <f t="shared" si="1"/>
        <v>3885</v>
      </c>
      <c r="P28" s="5">
        <f t="shared" si="2"/>
        <v>1820.9906658504551</v>
      </c>
      <c r="Q28" s="5" t="s">
        <v>83</v>
      </c>
      <c r="R28" s="5" t="s">
        <v>32</v>
      </c>
      <c r="S28" s="6">
        <v>44943</v>
      </c>
      <c r="T28" s="5">
        <v>1</v>
      </c>
      <c r="U28" s="5">
        <v>4</v>
      </c>
      <c r="V28" s="5" t="s">
        <v>33</v>
      </c>
      <c r="W28" s="5">
        <f t="shared" si="3"/>
        <v>0</v>
      </c>
    </row>
    <row r="29" spans="1:23" ht="15.75" customHeight="1" x14ac:dyDescent="0.25">
      <c r="A29" s="5" t="s">
        <v>133</v>
      </c>
      <c r="B29" s="6">
        <v>44935</v>
      </c>
      <c r="C29" s="5" t="s">
        <v>134</v>
      </c>
      <c r="D29" s="5" t="s">
        <v>135</v>
      </c>
      <c r="E29" s="5" t="s">
        <v>69</v>
      </c>
      <c r="F29" s="5" t="s">
        <v>55</v>
      </c>
      <c r="G29" s="5" t="s">
        <v>75</v>
      </c>
      <c r="H29" s="5" t="s">
        <v>76</v>
      </c>
      <c r="I29" s="5" t="s">
        <v>77</v>
      </c>
      <c r="J29" s="5">
        <v>1018</v>
      </c>
      <c r="K29" s="7">
        <v>1111.608139446171</v>
      </c>
      <c r="L29" s="5">
        <v>1</v>
      </c>
      <c r="M29" s="5">
        <v>0</v>
      </c>
      <c r="N29" s="8">
        <f t="shared" si="0"/>
        <v>1111.608139446171</v>
      </c>
      <c r="O29" s="5">
        <f t="shared" si="1"/>
        <v>1018</v>
      </c>
      <c r="P29" s="5">
        <f t="shared" si="2"/>
        <v>93.608139446170981</v>
      </c>
      <c r="Q29" s="5" t="s">
        <v>46</v>
      </c>
      <c r="R29" s="5" t="s">
        <v>56</v>
      </c>
      <c r="T29" s="5">
        <v>10</v>
      </c>
      <c r="U29" s="5">
        <v>1</v>
      </c>
      <c r="W29" s="5">
        <f t="shared" si="3"/>
        <v>0</v>
      </c>
    </row>
    <row r="30" spans="1:23" ht="15.75" customHeight="1" x14ac:dyDescent="0.25">
      <c r="A30" s="5" t="s">
        <v>136</v>
      </c>
      <c r="B30" s="6">
        <v>44937</v>
      </c>
      <c r="C30" s="5" t="s">
        <v>137</v>
      </c>
      <c r="D30" s="5" t="s">
        <v>138</v>
      </c>
      <c r="E30" s="5" t="s">
        <v>49</v>
      </c>
      <c r="F30" s="5" t="s">
        <v>50</v>
      </c>
      <c r="G30" s="5" t="s">
        <v>139</v>
      </c>
      <c r="H30" s="5" t="s">
        <v>76</v>
      </c>
      <c r="I30" s="5" t="s">
        <v>140</v>
      </c>
      <c r="J30" s="5">
        <v>40754</v>
      </c>
      <c r="K30" s="7">
        <v>68727.393769883376</v>
      </c>
      <c r="L30" s="5">
        <v>5</v>
      </c>
      <c r="M30" s="5">
        <v>20</v>
      </c>
      <c r="N30" s="8">
        <f t="shared" si="0"/>
        <v>274909.5750795335</v>
      </c>
      <c r="O30" s="5">
        <f t="shared" si="1"/>
        <v>203770</v>
      </c>
      <c r="P30" s="5">
        <f t="shared" si="2"/>
        <v>71139.575079533504</v>
      </c>
      <c r="Q30" s="5" t="s">
        <v>31</v>
      </c>
      <c r="R30" s="5" t="s">
        <v>32</v>
      </c>
      <c r="S30" s="6">
        <v>44947</v>
      </c>
      <c r="T30" s="5">
        <v>4</v>
      </c>
      <c r="U30" s="5">
        <v>2</v>
      </c>
      <c r="V30" s="5" t="s">
        <v>33</v>
      </c>
      <c r="W30" s="5">
        <f t="shared" si="3"/>
        <v>0</v>
      </c>
    </row>
    <row r="31" spans="1:23" ht="15.75" customHeight="1" x14ac:dyDescent="0.25">
      <c r="A31" s="5" t="s">
        <v>141</v>
      </c>
      <c r="B31" s="6">
        <v>44937</v>
      </c>
      <c r="C31" s="5" t="s">
        <v>104</v>
      </c>
      <c r="D31" s="5" t="s">
        <v>138</v>
      </c>
      <c r="E31" s="5" t="s">
        <v>69</v>
      </c>
      <c r="F31" s="5" t="s">
        <v>55</v>
      </c>
      <c r="G31" s="5" t="s">
        <v>106</v>
      </c>
      <c r="H31" s="5" t="s">
        <v>98</v>
      </c>
      <c r="I31" s="5" t="s">
        <v>107</v>
      </c>
      <c r="J31" s="5">
        <v>630</v>
      </c>
      <c r="K31" s="7">
        <v>717.22825936138372</v>
      </c>
      <c r="L31" s="5">
        <v>2</v>
      </c>
      <c r="M31" s="5">
        <v>5</v>
      </c>
      <c r="N31" s="8">
        <f t="shared" si="0"/>
        <v>1362.733692786629</v>
      </c>
      <c r="O31" s="5">
        <f t="shared" si="1"/>
        <v>1260</v>
      </c>
      <c r="P31" s="5">
        <f t="shared" si="2"/>
        <v>102.73369278662904</v>
      </c>
      <c r="Q31" s="5" t="s">
        <v>83</v>
      </c>
      <c r="R31" s="5" t="s">
        <v>32</v>
      </c>
      <c r="S31" s="6">
        <v>44941</v>
      </c>
      <c r="T31" s="5">
        <v>1</v>
      </c>
      <c r="U31" s="5">
        <v>4</v>
      </c>
      <c r="V31" s="5" t="s">
        <v>33</v>
      </c>
      <c r="W31" s="5">
        <f t="shared" si="3"/>
        <v>0</v>
      </c>
    </row>
    <row r="32" spans="1:23" ht="15.75" customHeight="1" x14ac:dyDescent="0.25">
      <c r="A32" s="5" t="s">
        <v>142</v>
      </c>
      <c r="B32" s="6">
        <v>44937</v>
      </c>
      <c r="C32" s="5" t="s">
        <v>143</v>
      </c>
      <c r="D32" s="5" t="s">
        <v>102</v>
      </c>
      <c r="E32" s="5" t="s">
        <v>80</v>
      </c>
      <c r="F32" s="5" t="s">
        <v>80</v>
      </c>
      <c r="G32" s="5" t="s">
        <v>92</v>
      </c>
      <c r="H32" s="5" t="s">
        <v>44</v>
      </c>
      <c r="I32" s="5" t="s">
        <v>45</v>
      </c>
      <c r="J32" s="5">
        <v>1359</v>
      </c>
      <c r="K32" s="7">
        <v>1586.6360426347032</v>
      </c>
      <c r="L32" s="5">
        <v>4</v>
      </c>
      <c r="M32" s="5">
        <v>20</v>
      </c>
      <c r="N32" s="8">
        <f t="shared" si="0"/>
        <v>5077.2353364310511</v>
      </c>
      <c r="O32" s="5">
        <f t="shared" si="1"/>
        <v>5436</v>
      </c>
      <c r="P32" s="5">
        <f t="shared" si="2"/>
        <v>-358.76466356894889</v>
      </c>
      <c r="Q32" s="5" t="s">
        <v>83</v>
      </c>
      <c r="R32" s="5" t="s">
        <v>32</v>
      </c>
      <c r="S32" s="6">
        <v>44944</v>
      </c>
      <c r="T32" s="5">
        <v>1</v>
      </c>
      <c r="U32" s="5">
        <v>5</v>
      </c>
      <c r="V32" s="5" t="s">
        <v>33</v>
      </c>
      <c r="W32" s="5">
        <f t="shared" si="3"/>
        <v>0</v>
      </c>
    </row>
    <row r="33" spans="1:23" ht="15.75" customHeight="1" x14ac:dyDescent="0.25">
      <c r="A33" s="5" t="s">
        <v>144</v>
      </c>
      <c r="B33" s="6">
        <v>44937</v>
      </c>
      <c r="C33" s="5" t="s">
        <v>145</v>
      </c>
      <c r="D33" s="5" t="s">
        <v>146</v>
      </c>
      <c r="E33" s="5" t="s">
        <v>80</v>
      </c>
      <c r="F33" s="5" t="s">
        <v>80</v>
      </c>
      <c r="G33" s="5" t="s">
        <v>81</v>
      </c>
      <c r="H33" s="5" t="s">
        <v>44</v>
      </c>
      <c r="I33" s="5" t="s">
        <v>82</v>
      </c>
      <c r="J33" s="5">
        <v>1367</v>
      </c>
      <c r="K33" s="7">
        <v>1607.0226274404422</v>
      </c>
      <c r="L33" s="5">
        <v>5</v>
      </c>
      <c r="M33" s="5">
        <v>5</v>
      </c>
      <c r="N33" s="8">
        <f t="shared" si="0"/>
        <v>7633.3574803420997</v>
      </c>
      <c r="O33" s="5">
        <f t="shared" si="1"/>
        <v>6835</v>
      </c>
      <c r="P33" s="5">
        <f t="shared" si="2"/>
        <v>798.35748034209973</v>
      </c>
      <c r="Q33" s="5" t="s">
        <v>39</v>
      </c>
      <c r="R33" s="5" t="s">
        <v>56</v>
      </c>
      <c r="T33" s="5">
        <v>9</v>
      </c>
      <c r="U33" s="5">
        <v>1</v>
      </c>
      <c r="W33" s="5">
        <f t="shared" si="3"/>
        <v>0</v>
      </c>
    </row>
    <row r="34" spans="1:23" ht="15.75" customHeight="1" x14ac:dyDescent="0.25">
      <c r="A34" s="5" t="s">
        <v>147</v>
      </c>
      <c r="B34" s="6">
        <v>44938</v>
      </c>
      <c r="C34" s="5" t="s">
        <v>48</v>
      </c>
      <c r="D34" s="5" t="s">
        <v>148</v>
      </c>
      <c r="E34" s="5" t="s">
        <v>37</v>
      </c>
      <c r="F34" s="5" t="s">
        <v>38</v>
      </c>
      <c r="G34" s="5" t="s">
        <v>92</v>
      </c>
      <c r="H34" s="5" t="s">
        <v>44</v>
      </c>
      <c r="I34" s="5" t="s">
        <v>45</v>
      </c>
      <c r="J34" s="5">
        <v>1430</v>
      </c>
      <c r="K34" s="7">
        <v>1439.4544724436937</v>
      </c>
      <c r="L34" s="5">
        <v>1</v>
      </c>
      <c r="M34" s="5">
        <v>15</v>
      </c>
      <c r="N34" s="8">
        <f t="shared" si="0"/>
        <v>1223.5363015771395</v>
      </c>
      <c r="O34" s="5">
        <f t="shared" si="1"/>
        <v>1430</v>
      </c>
      <c r="P34" s="5">
        <f t="shared" si="2"/>
        <v>-206.46369842286049</v>
      </c>
      <c r="Q34" s="5" t="s">
        <v>83</v>
      </c>
      <c r="R34" s="5" t="s">
        <v>32</v>
      </c>
      <c r="S34" s="6">
        <v>44946</v>
      </c>
      <c r="T34" s="5">
        <v>3</v>
      </c>
      <c r="U34" s="5">
        <v>2</v>
      </c>
      <c r="V34" s="5" t="s">
        <v>33</v>
      </c>
      <c r="W34" s="5">
        <f t="shared" si="3"/>
        <v>0</v>
      </c>
    </row>
    <row r="35" spans="1:23" ht="15.75" customHeight="1" x14ac:dyDescent="0.25">
      <c r="A35" s="5" t="s">
        <v>149</v>
      </c>
      <c r="B35" s="6">
        <v>44938</v>
      </c>
      <c r="C35" s="5" t="s">
        <v>85</v>
      </c>
      <c r="D35" s="5" t="s">
        <v>150</v>
      </c>
      <c r="E35" s="5" t="s">
        <v>49</v>
      </c>
      <c r="F35" s="5" t="s">
        <v>50</v>
      </c>
      <c r="G35" s="5" t="s">
        <v>106</v>
      </c>
      <c r="H35" s="5" t="s">
        <v>98</v>
      </c>
      <c r="I35" s="5" t="s">
        <v>107</v>
      </c>
      <c r="J35" s="5">
        <v>619</v>
      </c>
      <c r="K35" s="7">
        <v>1067.2681777025261</v>
      </c>
      <c r="L35" s="5">
        <v>2</v>
      </c>
      <c r="M35" s="5">
        <v>15</v>
      </c>
      <c r="N35" s="8">
        <f t="shared" si="0"/>
        <v>1814.3559020942944</v>
      </c>
      <c r="O35" s="5">
        <f t="shared" si="1"/>
        <v>1238</v>
      </c>
      <c r="P35" s="5">
        <f t="shared" si="2"/>
        <v>576.35590209429438</v>
      </c>
      <c r="Q35" s="5" t="s">
        <v>83</v>
      </c>
      <c r="R35" s="5" t="s">
        <v>32</v>
      </c>
      <c r="S35" s="6">
        <v>44947</v>
      </c>
      <c r="T35" s="5">
        <v>4</v>
      </c>
      <c r="U35" s="5">
        <v>4</v>
      </c>
      <c r="V35" s="5" t="s">
        <v>33</v>
      </c>
      <c r="W35" s="5">
        <f t="shared" si="3"/>
        <v>0</v>
      </c>
    </row>
    <row r="36" spans="1:23" ht="15.75" customHeight="1" x14ac:dyDescent="0.25">
      <c r="A36" s="5" t="s">
        <v>151</v>
      </c>
      <c r="B36" s="6">
        <v>44939</v>
      </c>
      <c r="C36" s="5" t="s">
        <v>152</v>
      </c>
      <c r="D36" s="5" t="s">
        <v>148</v>
      </c>
      <c r="E36" s="5" t="s">
        <v>37</v>
      </c>
      <c r="F36" s="5" t="s">
        <v>38</v>
      </c>
      <c r="G36" s="5" t="s">
        <v>97</v>
      </c>
      <c r="H36" s="5" t="s">
        <v>98</v>
      </c>
      <c r="I36" s="5" t="s">
        <v>99</v>
      </c>
      <c r="J36" s="5">
        <v>578</v>
      </c>
      <c r="K36" s="7">
        <v>609.40130779989363</v>
      </c>
      <c r="L36" s="5">
        <v>4</v>
      </c>
      <c r="M36" s="5">
        <v>10</v>
      </c>
      <c r="N36" s="8">
        <f t="shared" si="0"/>
        <v>2193.8447080796172</v>
      </c>
      <c r="O36" s="5">
        <f t="shared" si="1"/>
        <v>2312</v>
      </c>
      <c r="P36" s="5">
        <f t="shared" si="2"/>
        <v>-118.15529192038275</v>
      </c>
      <c r="Q36" s="5" t="s">
        <v>31</v>
      </c>
      <c r="R36" s="5" t="s">
        <v>32</v>
      </c>
      <c r="S36" s="6">
        <v>44948</v>
      </c>
      <c r="T36" s="5">
        <v>2</v>
      </c>
      <c r="U36" s="5">
        <v>4</v>
      </c>
      <c r="V36" s="5" t="s">
        <v>33</v>
      </c>
      <c r="W36" s="5">
        <f t="shared" si="3"/>
        <v>0</v>
      </c>
    </row>
    <row r="37" spans="1:23" ht="15.75" customHeight="1" x14ac:dyDescent="0.25">
      <c r="A37" s="5" t="s">
        <v>153</v>
      </c>
      <c r="B37" s="6">
        <v>44939</v>
      </c>
      <c r="C37" s="5" t="s">
        <v>154</v>
      </c>
      <c r="D37" s="5" t="s">
        <v>148</v>
      </c>
      <c r="E37" s="5" t="s">
        <v>80</v>
      </c>
      <c r="F37" s="5" t="s">
        <v>80</v>
      </c>
      <c r="G37" s="5" t="s">
        <v>124</v>
      </c>
      <c r="H37" s="5" t="s">
        <v>76</v>
      </c>
      <c r="I37" s="5" t="s">
        <v>125</v>
      </c>
      <c r="J37" s="5">
        <v>71289</v>
      </c>
      <c r="K37" s="7">
        <v>109285.28586440312</v>
      </c>
      <c r="L37" s="5">
        <v>2</v>
      </c>
      <c r="M37" s="5">
        <v>15</v>
      </c>
      <c r="N37" s="8">
        <f t="shared" si="0"/>
        <v>185784.98596948531</v>
      </c>
      <c r="O37" s="5">
        <f t="shared" si="1"/>
        <v>142578</v>
      </c>
      <c r="P37" s="5">
        <f t="shared" si="2"/>
        <v>43206.985969485308</v>
      </c>
      <c r="Q37" s="5" t="s">
        <v>31</v>
      </c>
      <c r="R37" s="5" t="s">
        <v>32</v>
      </c>
      <c r="S37" s="6">
        <v>44952</v>
      </c>
      <c r="T37" s="5">
        <v>6</v>
      </c>
      <c r="U37" s="5">
        <v>4</v>
      </c>
      <c r="V37" s="5" t="s">
        <v>89</v>
      </c>
      <c r="W37" s="5">
        <f t="shared" si="3"/>
        <v>1</v>
      </c>
    </row>
    <row r="38" spans="1:23" ht="15.75" customHeight="1" x14ac:dyDescent="0.25">
      <c r="A38" s="5" t="s">
        <v>155</v>
      </c>
      <c r="B38" s="6">
        <v>44939</v>
      </c>
      <c r="C38" s="5" t="s">
        <v>156</v>
      </c>
      <c r="D38" s="5" t="s">
        <v>138</v>
      </c>
      <c r="E38" s="5" t="s">
        <v>69</v>
      </c>
      <c r="F38" s="5" t="s">
        <v>55</v>
      </c>
      <c r="G38" s="5" t="s">
        <v>75</v>
      </c>
      <c r="H38" s="5" t="s">
        <v>76</v>
      </c>
      <c r="I38" s="5" t="s">
        <v>77</v>
      </c>
      <c r="J38" s="5">
        <v>1220</v>
      </c>
      <c r="K38" s="7">
        <v>1373.6525947000823</v>
      </c>
      <c r="L38" s="5">
        <v>3</v>
      </c>
      <c r="M38" s="5">
        <v>0</v>
      </c>
      <c r="N38" s="8">
        <f t="shared" si="0"/>
        <v>4120.9577841002465</v>
      </c>
      <c r="O38" s="5">
        <f t="shared" si="1"/>
        <v>3660</v>
      </c>
      <c r="P38" s="5">
        <f t="shared" si="2"/>
        <v>460.9577841002465</v>
      </c>
      <c r="Q38" s="5" t="s">
        <v>31</v>
      </c>
      <c r="R38" s="5" t="s">
        <v>56</v>
      </c>
      <c r="T38" s="5">
        <v>8</v>
      </c>
      <c r="U38" s="5">
        <v>2</v>
      </c>
      <c r="W38" s="5">
        <f t="shared" si="3"/>
        <v>0</v>
      </c>
    </row>
    <row r="39" spans="1:23" ht="15.75" customHeight="1" x14ac:dyDescent="0.25">
      <c r="A39" s="5" t="s">
        <v>157</v>
      </c>
      <c r="B39" s="6">
        <v>44939</v>
      </c>
      <c r="C39" s="5" t="s">
        <v>101</v>
      </c>
      <c r="D39" s="5" t="s">
        <v>74</v>
      </c>
      <c r="E39" s="5" t="s">
        <v>54</v>
      </c>
      <c r="F39" s="5" t="s">
        <v>55</v>
      </c>
      <c r="G39" s="5" t="s">
        <v>97</v>
      </c>
      <c r="H39" s="5" t="s">
        <v>98</v>
      </c>
      <c r="I39" s="5" t="s">
        <v>99</v>
      </c>
      <c r="J39" s="5">
        <v>410</v>
      </c>
      <c r="K39" s="7">
        <v>434.2031624705574</v>
      </c>
      <c r="L39" s="5">
        <v>3</v>
      </c>
      <c r="M39" s="5">
        <v>15</v>
      </c>
      <c r="N39" s="8">
        <f t="shared" si="0"/>
        <v>1107.2180642999215</v>
      </c>
      <c r="O39" s="5">
        <f t="shared" si="1"/>
        <v>1230</v>
      </c>
      <c r="P39" s="5">
        <f t="shared" si="2"/>
        <v>-122.78193570007852</v>
      </c>
      <c r="Q39" s="5" t="s">
        <v>83</v>
      </c>
      <c r="R39" s="5" t="s">
        <v>56</v>
      </c>
      <c r="T39" s="5">
        <v>9</v>
      </c>
      <c r="U39" s="5">
        <v>1</v>
      </c>
      <c r="W39" s="5">
        <f t="shared" si="3"/>
        <v>0</v>
      </c>
    </row>
    <row r="40" spans="1:23" ht="15.75" customHeight="1" x14ac:dyDescent="0.25">
      <c r="A40" s="5" t="s">
        <v>158</v>
      </c>
      <c r="B40" s="6">
        <v>44939</v>
      </c>
      <c r="C40" s="5" t="s">
        <v>159</v>
      </c>
      <c r="D40" s="5" t="s">
        <v>138</v>
      </c>
      <c r="E40" s="5" t="s">
        <v>54</v>
      </c>
      <c r="F40" s="5" t="s">
        <v>55</v>
      </c>
      <c r="G40" s="5" t="s">
        <v>106</v>
      </c>
      <c r="H40" s="5" t="s">
        <v>98</v>
      </c>
      <c r="I40" s="5" t="s">
        <v>107</v>
      </c>
      <c r="J40" s="5">
        <v>584</v>
      </c>
      <c r="K40" s="7">
        <v>738.19974150075211</v>
      </c>
      <c r="L40" s="5">
        <v>5</v>
      </c>
      <c r="M40" s="5">
        <v>10</v>
      </c>
      <c r="N40" s="8">
        <f t="shared" si="0"/>
        <v>3321.8988367533848</v>
      </c>
      <c r="O40" s="5">
        <f t="shared" si="1"/>
        <v>2920</v>
      </c>
      <c r="P40" s="5">
        <f t="shared" si="2"/>
        <v>401.89883675338478</v>
      </c>
      <c r="Q40" s="5" t="s">
        <v>39</v>
      </c>
      <c r="R40" s="5" t="s">
        <v>32</v>
      </c>
      <c r="S40" s="6">
        <v>44948</v>
      </c>
      <c r="T40" s="5">
        <v>6</v>
      </c>
      <c r="U40" s="5">
        <v>4</v>
      </c>
      <c r="V40" s="5" t="s">
        <v>89</v>
      </c>
      <c r="W40" s="5">
        <f t="shared" si="3"/>
        <v>1</v>
      </c>
    </row>
    <row r="41" spans="1:23" ht="15.75" customHeight="1" x14ac:dyDescent="0.25">
      <c r="A41" s="5" t="s">
        <v>160</v>
      </c>
      <c r="B41" s="6">
        <v>44939</v>
      </c>
      <c r="C41" s="5" t="s">
        <v>161</v>
      </c>
      <c r="D41" s="5" t="s">
        <v>116</v>
      </c>
      <c r="E41" s="5" t="s">
        <v>60</v>
      </c>
      <c r="F41" s="5" t="s">
        <v>61</v>
      </c>
      <c r="G41" s="5" t="s">
        <v>70</v>
      </c>
      <c r="H41" s="5" t="s">
        <v>44</v>
      </c>
      <c r="I41" s="5" t="s">
        <v>71</v>
      </c>
      <c r="J41" s="5">
        <v>1534</v>
      </c>
      <c r="K41" s="7">
        <v>2104.4993283514114</v>
      </c>
      <c r="L41" s="5">
        <v>4</v>
      </c>
      <c r="M41" s="5">
        <v>5</v>
      </c>
      <c r="N41" s="8">
        <f t="shared" si="0"/>
        <v>7997.0974477353629</v>
      </c>
      <c r="O41" s="5">
        <f t="shared" si="1"/>
        <v>6136</v>
      </c>
      <c r="P41" s="5">
        <f t="shared" si="2"/>
        <v>1861.0974477353629</v>
      </c>
      <c r="Q41" s="5" t="s">
        <v>39</v>
      </c>
      <c r="R41" s="5" t="s">
        <v>32</v>
      </c>
      <c r="S41" s="6">
        <v>44948</v>
      </c>
      <c r="T41" s="5">
        <v>3</v>
      </c>
      <c r="U41" s="5">
        <v>4</v>
      </c>
      <c r="V41" s="5" t="s">
        <v>33</v>
      </c>
      <c r="W41" s="5">
        <f t="shared" si="3"/>
        <v>0</v>
      </c>
    </row>
    <row r="42" spans="1:23" ht="15.75" customHeight="1" x14ac:dyDescent="0.25">
      <c r="A42" s="5" t="s">
        <v>162</v>
      </c>
      <c r="B42" s="6">
        <v>44939</v>
      </c>
      <c r="C42" s="5" t="s">
        <v>163</v>
      </c>
      <c r="D42" s="5" t="s">
        <v>53</v>
      </c>
      <c r="E42" s="5" t="s">
        <v>69</v>
      </c>
      <c r="F42" s="5" t="s">
        <v>55</v>
      </c>
      <c r="G42" s="5" t="s">
        <v>81</v>
      </c>
      <c r="H42" s="5" t="s">
        <v>44</v>
      </c>
      <c r="I42" s="5" t="s">
        <v>82</v>
      </c>
      <c r="J42" s="5">
        <v>2769</v>
      </c>
      <c r="K42" s="7">
        <v>4256.3822361166458</v>
      </c>
      <c r="L42" s="5">
        <v>4</v>
      </c>
      <c r="M42" s="5">
        <v>0</v>
      </c>
      <c r="N42" s="8">
        <f t="shared" si="0"/>
        <v>17025.528944466583</v>
      </c>
      <c r="O42" s="5">
        <f t="shared" si="1"/>
        <v>11076</v>
      </c>
      <c r="P42" s="5">
        <f t="shared" si="2"/>
        <v>5949.5289444665832</v>
      </c>
      <c r="Q42" s="5" t="s">
        <v>46</v>
      </c>
      <c r="R42" s="5" t="s">
        <v>32</v>
      </c>
      <c r="S42" s="6">
        <v>44947</v>
      </c>
      <c r="T42" s="5">
        <v>1</v>
      </c>
      <c r="U42" s="5">
        <v>4</v>
      </c>
      <c r="V42" s="5" t="s">
        <v>33</v>
      </c>
      <c r="W42" s="5">
        <f t="shared" si="3"/>
        <v>0</v>
      </c>
    </row>
    <row r="43" spans="1:23" ht="15.75" customHeight="1" x14ac:dyDescent="0.25">
      <c r="A43" s="5" t="s">
        <v>164</v>
      </c>
      <c r="B43" s="6">
        <v>44939</v>
      </c>
      <c r="C43" s="5" t="s">
        <v>145</v>
      </c>
      <c r="D43" s="5" t="s">
        <v>105</v>
      </c>
      <c r="E43" s="5" t="s">
        <v>54</v>
      </c>
      <c r="F43" s="5" t="s">
        <v>55</v>
      </c>
      <c r="G43" s="5" t="s">
        <v>124</v>
      </c>
      <c r="H43" s="5" t="s">
        <v>76</v>
      </c>
      <c r="I43" s="5" t="s">
        <v>125</v>
      </c>
      <c r="J43" s="5">
        <v>69697</v>
      </c>
      <c r="K43" s="7">
        <v>97625.535727349154</v>
      </c>
      <c r="L43" s="5">
        <v>2</v>
      </c>
      <c r="M43" s="5">
        <v>10</v>
      </c>
      <c r="N43" s="8">
        <f t="shared" si="0"/>
        <v>175725.96430922847</v>
      </c>
      <c r="O43" s="5">
        <f t="shared" si="1"/>
        <v>139394</v>
      </c>
      <c r="P43" s="5">
        <f t="shared" si="2"/>
        <v>36331.964309228468</v>
      </c>
      <c r="Q43" s="5" t="s">
        <v>46</v>
      </c>
      <c r="R43" s="5" t="s">
        <v>32</v>
      </c>
      <c r="S43" s="6">
        <v>44946</v>
      </c>
      <c r="T43" s="5">
        <v>4</v>
      </c>
      <c r="U43" s="5">
        <v>4</v>
      </c>
      <c r="V43" s="5" t="s">
        <v>33</v>
      </c>
      <c r="W43" s="5">
        <f t="shared" si="3"/>
        <v>0</v>
      </c>
    </row>
    <row r="44" spans="1:23" ht="15.75" customHeight="1" x14ac:dyDescent="0.25">
      <c r="A44" s="5" t="s">
        <v>165</v>
      </c>
      <c r="B44" s="6">
        <v>44940</v>
      </c>
      <c r="C44" s="5" t="s">
        <v>166</v>
      </c>
      <c r="D44" s="5" t="s">
        <v>42</v>
      </c>
      <c r="E44" s="5" t="s">
        <v>80</v>
      </c>
      <c r="F44" s="5" t="s">
        <v>80</v>
      </c>
      <c r="G44" s="5" t="s">
        <v>43</v>
      </c>
      <c r="H44" s="5" t="s">
        <v>44</v>
      </c>
      <c r="I44" s="5" t="s">
        <v>45</v>
      </c>
      <c r="J44" s="5">
        <v>748</v>
      </c>
      <c r="K44" s="7">
        <v>829.43945020311901</v>
      </c>
      <c r="L44" s="5">
        <v>2</v>
      </c>
      <c r="M44" s="5">
        <v>5</v>
      </c>
      <c r="N44" s="8">
        <f t="shared" si="0"/>
        <v>1575.9349553859261</v>
      </c>
      <c r="O44" s="5">
        <f t="shared" si="1"/>
        <v>1496</v>
      </c>
      <c r="P44" s="5">
        <f t="shared" si="2"/>
        <v>79.93495538592606</v>
      </c>
      <c r="Q44" s="5" t="s">
        <v>39</v>
      </c>
      <c r="R44" s="5" t="s">
        <v>32</v>
      </c>
      <c r="S44" s="6">
        <v>44945</v>
      </c>
      <c r="T44" s="5">
        <v>1</v>
      </c>
      <c r="U44" s="5">
        <v>4</v>
      </c>
      <c r="V44" s="5" t="s">
        <v>33</v>
      </c>
      <c r="W44" s="5">
        <f t="shared" si="3"/>
        <v>0</v>
      </c>
    </row>
    <row r="45" spans="1:23" ht="15.75" customHeight="1" x14ac:dyDescent="0.25">
      <c r="A45" s="5" t="s">
        <v>167</v>
      </c>
      <c r="B45" s="6">
        <v>44940</v>
      </c>
      <c r="C45" s="5" t="s">
        <v>168</v>
      </c>
      <c r="D45" s="5" t="s">
        <v>116</v>
      </c>
      <c r="E45" s="5" t="s">
        <v>60</v>
      </c>
      <c r="F45" s="5" t="s">
        <v>61</v>
      </c>
      <c r="G45" s="5" t="s">
        <v>106</v>
      </c>
      <c r="H45" s="5" t="s">
        <v>98</v>
      </c>
      <c r="I45" s="5" t="s">
        <v>107</v>
      </c>
      <c r="J45" s="5">
        <v>611</v>
      </c>
      <c r="K45" s="7">
        <v>666.75911174101202</v>
      </c>
      <c r="L45" s="5">
        <v>5</v>
      </c>
      <c r="M45" s="5">
        <v>0</v>
      </c>
      <c r="N45" s="8">
        <f t="shared" si="0"/>
        <v>3333.7955587050601</v>
      </c>
      <c r="O45" s="5">
        <f t="shared" si="1"/>
        <v>3055</v>
      </c>
      <c r="P45" s="5">
        <f t="shared" si="2"/>
        <v>278.7955587050601</v>
      </c>
      <c r="Q45" s="5" t="s">
        <v>83</v>
      </c>
      <c r="R45" s="5" t="s">
        <v>32</v>
      </c>
      <c r="S45" s="6">
        <v>44947</v>
      </c>
      <c r="T45" s="5">
        <v>4</v>
      </c>
      <c r="U45" s="5">
        <v>4</v>
      </c>
      <c r="V45" s="5" t="s">
        <v>33</v>
      </c>
      <c r="W45" s="5">
        <f t="shared" si="3"/>
        <v>0</v>
      </c>
    </row>
    <row r="46" spans="1:23" ht="15.75" customHeight="1" x14ac:dyDescent="0.25">
      <c r="A46" s="5" t="s">
        <v>169</v>
      </c>
      <c r="B46" s="6">
        <v>44941</v>
      </c>
      <c r="C46" s="5" t="s">
        <v>170</v>
      </c>
      <c r="D46" s="5" t="s">
        <v>86</v>
      </c>
      <c r="E46" s="5" t="s">
        <v>69</v>
      </c>
      <c r="F46" s="5" t="s">
        <v>55</v>
      </c>
      <c r="G46" s="5" t="s">
        <v>70</v>
      </c>
      <c r="H46" s="5" t="s">
        <v>44</v>
      </c>
      <c r="I46" s="5" t="s">
        <v>71</v>
      </c>
      <c r="J46" s="5">
        <v>1131</v>
      </c>
      <c r="K46" s="7">
        <v>1489.0926375284837</v>
      </c>
      <c r="L46" s="5">
        <v>1</v>
      </c>
      <c r="M46" s="5">
        <v>10</v>
      </c>
      <c r="N46" s="8">
        <f t="shared" si="0"/>
        <v>1340.1833737756353</v>
      </c>
      <c r="O46" s="5">
        <f t="shared" si="1"/>
        <v>1131</v>
      </c>
      <c r="P46" s="5">
        <f t="shared" si="2"/>
        <v>209.18337377563535</v>
      </c>
      <c r="Q46" s="5" t="s">
        <v>46</v>
      </c>
      <c r="R46" s="5" t="s">
        <v>56</v>
      </c>
      <c r="T46" s="5">
        <v>8</v>
      </c>
      <c r="U46" s="5">
        <v>4</v>
      </c>
      <c r="W46" s="5">
        <f t="shared" si="3"/>
        <v>0</v>
      </c>
    </row>
    <row r="47" spans="1:23" ht="15.75" customHeight="1" x14ac:dyDescent="0.25">
      <c r="A47" s="5" t="s">
        <v>171</v>
      </c>
      <c r="B47" s="6">
        <v>44941</v>
      </c>
      <c r="C47" s="5" t="s">
        <v>172</v>
      </c>
      <c r="D47" s="5" t="s">
        <v>64</v>
      </c>
      <c r="E47" s="5" t="s">
        <v>60</v>
      </c>
      <c r="F47" s="5" t="s">
        <v>61</v>
      </c>
      <c r="G47" s="5" t="s">
        <v>92</v>
      </c>
      <c r="H47" s="5" t="s">
        <v>44</v>
      </c>
      <c r="I47" s="5" t="s">
        <v>45</v>
      </c>
      <c r="J47" s="5">
        <v>1349</v>
      </c>
      <c r="K47" s="7">
        <v>1425.864993049375</v>
      </c>
      <c r="L47" s="5">
        <v>4</v>
      </c>
      <c r="M47" s="5">
        <v>0</v>
      </c>
      <c r="N47" s="8">
        <f t="shared" si="0"/>
        <v>5703.4599721975001</v>
      </c>
      <c r="O47" s="5">
        <f t="shared" si="1"/>
        <v>5396</v>
      </c>
      <c r="P47" s="5">
        <f t="shared" si="2"/>
        <v>307.45997219750006</v>
      </c>
      <c r="Q47" s="5" t="s">
        <v>31</v>
      </c>
      <c r="R47" s="5" t="s">
        <v>56</v>
      </c>
      <c r="T47" s="5">
        <v>8</v>
      </c>
      <c r="U47" s="5">
        <v>2</v>
      </c>
      <c r="W47" s="5">
        <f t="shared" si="3"/>
        <v>0</v>
      </c>
    </row>
    <row r="48" spans="1:23" ht="15.75" customHeight="1" x14ac:dyDescent="0.25">
      <c r="A48" s="5" t="s">
        <v>173</v>
      </c>
      <c r="B48" s="6">
        <v>44941</v>
      </c>
      <c r="C48" s="5" t="s">
        <v>174</v>
      </c>
      <c r="D48" s="5" t="s">
        <v>64</v>
      </c>
      <c r="E48" s="5" t="s">
        <v>69</v>
      </c>
      <c r="F48" s="5" t="s">
        <v>55</v>
      </c>
      <c r="G48" s="5" t="s">
        <v>70</v>
      </c>
      <c r="H48" s="5" t="s">
        <v>44</v>
      </c>
      <c r="I48" s="5" t="s">
        <v>71</v>
      </c>
      <c r="J48" s="5">
        <v>1908</v>
      </c>
      <c r="K48" s="7">
        <v>3032.0515087782724</v>
      </c>
      <c r="L48" s="5">
        <v>3</v>
      </c>
      <c r="M48" s="5">
        <v>20</v>
      </c>
      <c r="N48" s="8">
        <f t="shared" si="0"/>
        <v>7276.9236210678537</v>
      </c>
      <c r="O48" s="5">
        <f t="shared" si="1"/>
        <v>5724</v>
      </c>
      <c r="P48" s="5">
        <f t="shared" si="2"/>
        <v>1552.9236210678537</v>
      </c>
      <c r="Q48" s="5" t="s">
        <v>31</v>
      </c>
      <c r="R48" s="5" t="s">
        <v>56</v>
      </c>
      <c r="T48" s="5">
        <v>9</v>
      </c>
      <c r="U48" s="5">
        <v>1</v>
      </c>
      <c r="W48" s="5">
        <f t="shared" si="3"/>
        <v>0</v>
      </c>
    </row>
    <row r="49" spans="1:23" ht="15.75" customHeight="1" x14ac:dyDescent="0.25">
      <c r="A49" s="5" t="s">
        <v>175</v>
      </c>
      <c r="B49" s="6">
        <v>44941</v>
      </c>
      <c r="C49" s="5" t="s">
        <v>176</v>
      </c>
      <c r="D49" s="5" t="s">
        <v>105</v>
      </c>
      <c r="E49" s="5" t="s">
        <v>69</v>
      </c>
      <c r="F49" s="5" t="s">
        <v>55</v>
      </c>
      <c r="G49" s="5" t="s">
        <v>75</v>
      </c>
      <c r="H49" s="5" t="s">
        <v>76</v>
      </c>
      <c r="I49" s="5" t="s">
        <v>77</v>
      </c>
      <c r="J49" s="5">
        <v>1577</v>
      </c>
      <c r="K49" s="7">
        <v>2134.9895900888196</v>
      </c>
      <c r="L49" s="5">
        <v>1</v>
      </c>
      <c r="M49" s="5">
        <v>20</v>
      </c>
      <c r="N49" s="8">
        <f t="shared" si="0"/>
        <v>1707.9916720710557</v>
      </c>
      <c r="O49" s="5">
        <f t="shared" si="1"/>
        <v>1577</v>
      </c>
      <c r="P49" s="5">
        <f t="shared" si="2"/>
        <v>130.99167207105575</v>
      </c>
      <c r="Q49" s="5" t="s">
        <v>39</v>
      </c>
      <c r="R49" s="5" t="s">
        <v>32</v>
      </c>
      <c r="S49" s="6">
        <v>44948</v>
      </c>
      <c r="T49" s="5">
        <v>1</v>
      </c>
      <c r="U49" s="5">
        <v>5</v>
      </c>
      <c r="V49" s="5" t="s">
        <v>33</v>
      </c>
      <c r="W49" s="5">
        <f t="shared" si="3"/>
        <v>0</v>
      </c>
    </row>
    <row r="50" spans="1:23" ht="15.75" customHeight="1" x14ac:dyDescent="0.25">
      <c r="A50" s="5" t="s">
        <v>177</v>
      </c>
      <c r="B50" s="6">
        <v>44941</v>
      </c>
      <c r="C50" s="5" t="s">
        <v>178</v>
      </c>
      <c r="D50" s="5" t="s">
        <v>25</v>
      </c>
      <c r="E50" s="5" t="s">
        <v>37</v>
      </c>
      <c r="F50" s="5" t="s">
        <v>38</v>
      </c>
      <c r="G50" s="5" t="s">
        <v>28</v>
      </c>
      <c r="H50" s="5" t="s">
        <v>29</v>
      </c>
      <c r="I50" s="5" t="s">
        <v>30</v>
      </c>
      <c r="J50" s="5">
        <v>6701</v>
      </c>
      <c r="K50" s="7">
        <v>7042.2804820995379</v>
      </c>
      <c r="L50" s="5">
        <v>2</v>
      </c>
      <c r="M50" s="5">
        <v>10</v>
      </c>
      <c r="N50" s="8">
        <f t="shared" si="0"/>
        <v>12676.104867779168</v>
      </c>
      <c r="O50" s="5">
        <f t="shared" si="1"/>
        <v>13402</v>
      </c>
      <c r="P50" s="5">
        <f t="shared" si="2"/>
        <v>-725.89513222083224</v>
      </c>
      <c r="Q50" s="5" t="s">
        <v>31</v>
      </c>
      <c r="R50" s="5" t="s">
        <v>56</v>
      </c>
      <c r="T50" s="5">
        <v>10</v>
      </c>
      <c r="U50" s="5">
        <v>1</v>
      </c>
      <c r="W50" s="5">
        <f t="shared" si="3"/>
        <v>0</v>
      </c>
    </row>
    <row r="51" spans="1:23" ht="15.75" customHeight="1" x14ac:dyDescent="0.25">
      <c r="A51" s="5" t="s">
        <v>179</v>
      </c>
      <c r="B51" s="6">
        <v>44942</v>
      </c>
      <c r="C51" s="5" t="s">
        <v>180</v>
      </c>
      <c r="D51" s="5" t="s">
        <v>181</v>
      </c>
      <c r="E51" s="5" t="s">
        <v>49</v>
      </c>
      <c r="F51" s="5" t="s">
        <v>50</v>
      </c>
      <c r="G51" s="5" t="s">
        <v>43</v>
      </c>
      <c r="H51" s="5" t="s">
        <v>44</v>
      </c>
      <c r="I51" s="5" t="s">
        <v>45</v>
      </c>
      <c r="J51" s="5">
        <v>381</v>
      </c>
      <c r="K51" s="7">
        <v>671.32269934030285</v>
      </c>
      <c r="L51" s="5">
        <v>1</v>
      </c>
      <c r="M51" s="5">
        <v>15</v>
      </c>
      <c r="N51" s="8">
        <f t="shared" si="0"/>
        <v>570.62429443925737</v>
      </c>
      <c r="O51" s="5">
        <f t="shared" si="1"/>
        <v>381</v>
      </c>
      <c r="P51" s="5">
        <f t="shared" si="2"/>
        <v>189.62429443925737</v>
      </c>
      <c r="Q51" s="5" t="s">
        <v>39</v>
      </c>
      <c r="R51" s="5" t="s">
        <v>56</v>
      </c>
      <c r="T51" s="5">
        <v>10</v>
      </c>
      <c r="U51" s="5">
        <v>1</v>
      </c>
      <c r="W51" s="5">
        <f t="shared" si="3"/>
        <v>0</v>
      </c>
    </row>
    <row r="52" spans="1:23" ht="15.75" customHeight="1" x14ac:dyDescent="0.25">
      <c r="A52" s="5" t="s">
        <v>182</v>
      </c>
      <c r="B52" s="6">
        <v>44942</v>
      </c>
      <c r="C52" s="5" t="s">
        <v>183</v>
      </c>
      <c r="D52" s="5" t="s">
        <v>184</v>
      </c>
      <c r="E52" s="5" t="s">
        <v>60</v>
      </c>
      <c r="F52" s="5" t="s">
        <v>61</v>
      </c>
      <c r="G52" s="5" t="s">
        <v>97</v>
      </c>
      <c r="H52" s="5" t="s">
        <v>98</v>
      </c>
      <c r="I52" s="5" t="s">
        <v>99</v>
      </c>
      <c r="J52" s="5">
        <v>509</v>
      </c>
      <c r="K52" s="7">
        <v>797.77915868044965</v>
      </c>
      <c r="L52" s="5">
        <v>5</v>
      </c>
      <c r="M52" s="5">
        <v>15</v>
      </c>
      <c r="N52" s="8">
        <f t="shared" si="0"/>
        <v>3390.5614243919108</v>
      </c>
      <c r="O52" s="5">
        <f t="shared" si="1"/>
        <v>2545</v>
      </c>
      <c r="P52" s="5">
        <f t="shared" si="2"/>
        <v>845.5614243919108</v>
      </c>
      <c r="Q52" s="5" t="s">
        <v>31</v>
      </c>
      <c r="R52" s="5" t="s">
        <v>56</v>
      </c>
      <c r="T52" s="5">
        <v>7</v>
      </c>
      <c r="U52" s="5">
        <v>2</v>
      </c>
      <c r="W52" s="5">
        <f t="shared" si="3"/>
        <v>0</v>
      </c>
    </row>
    <row r="53" spans="1:23" ht="15.75" customHeight="1" x14ac:dyDescent="0.25">
      <c r="A53" s="5" t="s">
        <v>185</v>
      </c>
      <c r="B53" s="6">
        <v>44943</v>
      </c>
      <c r="C53" s="5" t="s">
        <v>186</v>
      </c>
      <c r="D53" s="5" t="s">
        <v>116</v>
      </c>
      <c r="E53" s="5" t="s">
        <v>80</v>
      </c>
      <c r="F53" s="5" t="s">
        <v>80</v>
      </c>
      <c r="G53" s="5" t="s">
        <v>119</v>
      </c>
      <c r="H53" s="5" t="s">
        <v>76</v>
      </c>
      <c r="I53" s="5" t="s">
        <v>120</v>
      </c>
      <c r="J53" s="5">
        <v>68759</v>
      </c>
      <c r="K53" s="7">
        <v>75969.189526455986</v>
      </c>
      <c r="L53" s="5">
        <v>3</v>
      </c>
      <c r="M53" s="5">
        <v>20</v>
      </c>
      <c r="N53" s="8">
        <f t="shared" si="0"/>
        <v>182326.05486349436</v>
      </c>
      <c r="O53" s="5">
        <f t="shared" si="1"/>
        <v>206277</v>
      </c>
      <c r="P53" s="5">
        <f t="shared" si="2"/>
        <v>-23950.945136505645</v>
      </c>
      <c r="Q53" s="5" t="s">
        <v>31</v>
      </c>
      <c r="R53" s="5" t="s">
        <v>32</v>
      </c>
      <c r="S53" s="6">
        <v>44948</v>
      </c>
      <c r="T53" s="5">
        <v>1</v>
      </c>
      <c r="U53" s="5">
        <v>4</v>
      </c>
      <c r="V53" s="5" t="s">
        <v>33</v>
      </c>
      <c r="W53" s="5">
        <f t="shared" si="3"/>
        <v>0</v>
      </c>
    </row>
    <row r="54" spans="1:23" ht="15.75" customHeight="1" x14ac:dyDescent="0.25">
      <c r="A54" s="5" t="s">
        <v>187</v>
      </c>
      <c r="B54" s="6">
        <v>44943</v>
      </c>
      <c r="C54" s="5" t="s">
        <v>180</v>
      </c>
      <c r="D54" s="5" t="s">
        <v>188</v>
      </c>
      <c r="E54" s="5" t="s">
        <v>60</v>
      </c>
      <c r="F54" s="5" t="s">
        <v>61</v>
      </c>
      <c r="G54" s="5" t="s">
        <v>70</v>
      </c>
      <c r="H54" s="5" t="s">
        <v>44</v>
      </c>
      <c r="I54" s="5" t="s">
        <v>71</v>
      </c>
      <c r="J54" s="5">
        <v>1397</v>
      </c>
      <c r="K54" s="7">
        <v>2018.89476818763</v>
      </c>
      <c r="L54" s="5">
        <v>4</v>
      </c>
      <c r="M54" s="5">
        <v>20</v>
      </c>
      <c r="N54" s="8">
        <f t="shared" si="0"/>
        <v>6460.463258200416</v>
      </c>
      <c r="O54" s="5">
        <f t="shared" si="1"/>
        <v>5588</v>
      </c>
      <c r="P54" s="5">
        <f t="shared" si="2"/>
        <v>872.46325820041602</v>
      </c>
      <c r="Q54" s="5" t="s">
        <v>46</v>
      </c>
      <c r="R54" s="5" t="s">
        <v>32</v>
      </c>
      <c r="S54" s="6">
        <v>44949</v>
      </c>
      <c r="T54" s="5">
        <v>3</v>
      </c>
      <c r="U54" s="5">
        <v>4</v>
      </c>
      <c r="V54" s="5" t="s">
        <v>33</v>
      </c>
      <c r="W54" s="5">
        <f t="shared" si="3"/>
        <v>0</v>
      </c>
    </row>
    <row r="55" spans="1:23" ht="15.75" customHeight="1" x14ac:dyDescent="0.25">
      <c r="A55" s="5" t="s">
        <v>189</v>
      </c>
      <c r="B55" s="6">
        <v>44943</v>
      </c>
      <c r="C55" s="5" t="s">
        <v>190</v>
      </c>
      <c r="D55" s="5" t="s">
        <v>105</v>
      </c>
      <c r="E55" s="5" t="s">
        <v>37</v>
      </c>
      <c r="F55" s="5" t="s">
        <v>38</v>
      </c>
      <c r="G55" s="5" t="s">
        <v>92</v>
      </c>
      <c r="H55" s="5" t="s">
        <v>44</v>
      </c>
      <c r="I55" s="5" t="s">
        <v>45</v>
      </c>
      <c r="J55" s="5">
        <v>1183</v>
      </c>
      <c r="K55" s="7">
        <v>1630.4628106193684</v>
      </c>
      <c r="L55" s="5">
        <v>1</v>
      </c>
      <c r="M55" s="5">
        <v>5</v>
      </c>
      <c r="N55" s="8">
        <f t="shared" si="0"/>
        <v>1548.9396700883999</v>
      </c>
      <c r="O55" s="5">
        <f t="shared" si="1"/>
        <v>1183</v>
      </c>
      <c r="P55" s="5">
        <f t="shared" si="2"/>
        <v>365.93967008839991</v>
      </c>
      <c r="Q55" s="5" t="s">
        <v>46</v>
      </c>
      <c r="R55" s="5" t="s">
        <v>32</v>
      </c>
      <c r="S55" s="6">
        <v>44953</v>
      </c>
      <c r="T55" s="5">
        <v>7</v>
      </c>
      <c r="U55" s="5">
        <v>4</v>
      </c>
      <c r="V55" s="5" t="s">
        <v>89</v>
      </c>
      <c r="W55" s="5">
        <f t="shared" si="3"/>
        <v>1</v>
      </c>
    </row>
    <row r="56" spans="1:23" ht="15.75" customHeight="1" x14ac:dyDescent="0.25">
      <c r="A56" s="5" t="s">
        <v>191</v>
      </c>
      <c r="B56" s="6">
        <v>44943</v>
      </c>
      <c r="C56" s="5" t="s">
        <v>161</v>
      </c>
      <c r="D56" s="5" t="s">
        <v>138</v>
      </c>
      <c r="E56" s="5" t="s">
        <v>49</v>
      </c>
      <c r="F56" s="5" t="s">
        <v>50</v>
      </c>
      <c r="G56" s="5" t="s">
        <v>92</v>
      </c>
      <c r="H56" s="5" t="s">
        <v>44</v>
      </c>
      <c r="I56" s="5" t="s">
        <v>45</v>
      </c>
      <c r="J56" s="5">
        <v>1015</v>
      </c>
      <c r="K56" s="7">
        <v>1627.4573622547507</v>
      </c>
      <c r="L56" s="5">
        <v>3</v>
      </c>
      <c r="M56" s="5">
        <v>0</v>
      </c>
      <c r="N56" s="8">
        <f t="shared" si="0"/>
        <v>4882.3720867642523</v>
      </c>
      <c r="O56" s="5">
        <f t="shared" si="1"/>
        <v>3045</v>
      </c>
      <c r="P56" s="5">
        <f t="shared" si="2"/>
        <v>1837.3720867642523</v>
      </c>
      <c r="Q56" s="5" t="s">
        <v>46</v>
      </c>
      <c r="R56" s="5" t="s">
        <v>32</v>
      </c>
      <c r="S56" s="6">
        <v>44953</v>
      </c>
      <c r="T56" s="5">
        <v>5</v>
      </c>
      <c r="U56" s="5">
        <v>3</v>
      </c>
      <c r="V56" s="5" t="s">
        <v>33</v>
      </c>
      <c r="W56" s="5">
        <f t="shared" si="3"/>
        <v>0</v>
      </c>
    </row>
    <row r="57" spans="1:23" ht="15.75" customHeight="1" x14ac:dyDescent="0.25">
      <c r="A57" s="5" t="s">
        <v>192</v>
      </c>
      <c r="B57" s="6">
        <v>44943</v>
      </c>
      <c r="C57" s="5" t="s">
        <v>193</v>
      </c>
      <c r="D57" s="5" t="s">
        <v>150</v>
      </c>
      <c r="E57" s="5" t="s">
        <v>26</v>
      </c>
      <c r="F57" s="5" t="s">
        <v>27</v>
      </c>
      <c r="G57" s="5" t="s">
        <v>119</v>
      </c>
      <c r="H57" s="5" t="s">
        <v>76</v>
      </c>
      <c r="I57" s="5" t="s">
        <v>120</v>
      </c>
      <c r="J57" s="5">
        <v>44360</v>
      </c>
      <c r="K57" s="7">
        <v>58318.186287860764</v>
      </c>
      <c r="L57" s="5">
        <v>5</v>
      </c>
      <c r="M57" s="5">
        <v>15</v>
      </c>
      <c r="N57" s="8">
        <f t="shared" si="0"/>
        <v>247852.29172340821</v>
      </c>
      <c r="O57" s="5">
        <f t="shared" si="1"/>
        <v>221800</v>
      </c>
      <c r="P57" s="5">
        <f t="shared" si="2"/>
        <v>26052.291723408212</v>
      </c>
      <c r="Q57" s="5" t="s">
        <v>46</v>
      </c>
      <c r="R57" s="5" t="s">
        <v>56</v>
      </c>
      <c r="T57" s="5">
        <v>9</v>
      </c>
      <c r="U57" s="5">
        <v>1</v>
      </c>
      <c r="W57" s="5">
        <f t="shared" si="3"/>
        <v>0</v>
      </c>
    </row>
    <row r="58" spans="1:23" ht="15.75" customHeight="1" x14ac:dyDescent="0.25">
      <c r="A58" s="5" t="s">
        <v>194</v>
      </c>
      <c r="B58" s="6">
        <v>44944</v>
      </c>
      <c r="C58" s="5" t="s">
        <v>195</v>
      </c>
      <c r="D58" s="5" t="s">
        <v>146</v>
      </c>
      <c r="E58" s="5" t="s">
        <v>54</v>
      </c>
      <c r="F58" s="5" t="s">
        <v>55</v>
      </c>
      <c r="G58" s="5" t="s">
        <v>92</v>
      </c>
      <c r="H58" s="5" t="s">
        <v>44</v>
      </c>
      <c r="I58" s="5" t="s">
        <v>45</v>
      </c>
      <c r="J58" s="5">
        <v>994</v>
      </c>
      <c r="K58" s="7">
        <v>1054.032112616376</v>
      </c>
      <c r="L58" s="5">
        <v>2</v>
      </c>
      <c r="M58" s="5">
        <v>20</v>
      </c>
      <c r="N58" s="8">
        <f t="shared" si="0"/>
        <v>1686.4513801862017</v>
      </c>
      <c r="O58" s="5">
        <f t="shared" si="1"/>
        <v>1988</v>
      </c>
      <c r="P58" s="5">
        <f t="shared" si="2"/>
        <v>-301.54861981379827</v>
      </c>
      <c r="Q58" s="5" t="s">
        <v>31</v>
      </c>
      <c r="R58" s="5" t="s">
        <v>32</v>
      </c>
      <c r="S58" s="6">
        <v>44952</v>
      </c>
      <c r="T58" s="5">
        <v>5</v>
      </c>
      <c r="U58" s="5">
        <v>3</v>
      </c>
      <c r="V58" s="5" t="s">
        <v>33</v>
      </c>
      <c r="W58" s="5">
        <f t="shared" si="3"/>
        <v>0</v>
      </c>
    </row>
    <row r="59" spans="1:23" ht="15.75" customHeight="1" x14ac:dyDescent="0.25">
      <c r="A59" s="5" t="s">
        <v>196</v>
      </c>
      <c r="B59" s="6">
        <v>44944</v>
      </c>
      <c r="C59" s="5" t="s">
        <v>197</v>
      </c>
      <c r="D59" s="5" t="s">
        <v>25</v>
      </c>
      <c r="E59" s="5" t="s">
        <v>112</v>
      </c>
      <c r="F59" s="5" t="s">
        <v>113</v>
      </c>
      <c r="G59" s="5" t="s">
        <v>81</v>
      </c>
      <c r="H59" s="5" t="s">
        <v>44</v>
      </c>
      <c r="I59" s="5" t="s">
        <v>82</v>
      </c>
      <c r="J59" s="5">
        <v>2678</v>
      </c>
      <c r="K59" s="7">
        <v>3729.9193205708784</v>
      </c>
      <c r="L59" s="5">
        <v>2</v>
      </c>
      <c r="M59" s="5">
        <v>10</v>
      </c>
      <c r="N59" s="8">
        <f t="shared" si="0"/>
        <v>6713.8547770275809</v>
      </c>
      <c r="O59" s="5">
        <f t="shared" si="1"/>
        <v>5356</v>
      </c>
      <c r="P59" s="5">
        <f t="shared" si="2"/>
        <v>1357.8547770275809</v>
      </c>
      <c r="Q59" s="5" t="s">
        <v>83</v>
      </c>
      <c r="R59" s="5" t="s">
        <v>32</v>
      </c>
      <c r="S59" s="6">
        <v>44953</v>
      </c>
      <c r="T59" s="5">
        <v>5</v>
      </c>
      <c r="U59" s="5">
        <v>4</v>
      </c>
      <c r="V59" s="5" t="s">
        <v>33</v>
      </c>
      <c r="W59" s="5">
        <f t="shared" si="3"/>
        <v>0</v>
      </c>
    </row>
    <row r="60" spans="1:23" ht="15.75" customHeight="1" x14ac:dyDescent="0.25">
      <c r="A60" s="5" t="s">
        <v>198</v>
      </c>
      <c r="B60" s="6">
        <v>44944</v>
      </c>
      <c r="C60" s="5" t="s">
        <v>199</v>
      </c>
      <c r="D60" s="5" t="s">
        <v>74</v>
      </c>
      <c r="E60" s="5" t="s">
        <v>80</v>
      </c>
      <c r="F60" s="5" t="s">
        <v>80</v>
      </c>
      <c r="G60" s="5" t="s">
        <v>106</v>
      </c>
      <c r="H60" s="5" t="s">
        <v>98</v>
      </c>
      <c r="I60" s="5" t="s">
        <v>107</v>
      </c>
      <c r="J60" s="5">
        <v>734</v>
      </c>
      <c r="K60" s="7">
        <v>1067.7387482560935</v>
      </c>
      <c r="L60" s="5">
        <v>2</v>
      </c>
      <c r="M60" s="5">
        <v>20</v>
      </c>
      <c r="N60" s="8">
        <f t="shared" si="0"/>
        <v>1708.3819972097497</v>
      </c>
      <c r="O60" s="5">
        <f t="shared" si="1"/>
        <v>1468</v>
      </c>
      <c r="P60" s="5">
        <f t="shared" si="2"/>
        <v>240.38199720974967</v>
      </c>
      <c r="Q60" s="5" t="s">
        <v>31</v>
      </c>
      <c r="R60" s="5" t="s">
        <v>32</v>
      </c>
      <c r="S60" s="6">
        <v>44955</v>
      </c>
      <c r="T60" s="5">
        <v>6</v>
      </c>
      <c r="U60" s="5">
        <v>3</v>
      </c>
      <c r="V60" s="5" t="s">
        <v>33</v>
      </c>
      <c r="W60" s="5">
        <f t="shared" si="3"/>
        <v>0</v>
      </c>
    </row>
    <row r="61" spans="1:23" ht="15.75" customHeight="1" x14ac:dyDescent="0.25">
      <c r="A61" s="5" t="s">
        <v>200</v>
      </c>
      <c r="B61" s="6">
        <v>44945</v>
      </c>
      <c r="C61" s="5" t="s">
        <v>201</v>
      </c>
      <c r="D61" s="5" t="s">
        <v>59</v>
      </c>
      <c r="E61" s="5" t="s">
        <v>49</v>
      </c>
      <c r="F61" s="5" t="s">
        <v>50</v>
      </c>
      <c r="G61" s="5" t="s">
        <v>81</v>
      </c>
      <c r="H61" s="5" t="s">
        <v>44</v>
      </c>
      <c r="I61" s="5" t="s">
        <v>82</v>
      </c>
      <c r="J61" s="5">
        <v>2198</v>
      </c>
      <c r="K61" s="7">
        <v>3431.8375262088502</v>
      </c>
      <c r="L61" s="5">
        <v>5</v>
      </c>
      <c r="M61" s="5">
        <v>10</v>
      </c>
      <c r="N61" s="8">
        <f t="shared" si="0"/>
        <v>15443.268867939829</v>
      </c>
      <c r="O61" s="5">
        <f t="shared" si="1"/>
        <v>10990</v>
      </c>
      <c r="P61" s="5">
        <f t="shared" si="2"/>
        <v>4453.2688679398289</v>
      </c>
      <c r="Q61" s="5" t="s">
        <v>46</v>
      </c>
      <c r="R61" s="5" t="s">
        <v>32</v>
      </c>
      <c r="S61" s="6">
        <v>44949</v>
      </c>
      <c r="T61" s="5">
        <v>1</v>
      </c>
      <c r="U61" s="5">
        <v>4</v>
      </c>
      <c r="V61" s="5" t="s">
        <v>33</v>
      </c>
      <c r="W61" s="5">
        <f t="shared" si="3"/>
        <v>0</v>
      </c>
    </row>
    <row r="62" spans="1:23" ht="15.75" customHeight="1" x14ac:dyDescent="0.25">
      <c r="A62" s="5" t="s">
        <v>202</v>
      </c>
      <c r="B62" s="6">
        <v>44945</v>
      </c>
      <c r="C62" s="5" t="s">
        <v>203</v>
      </c>
      <c r="D62" s="5" t="s">
        <v>64</v>
      </c>
      <c r="E62" s="5" t="s">
        <v>26</v>
      </c>
      <c r="F62" s="5" t="s">
        <v>27</v>
      </c>
      <c r="G62" s="5" t="s">
        <v>81</v>
      </c>
      <c r="H62" s="5" t="s">
        <v>44</v>
      </c>
      <c r="I62" s="5" t="s">
        <v>82</v>
      </c>
      <c r="J62" s="5">
        <v>1657</v>
      </c>
      <c r="K62" s="7">
        <v>1901.8339633670835</v>
      </c>
      <c r="L62" s="5">
        <v>1</v>
      </c>
      <c r="M62" s="5">
        <v>15</v>
      </c>
      <c r="N62" s="8">
        <f t="shared" si="0"/>
        <v>1616.558868862021</v>
      </c>
      <c r="O62" s="5">
        <f t="shared" si="1"/>
        <v>1657</v>
      </c>
      <c r="P62" s="5">
        <f t="shared" si="2"/>
        <v>-40.441131137979028</v>
      </c>
      <c r="Q62" s="5" t="s">
        <v>83</v>
      </c>
      <c r="R62" s="5" t="s">
        <v>56</v>
      </c>
      <c r="T62" s="5">
        <v>9</v>
      </c>
      <c r="U62" s="5">
        <v>1</v>
      </c>
      <c r="W62" s="5">
        <f t="shared" si="3"/>
        <v>0</v>
      </c>
    </row>
    <row r="63" spans="1:23" ht="15.75" customHeight="1" x14ac:dyDescent="0.25">
      <c r="A63" s="5" t="s">
        <v>204</v>
      </c>
      <c r="B63" s="6">
        <v>44945</v>
      </c>
      <c r="C63" s="5" t="s">
        <v>205</v>
      </c>
      <c r="D63" s="5" t="s">
        <v>102</v>
      </c>
      <c r="E63" s="5" t="s">
        <v>112</v>
      </c>
      <c r="F63" s="5" t="s">
        <v>113</v>
      </c>
      <c r="G63" s="5" t="s">
        <v>139</v>
      </c>
      <c r="H63" s="5" t="s">
        <v>76</v>
      </c>
      <c r="I63" s="5" t="s">
        <v>140</v>
      </c>
      <c r="J63" s="5">
        <v>34258</v>
      </c>
      <c r="K63" s="7">
        <v>35215.841598169543</v>
      </c>
      <c r="L63" s="5">
        <v>1</v>
      </c>
      <c r="M63" s="5">
        <v>15</v>
      </c>
      <c r="N63" s="8">
        <f t="shared" si="0"/>
        <v>29933.465358444111</v>
      </c>
      <c r="O63" s="5">
        <f t="shared" si="1"/>
        <v>34258</v>
      </c>
      <c r="P63" s="5">
        <f t="shared" si="2"/>
        <v>-4324.5346415558888</v>
      </c>
      <c r="Q63" s="5" t="s">
        <v>31</v>
      </c>
      <c r="R63" s="5" t="s">
        <v>32</v>
      </c>
      <c r="S63" s="6">
        <v>44954</v>
      </c>
      <c r="T63" s="5">
        <v>4</v>
      </c>
      <c r="U63" s="5">
        <v>3</v>
      </c>
      <c r="V63" s="5" t="s">
        <v>33</v>
      </c>
      <c r="W63" s="5">
        <f t="shared" si="3"/>
        <v>0</v>
      </c>
    </row>
    <row r="64" spans="1:23" ht="15.75" customHeight="1" x14ac:dyDescent="0.25">
      <c r="A64" s="5" t="s">
        <v>206</v>
      </c>
      <c r="B64" s="6">
        <v>44946</v>
      </c>
      <c r="C64" s="5" t="s">
        <v>207</v>
      </c>
      <c r="D64" s="5" t="s">
        <v>208</v>
      </c>
      <c r="E64" s="5" t="s">
        <v>26</v>
      </c>
      <c r="F64" s="5" t="s">
        <v>27</v>
      </c>
      <c r="G64" s="5" t="s">
        <v>28</v>
      </c>
      <c r="H64" s="5" t="s">
        <v>29</v>
      </c>
      <c r="I64" s="5" t="s">
        <v>30</v>
      </c>
      <c r="J64" s="5">
        <v>6136</v>
      </c>
      <c r="K64" s="7">
        <v>7840.4567621287106</v>
      </c>
      <c r="L64" s="5">
        <v>3</v>
      </c>
      <c r="M64" s="5">
        <v>20</v>
      </c>
      <c r="N64" s="8">
        <f t="shared" si="0"/>
        <v>18817.096229108905</v>
      </c>
      <c r="O64" s="5">
        <f t="shared" si="1"/>
        <v>18408</v>
      </c>
      <c r="P64" s="5">
        <f t="shared" si="2"/>
        <v>409.09622910890539</v>
      </c>
      <c r="Q64" s="5" t="s">
        <v>83</v>
      </c>
      <c r="R64" s="5" t="s">
        <v>32</v>
      </c>
      <c r="S64" s="6">
        <v>44956</v>
      </c>
      <c r="T64" s="5">
        <v>6</v>
      </c>
      <c r="U64" s="5">
        <v>3</v>
      </c>
      <c r="V64" s="5" t="s">
        <v>33</v>
      </c>
      <c r="W64" s="5">
        <f t="shared" si="3"/>
        <v>0</v>
      </c>
    </row>
    <row r="65" spans="1:23" ht="15.75" customHeight="1" x14ac:dyDescent="0.25">
      <c r="A65" s="5" t="s">
        <v>209</v>
      </c>
      <c r="B65" s="6">
        <v>44946</v>
      </c>
      <c r="C65" s="5" t="s">
        <v>210</v>
      </c>
      <c r="D65" s="5" t="s">
        <v>138</v>
      </c>
      <c r="E65" s="5" t="s">
        <v>26</v>
      </c>
      <c r="F65" s="5" t="s">
        <v>27</v>
      </c>
      <c r="G65" s="5" t="s">
        <v>97</v>
      </c>
      <c r="H65" s="5" t="s">
        <v>98</v>
      </c>
      <c r="I65" s="5" t="s">
        <v>99</v>
      </c>
      <c r="J65" s="5">
        <v>309</v>
      </c>
      <c r="K65" s="7">
        <v>350.20774549898516</v>
      </c>
      <c r="L65" s="5">
        <v>2</v>
      </c>
      <c r="M65" s="5">
        <v>5</v>
      </c>
      <c r="N65" s="8">
        <f t="shared" si="0"/>
        <v>665.39471644807179</v>
      </c>
      <c r="O65" s="5">
        <f t="shared" si="1"/>
        <v>618</v>
      </c>
      <c r="P65" s="5">
        <f t="shared" si="2"/>
        <v>47.39471644807179</v>
      </c>
      <c r="Q65" s="5" t="s">
        <v>39</v>
      </c>
      <c r="R65" s="5" t="s">
        <v>32</v>
      </c>
      <c r="S65" s="6">
        <v>44955</v>
      </c>
      <c r="T65" s="5">
        <v>5</v>
      </c>
      <c r="U65" s="5">
        <v>4</v>
      </c>
      <c r="V65" s="5" t="s">
        <v>33</v>
      </c>
      <c r="W65" s="5">
        <f t="shared" si="3"/>
        <v>0</v>
      </c>
    </row>
    <row r="66" spans="1:23" ht="15.75" customHeight="1" x14ac:dyDescent="0.25">
      <c r="A66" s="5" t="s">
        <v>211</v>
      </c>
      <c r="B66" s="6">
        <v>44946</v>
      </c>
      <c r="C66" s="5" t="s">
        <v>212</v>
      </c>
      <c r="D66" s="5" t="s">
        <v>135</v>
      </c>
      <c r="E66" s="5" t="s">
        <v>37</v>
      </c>
      <c r="F66" s="5" t="s">
        <v>38</v>
      </c>
      <c r="G66" s="5" t="s">
        <v>97</v>
      </c>
      <c r="H66" s="5" t="s">
        <v>98</v>
      </c>
      <c r="I66" s="5" t="s">
        <v>99</v>
      </c>
      <c r="J66" s="5">
        <v>417</v>
      </c>
      <c r="K66" s="7">
        <v>454.85067983468082</v>
      </c>
      <c r="L66" s="5">
        <v>2</v>
      </c>
      <c r="M66" s="5">
        <v>5</v>
      </c>
      <c r="N66" s="8">
        <f t="shared" si="0"/>
        <v>864.21629168589357</v>
      </c>
      <c r="O66" s="5">
        <f t="shared" si="1"/>
        <v>834</v>
      </c>
      <c r="P66" s="5">
        <f t="shared" si="2"/>
        <v>30.216291685893566</v>
      </c>
      <c r="Q66" s="5" t="s">
        <v>46</v>
      </c>
      <c r="R66" s="5" t="s">
        <v>56</v>
      </c>
      <c r="T66" s="5">
        <v>8</v>
      </c>
      <c r="U66" s="5">
        <v>2</v>
      </c>
      <c r="W66" s="5">
        <f t="shared" si="3"/>
        <v>0</v>
      </c>
    </row>
    <row r="67" spans="1:23" ht="15.75" customHeight="1" x14ac:dyDescent="0.25">
      <c r="A67" s="5" t="s">
        <v>213</v>
      </c>
      <c r="B67" s="6">
        <v>44946</v>
      </c>
      <c r="C67" s="5" t="s">
        <v>214</v>
      </c>
      <c r="D67" s="5" t="s">
        <v>181</v>
      </c>
      <c r="E67" s="5" t="s">
        <v>54</v>
      </c>
      <c r="F67" s="5" t="s">
        <v>55</v>
      </c>
      <c r="G67" s="5" t="s">
        <v>87</v>
      </c>
      <c r="H67" s="5" t="s">
        <v>29</v>
      </c>
      <c r="I67" s="5" t="s">
        <v>88</v>
      </c>
      <c r="J67" s="5">
        <v>40581</v>
      </c>
      <c r="K67" s="7">
        <v>63368.196993956568</v>
      </c>
      <c r="L67" s="5">
        <v>3</v>
      </c>
      <c r="M67" s="5">
        <v>15</v>
      </c>
      <c r="N67" s="8">
        <f t="shared" si="0"/>
        <v>161588.90233458925</v>
      </c>
      <c r="O67" s="5">
        <f t="shared" si="1"/>
        <v>121743</v>
      </c>
      <c r="P67" s="5">
        <f t="shared" si="2"/>
        <v>39845.902334589249</v>
      </c>
      <c r="Q67" s="5" t="s">
        <v>46</v>
      </c>
      <c r="R67" s="5" t="s">
        <v>56</v>
      </c>
      <c r="T67" s="5">
        <v>9</v>
      </c>
      <c r="U67" s="5">
        <v>1</v>
      </c>
      <c r="W67" s="5">
        <f t="shared" si="3"/>
        <v>0</v>
      </c>
    </row>
    <row r="68" spans="1:23" ht="15.75" customHeight="1" x14ac:dyDescent="0.25">
      <c r="A68" s="5" t="s">
        <v>215</v>
      </c>
      <c r="B68" s="6">
        <v>44947</v>
      </c>
      <c r="C68" s="5" t="s">
        <v>216</v>
      </c>
      <c r="D68" s="5" t="s">
        <v>184</v>
      </c>
      <c r="E68" s="5" t="s">
        <v>112</v>
      </c>
      <c r="F68" s="5" t="s">
        <v>113</v>
      </c>
      <c r="G68" s="5" t="s">
        <v>70</v>
      </c>
      <c r="H68" s="5" t="s">
        <v>44</v>
      </c>
      <c r="I68" s="5" t="s">
        <v>71</v>
      </c>
      <c r="J68" s="5">
        <v>1856</v>
      </c>
      <c r="K68" s="7">
        <v>2644.9998000424366</v>
      </c>
      <c r="L68" s="5">
        <v>2</v>
      </c>
      <c r="M68" s="5">
        <v>20</v>
      </c>
      <c r="N68" s="8">
        <f t="shared" si="0"/>
        <v>4231.9996800678991</v>
      </c>
      <c r="O68" s="5">
        <f t="shared" si="1"/>
        <v>3712</v>
      </c>
      <c r="P68" s="5">
        <f t="shared" si="2"/>
        <v>519.99968006789913</v>
      </c>
      <c r="Q68" s="5" t="s">
        <v>39</v>
      </c>
      <c r="R68" s="5" t="s">
        <v>32</v>
      </c>
      <c r="S68" s="6">
        <v>44957</v>
      </c>
      <c r="T68" s="5">
        <v>6</v>
      </c>
      <c r="U68" s="5">
        <v>2</v>
      </c>
      <c r="V68" s="5" t="s">
        <v>33</v>
      </c>
      <c r="W68" s="5">
        <f t="shared" si="3"/>
        <v>0</v>
      </c>
    </row>
    <row r="69" spans="1:23" ht="15.75" customHeight="1" x14ac:dyDescent="0.25">
      <c r="A69" s="5" t="s">
        <v>217</v>
      </c>
      <c r="B69" s="6">
        <v>44947</v>
      </c>
      <c r="C69" s="5" t="s">
        <v>218</v>
      </c>
      <c r="D69" s="5" t="s">
        <v>59</v>
      </c>
      <c r="E69" s="5" t="s">
        <v>69</v>
      </c>
      <c r="F69" s="5" t="s">
        <v>55</v>
      </c>
      <c r="G69" s="5" t="s">
        <v>92</v>
      </c>
      <c r="H69" s="5" t="s">
        <v>44</v>
      </c>
      <c r="I69" s="5" t="s">
        <v>45</v>
      </c>
      <c r="J69" s="5">
        <v>1102</v>
      </c>
      <c r="K69" s="7">
        <v>1233.5813827866255</v>
      </c>
      <c r="L69" s="5">
        <v>2</v>
      </c>
      <c r="M69" s="5">
        <v>0</v>
      </c>
      <c r="N69" s="8">
        <f t="shared" si="0"/>
        <v>2467.1627655732509</v>
      </c>
      <c r="O69" s="5">
        <f t="shared" si="1"/>
        <v>2204</v>
      </c>
      <c r="P69" s="5">
        <f t="shared" si="2"/>
        <v>263.16276557325091</v>
      </c>
      <c r="Q69" s="5" t="s">
        <v>39</v>
      </c>
      <c r="R69" s="5" t="s">
        <v>32</v>
      </c>
      <c r="S69" s="6">
        <v>44955</v>
      </c>
      <c r="T69" s="5">
        <v>5</v>
      </c>
      <c r="U69" s="5">
        <v>2</v>
      </c>
      <c r="V69" s="5" t="s">
        <v>33</v>
      </c>
      <c r="W69" s="5">
        <f t="shared" si="3"/>
        <v>0</v>
      </c>
    </row>
    <row r="70" spans="1:23" ht="15.75" customHeight="1" x14ac:dyDescent="0.25">
      <c r="A70" s="5" t="s">
        <v>219</v>
      </c>
      <c r="B70" s="6">
        <v>44948</v>
      </c>
      <c r="C70" s="5" t="s">
        <v>220</v>
      </c>
      <c r="D70" s="5" t="s">
        <v>184</v>
      </c>
      <c r="E70" s="5" t="s">
        <v>112</v>
      </c>
      <c r="F70" s="5" t="s">
        <v>113</v>
      </c>
      <c r="G70" s="5" t="s">
        <v>106</v>
      </c>
      <c r="H70" s="5" t="s">
        <v>98</v>
      </c>
      <c r="I70" s="5" t="s">
        <v>107</v>
      </c>
      <c r="J70" s="5">
        <v>947</v>
      </c>
      <c r="K70" s="7">
        <v>1455.7020799066488</v>
      </c>
      <c r="L70" s="5">
        <v>5</v>
      </c>
      <c r="M70" s="5">
        <v>10</v>
      </c>
      <c r="N70" s="8">
        <f t="shared" si="0"/>
        <v>6550.6593595799195</v>
      </c>
      <c r="O70" s="5">
        <f t="shared" si="1"/>
        <v>4735</v>
      </c>
      <c r="P70" s="5">
        <f t="shared" si="2"/>
        <v>1815.6593595799195</v>
      </c>
      <c r="Q70" s="5" t="s">
        <v>31</v>
      </c>
      <c r="R70" s="5" t="s">
        <v>32</v>
      </c>
      <c r="S70" s="6">
        <v>44957</v>
      </c>
      <c r="T70" s="5">
        <v>5</v>
      </c>
      <c r="U70" s="5">
        <v>4</v>
      </c>
      <c r="V70" s="5" t="s">
        <v>33</v>
      </c>
      <c r="W70" s="5">
        <f t="shared" si="3"/>
        <v>0</v>
      </c>
    </row>
    <row r="71" spans="1:23" ht="15.75" customHeight="1" x14ac:dyDescent="0.25">
      <c r="A71" s="5" t="s">
        <v>221</v>
      </c>
      <c r="B71" s="6">
        <v>44949</v>
      </c>
      <c r="C71" s="5" t="s">
        <v>222</v>
      </c>
      <c r="D71" s="5" t="s">
        <v>116</v>
      </c>
      <c r="E71" s="5" t="s">
        <v>54</v>
      </c>
      <c r="F71" s="5" t="s">
        <v>55</v>
      </c>
      <c r="G71" s="5" t="s">
        <v>81</v>
      </c>
      <c r="H71" s="5" t="s">
        <v>44</v>
      </c>
      <c r="I71" s="5" t="s">
        <v>82</v>
      </c>
      <c r="J71" s="5">
        <v>1443</v>
      </c>
      <c r="K71" s="7">
        <v>2385.5567808093497</v>
      </c>
      <c r="L71" s="5">
        <v>4</v>
      </c>
      <c r="M71" s="5">
        <v>0</v>
      </c>
      <c r="N71" s="8">
        <f t="shared" si="0"/>
        <v>9542.2271232373987</v>
      </c>
      <c r="O71" s="5">
        <f t="shared" si="1"/>
        <v>5772</v>
      </c>
      <c r="P71" s="5">
        <f t="shared" si="2"/>
        <v>3770.2271232373987</v>
      </c>
      <c r="Q71" s="5" t="s">
        <v>83</v>
      </c>
      <c r="R71" s="5" t="s">
        <v>32</v>
      </c>
      <c r="S71" s="6">
        <v>44960</v>
      </c>
      <c r="T71" s="5">
        <v>6</v>
      </c>
      <c r="U71" s="5">
        <v>2</v>
      </c>
      <c r="V71" s="5" t="s">
        <v>33</v>
      </c>
      <c r="W71" s="5">
        <f t="shared" si="3"/>
        <v>0</v>
      </c>
    </row>
    <row r="72" spans="1:23" ht="15.75" customHeight="1" x14ac:dyDescent="0.25">
      <c r="A72" s="5" t="s">
        <v>223</v>
      </c>
      <c r="B72" s="6">
        <v>44949</v>
      </c>
      <c r="C72" s="5" t="s">
        <v>166</v>
      </c>
      <c r="D72" s="5" t="s">
        <v>53</v>
      </c>
      <c r="E72" s="5" t="s">
        <v>69</v>
      </c>
      <c r="F72" s="5" t="s">
        <v>55</v>
      </c>
      <c r="G72" s="5" t="s">
        <v>139</v>
      </c>
      <c r="H72" s="5" t="s">
        <v>76</v>
      </c>
      <c r="I72" s="5" t="s">
        <v>140</v>
      </c>
      <c r="J72" s="5">
        <v>41686</v>
      </c>
      <c r="K72" s="7">
        <v>58852.79834539006</v>
      </c>
      <c r="L72" s="5">
        <v>5</v>
      </c>
      <c r="M72" s="5">
        <v>5</v>
      </c>
      <c r="N72" s="8">
        <f t="shared" si="0"/>
        <v>279550.79214060277</v>
      </c>
      <c r="O72" s="5">
        <f t="shared" si="1"/>
        <v>208430</v>
      </c>
      <c r="P72" s="5">
        <f t="shared" si="2"/>
        <v>71120.792140602774</v>
      </c>
      <c r="Q72" s="5" t="s">
        <v>46</v>
      </c>
      <c r="R72" s="5" t="s">
        <v>32</v>
      </c>
      <c r="S72" s="6">
        <v>44960</v>
      </c>
      <c r="T72" s="5">
        <v>4</v>
      </c>
      <c r="U72" s="5">
        <v>4</v>
      </c>
      <c r="V72" s="5" t="s">
        <v>33</v>
      </c>
      <c r="W72" s="5">
        <f t="shared" si="3"/>
        <v>0</v>
      </c>
    </row>
    <row r="73" spans="1:23" ht="15.75" customHeight="1" x14ac:dyDescent="0.25">
      <c r="A73" s="5" t="s">
        <v>224</v>
      </c>
      <c r="B73" s="6">
        <v>44949</v>
      </c>
      <c r="C73" s="5" t="s">
        <v>225</v>
      </c>
      <c r="D73" s="5" t="s">
        <v>36</v>
      </c>
      <c r="E73" s="5" t="s">
        <v>112</v>
      </c>
      <c r="F73" s="5" t="s">
        <v>113</v>
      </c>
      <c r="G73" s="5" t="s">
        <v>75</v>
      </c>
      <c r="H73" s="5" t="s">
        <v>76</v>
      </c>
      <c r="I73" s="5" t="s">
        <v>77</v>
      </c>
      <c r="J73" s="5">
        <v>1186</v>
      </c>
      <c r="K73" s="7">
        <v>2095.6786265502096</v>
      </c>
      <c r="L73" s="5">
        <v>5</v>
      </c>
      <c r="M73" s="5">
        <v>15</v>
      </c>
      <c r="N73" s="8">
        <f t="shared" si="0"/>
        <v>8906.6341628383907</v>
      </c>
      <c r="O73" s="5">
        <f t="shared" si="1"/>
        <v>5930</v>
      </c>
      <c r="P73" s="5">
        <f t="shared" si="2"/>
        <v>2976.6341628383907</v>
      </c>
      <c r="Q73" s="5" t="s">
        <v>83</v>
      </c>
      <c r="R73" s="5" t="s">
        <v>56</v>
      </c>
      <c r="T73" s="5">
        <v>10</v>
      </c>
      <c r="U73" s="5">
        <v>1</v>
      </c>
      <c r="W73" s="5">
        <f t="shared" si="3"/>
        <v>0</v>
      </c>
    </row>
    <row r="74" spans="1:23" ht="15.75" customHeight="1" x14ac:dyDescent="0.25">
      <c r="A74" s="5" t="s">
        <v>226</v>
      </c>
      <c r="B74" s="6">
        <v>44949</v>
      </c>
      <c r="C74" s="5" t="s">
        <v>227</v>
      </c>
      <c r="D74" s="5" t="s">
        <v>116</v>
      </c>
      <c r="E74" s="5" t="s">
        <v>69</v>
      </c>
      <c r="F74" s="5" t="s">
        <v>55</v>
      </c>
      <c r="G74" s="5" t="s">
        <v>106</v>
      </c>
      <c r="H74" s="5" t="s">
        <v>98</v>
      </c>
      <c r="I74" s="5" t="s">
        <v>107</v>
      </c>
      <c r="J74" s="5">
        <v>723</v>
      </c>
      <c r="K74" s="7">
        <v>1081.6977255269592</v>
      </c>
      <c r="L74" s="5">
        <v>5</v>
      </c>
      <c r="M74" s="5">
        <v>5</v>
      </c>
      <c r="N74" s="8">
        <f t="shared" si="0"/>
        <v>5138.0641962530563</v>
      </c>
      <c r="O74" s="5">
        <f t="shared" si="1"/>
        <v>3615</v>
      </c>
      <c r="P74" s="5">
        <f t="shared" si="2"/>
        <v>1523.0641962530563</v>
      </c>
      <c r="Q74" s="5" t="s">
        <v>39</v>
      </c>
      <c r="R74" s="5" t="s">
        <v>32</v>
      </c>
      <c r="S74" s="6">
        <v>44959</v>
      </c>
      <c r="T74" s="5">
        <v>6</v>
      </c>
      <c r="U74" s="5">
        <v>2</v>
      </c>
      <c r="V74" s="5" t="s">
        <v>33</v>
      </c>
      <c r="W74" s="5">
        <f t="shared" si="3"/>
        <v>0</v>
      </c>
    </row>
    <row r="75" spans="1:23" ht="15.75" customHeight="1" x14ac:dyDescent="0.25">
      <c r="A75" s="5" t="s">
        <v>228</v>
      </c>
      <c r="B75" s="6">
        <v>44950</v>
      </c>
      <c r="C75" s="5" t="s">
        <v>127</v>
      </c>
      <c r="D75" s="5" t="s">
        <v>208</v>
      </c>
      <c r="E75" s="5" t="s">
        <v>112</v>
      </c>
      <c r="F75" s="5" t="s">
        <v>113</v>
      </c>
      <c r="G75" s="5" t="s">
        <v>106</v>
      </c>
      <c r="H75" s="5" t="s">
        <v>98</v>
      </c>
      <c r="I75" s="5" t="s">
        <v>107</v>
      </c>
      <c r="J75" s="5">
        <v>544</v>
      </c>
      <c r="K75" s="7">
        <v>815.51646740640092</v>
      </c>
      <c r="L75" s="5">
        <v>3</v>
      </c>
      <c r="M75" s="5">
        <v>15</v>
      </c>
      <c r="N75" s="8">
        <f t="shared" si="0"/>
        <v>2079.5669918863223</v>
      </c>
      <c r="O75" s="5">
        <f t="shared" si="1"/>
        <v>1632</v>
      </c>
      <c r="P75" s="5">
        <f t="shared" si="2"/>
        <v>447.56699188632228</v>
      </c>
      <c r="Q75" s="5" t="s">
        <v>31</v>
      </c>
      <c r="R75" s="5" t="s">
        <v>32</v>
      </c>
      <c r="S75" s="6">
        <v>44958</v>
      </c>
      <c r="T75" s="5">
        <v>4</v>
      </c>
      <c r="U75" s="5">
        <v>2</v>
      </c>
      <c r="V75" s="5" t="s">
        <v>33</v>
      </c>
      <c r="W75" s="5">
        <f t="shared" si="3"/>
        <v>0</v>
      </c>
    </row>
    <row r="76" spans="1:23" ht="15.75" customHeight="1" x14ac:dyDescent="0.25">
      <c r="A76" s="5" t="s">
        <v>229</v>
      </c>
      <c r="B76" s="6">
        <v>44951</v>
      </c>
      <c r="C76" s="5" t="s">
        <v>66</v>
      </c>
      <c r="D76" s="5" t="s">
        <v>102</v>
      </c>
      <c r="E76" s="5" t="s">
        <v>37</v>
      </c>
      <c r="F76" s="5" t="s">
        <v>38</v>
      </c>
      <c r="G76" s="5" t="s">
        <v>75</v>
      </c>
      <c r="H76" s="5" t="s">
        <v>76</v>
      </c>
      <c r="I76" s="5" t="s">
        <v>77</v>
      </c>
      <c r="J76" s="5">
        <v>979</v>
      </c>
      <c r="K76" s="7">
        <v>1111.5803945359166</v>
      </c>
      <c r="L76" s="5">
        <v>5</v>
      </c>
      <c r="M76" s="5">
        <v>0</v>
      </c>
      <c r="N76" s="8">
        <f t="shared" si="0"/>
        <v>5557.9019726795832</v>
      </c>
      <c r="O76" s="5">
        <f t="shared" si="1"/>
        <v>4895</v>
      </c>
      <c r="P76" s="5">
        <f t="shared" si="2"/>
        <v>662.9019726795832</v>
      </c>
      <c r="Q76" s="5" t="s">
        <v>83</v>
      </c>
      <c r="R76" s="5" t="s">
        <v>56</v>
      </c>
      <c r="T76" s="5">
        <v>8</v>
      </c>
      <c r="U76" s="5">
        <v>3</v>
      </c>
      <c r="W76" s="5">
        <f t="shared" si="3"/>
        <v>0</v>
      </c>
    </row>
    <row r="77" spans="1:23" ht="15.75" customHeight="1" x14ac:dyDescent="0.25">
      <c r="A77" s="5" t="s">
        <v>230</v>
      </c>
      <c r="B77" s="6">
        <v>44951</v>
      </c>
      <c r="C77" s="5" t="s">
        <v>231</v>
      </c>
      <c r="D77" s="5" t="s">
        <v>59</v>
      </c>
      <c r="E77" s="5" t="s">
        <v>69</v>
      </c>
      <c r="F77" s="5" t="s">
        <v>55</v>
      </c>
      <c r="G77" s="5" t="s">
        <v>124</v>
      </c>
      <c r="H77" s="5" t="s">
        <v>76</v>
      </c>
      <c r="I77" s="5" t="s">
        <v>125</v>
      </c>
      <c r="J77" s="5">
        <v>71901</v>
      </c>
      <c r="K77" s="7">
        <v>73990.04884530975</v>
      </c>
      <c r="L77" s="5">
        <v>3</v>
      </c>
      <c r="M77" s="5">
        <v>0</v>
      </c>
      <c r="N77" s="8">
        <f t="shared" si="0"/>
        <v>221970.14653592923</v>
      </c>
      <c r="O77" s="5">
        <f t="shared" si="1"/>
        <v>215703</v>
      </c>
      <c r="P77" s="5">
        <f t="shared" si="2"/>
        <v>6267.1465359292342</v>
      </c>
      <c r="Q77" s="5" t="s">
        <v>39</v>
      </c>
      <c r="R77" s="5" t="s">
        <v>32</v>
      </c>
      <c r="S77" s="6">
        <v>44956</v>
      </c>
      <c r="T77" s="5">
        <v>1</v>
      </c>
      <c r="U77" s="5">
        <v>5</v>
      </c>
      <c r="V77" s="5" t="s">
        <v>33</v>
      </c>
      <c r="W77" s="5">
        <f t="shared" si="3"/>
        <v>0</v>
      </c>
    </row>
    <row r="78" spans="1:23" ht="15.75" customHeight="1" x14ac:dyDescent="0.25">
      <c r="A78" s="5" t="s">
        <v>232</v>
      </c>
      <c r="B78" s="6">
        <v>44951</v>
      </c>
      <c r="C78" s="5" t="s">
        <v>233</v>
      </c>
      <c r="D78" s="5" t="s">
        <v>25</v>
      </c>
      <c r="E78" s="5" t="s">
        <v>26</v>
      </c>
      <c r="F78" s="5" t="s">
        <v>27</v>
      </c>
      <c r="G78" s="5" t="s">
        <v>87</v>
      </c>
      <c r="H78" s="5" t="s">
        <v>29</v>
      </c>
      <c r="I78" s="5" t="s">
        <v>88</v>
      </c>
      <c r="J78" s="5">
        <v>23281</v>
      </c>
      <c r="K78" s="7">
        <v>30173.560422211754</v>
      </c>
      <c r="L78" s="5">
        <v>1</v>
      </c>
      <c r="M78" s="5">
        <v>10</v>
      </c>
      <c r="N78" s="8">
        <f t="shared" si="0"/>
        <v>27156.20437999058</v>
      </c>
      <c r="O78" s="5">
        <f t="shared" si="1"/>
        <v>23281</v>
      </c>
      <c r="P78" s="5">
        <f t="shared" si="2"/>
        <v>3875.2043799905805</v>
      </c>
      <c r="Q78" s="5" t="s">
        <v>31</v>
      </c>
      <c r="R78" s="5" t="s">
        <v>56</v>
      </c>
      <c r="T78" s="5">
        <v>9</v>
      </c>
      <c r="U78" s="5">
        <v>1</v>
      </c>
      <c r="W78" s="5">
        <f t="shared" si="3"/>
        <v>0</v>
      </c>
    </row>
    <row r="79" spans="1:23" ht="15.75" customHeight="1" x14ac:dyDescent="0.25">
      <c r="A79" s="5" t="s">
        <v>234</v>
      </c>
      <c r="B79" s="6">
        <v>44951</v>
      </c>
      <c r="C79" s="5" t="s">
        <v>235</v>
      </c>
      <c r="D79" s="5" t="s">
        <v>148</v>
      </c>
      <c r="E79" s="5" t="s">
        <v>69</v>
      </c>
      <c r="F79" s="5" t="s">
        <v>55</v>
      </c>
      <c r="G79" s="5" t="s">
        <v>75</v>
      </c>
      <c r="H79" s="5" t="s">
        <v>76</v>
      </c>
      <c r="I79" s="5" t="s">
        <v>77</v>
      </c>
      <c r="J79" s="5">
        <v>1803</v>
      </c>
      <c r="K79" s="7">
        <v>3042.4848081011373</v>
      </c>
      <c r="L79" s="5">
        <v>2</v>
      </c>
      <c r="M79" s="5">
        <v>5</v>
      </c>
      <c r="N79" s="8">
        <f t="shared" si="0"/>
        <v>5780.7211353921602</v>
      </c>
      <c r="O79" s="5">
        <f t="shared" si="1"/>
        <v>3606</v>
      </c>
      <c r="P79" s="5">
        <f t="shared" si="2"/>
        <v>2174.7211353921602</v>
      </c>
      <c r="Q79" s="5" t="s">
        <v>39</v>
      </c>
      <c r="R79" s="5" t="s">
        <v>56</v>
      </c>
      <c r="T79" s="5">
        <v>10</v>
      </c>
      <c r="U79" s="5">
        <v>1</v>
      </c>
      <c r="W79" s="5">
        <f t="shared" si="3"/>
        <v>0</v>
      </c>
    </row>
    <row r="80" spans="1:23" ht="15.75" customHeight="1" x14ac:dyDescent="0.25">
      <c r="A80" s="5" t="s">
        <v>236</v>
      </c>
      <c r="B80" s="6">
        <v>44951</v>
      </c>
      <c r="C80" s="5" t="s">
        <v>237</v>
      </c>
      <c r="D80" s="5" t="s">
        <v>53</v>
      </c>
      <c r="E80" s="5" t="s">
        <v>49</v>
      </c>
      <c r="F80" s="5" t="s">
        <v>50</v>
      </c>
      <c r="G80" s="5" t="s">
        <v>92</v>
      </c>
      <c r="H80" s="5" t="s">
        <v>44</v>
      </c>
      <c r="I80" s="5" t="s">
        <v>45</v>
      </c>
      <c r="J80" s="5">
        <v>1492</v>
      </c>
      <c r="K80" s="7">
        <v>1734.8306776285315</v>
      </c>
      <c r="L80" s="5">
        <v>3</v>
      </c>
      <c r="M80" s="5">
        <v>10</v>
      </c>
      <c r="N80" s="8">
        <f t="shared" si="0"/>
        <v>4684.0428295970351</v>
      </c>
      <c r="O80" s="5">
        <f t="shared" si="1"/>
        <v>4476</v>
      </c>
      <c r="P80" s="5">
        <f t="shared" si="2"/>
        <v>208.04282959703505</v>
      </c>
      <c r="Q80" s="5" t="s">
        <v>46</v>
      </c>
      <c r="R80" s="5" t="s">
        <v>32</v>
      </c>
      <c r="S80" s="6">
        <v>44963</v>
      </c>
      <c r="T80" s="5">
        <v>8</v>
      </c>
      <c r="U80" s="5">
        <v>4</v>
      </c>
      <c r="V80" s="5" t="s">
        <v>89</v>
      </c>
      <c r="W80" s="5">
        <f t="shared" si="3"/>
        <v>1</v>
      </c>
    </row>
    <row r="81" spans="1:23" ht="15.75" customHeight="1" x14ac:dyDescent="0.25">
      <c r="A81" s="5" t="s">
        <v>238</v>
      </c>
      <c r="B81" s="6">
        <v>44951</v>
      </c>
      <c r="C81" s="5" t="s">
        <v>239</v>
      </c>
      <c r="D81" s="5" t="s">
        <v>86</v>
      </c>
      <c r="E81" s="5" t="s">
        <v>60</v>
      </c>
      <c r="F81" s="5" t="s">
        <v>61</v>
      </c>
      <c r="G81" s="5" t="s">
        <v>97</v>
      </c>
      <c r="H81" s="5" t="s">
        <v>98</v>
      </c>
      <c r="I81" s="5" t="s">
        <v>99</v>
      </c>
      <c r="J81" s="5">
        <v>514</v>
      </c>
      <c r="K81" s="7">
        <v>863.92382727888514</v>
      </c>
      <c r="L81" s="5">
        <v>1</v>
      </c>
      <c r="M81" s="5">
        <v>10</v>
      </c>
      <c r="N81" s="8">
        <f t="shared" si="0"/>
        <v>777.53144455099664</v>
      </c>
      <c r="O81" s="5">
        <f t="shared" si="1"/>
        <v>514</v>
      </c>
      <c r="P81" s="5">
        <f t="shared" si="2"/>
        <v>263.53144455099664</v>
      </c>
      <c r="Q81" s="5" t="s">
        <v>31</v>
      </c>
      <c r="R81" s="5" t="s">
        <v>32</v>
      </c>
      <c r="S81" s="6">
        <v>44960</v>
      </c>
      <c r="T81" s="5">
        <v>4</v>
      </c>
      <c r="U81" s="5">
        <v>2</v>
      </c>
      <c r="V81" s="5" t="s">
        <v>33</v>
      </c>
      <c r="W81" s="5">
        <f t="shared" si="3"/>
        <v>0</v>
      </c>
    </row>
    <row r="82" spans="1:23" ht="15.75" customHeight="1" x14ac:dyDescent="0.25">
      <c r="A82" s="5" t="s">
        <v>240</v>
      </c>
      <c r="B82" s="6">
        <v>44952</v>
      </c>
      <c r="C82" s="5" t="s">
        <v>241</v>
      </c>
      <c r="D82" s="5" t="s">
        <v>105</v>
      </c>
      <c r="E82" s="5" t="s">
        <v>54</v>
      </c>
      <c r="F82" s="5" t="s">
        <v>55</v>
      </c>
      <c r="G82" s="5" t="s">
        <v>106</v>
      </c>
      <c r="H82" s="5" t="s">
        <v>98</v>
      </c>
      <c r="I82" s="5" t="s">
        <v>107</v>
      </c>
      <c r="J82" s="5">
        <v>678</v>
      </c>
      <c r="K82" s="7">
        <v>910.62039290265852</v>
      </c>
      <c r="L82" s="5">
        <v>5</v>
      </c>
      <c r="M82" s="5">
        <v>5</v>
      </c>
      <c r="N82" s="8">
        <f t="shared" si="0"/>
        <v>4325.4468662876279</v>
      </c>
      <c r="O82" s="5">
        <f t="shared" si="1"/>
        <v>3390</v>
      </c>
      <c r="P82" s="5">
        <f t="shared" si="2"/>
        <v>935.44686628762793</v>
      </c>
      <c r="Q82" s="5" t="s">
        <v>46</v>
      </c>
      <c r="R82" s="5" t="s">
        <v>56</v>
      </c>
      <c r="T82" s="5">
        <v>7</v>
      </c>
      <c r="U82" s="5">
        <v>4</v>
      </c>
      <c r="W82" s="5">
        <f t="shared" si="3"/>
        <v>0</v>
      </c>
    </row>
    <row r="83" spans="1:23" ht="15.75" customHeight="1" x14ac:dyDescent="0.25">
      <c r="A83" s="5" t="s">
        <v>242</v>
      </c>
      <c r="B83" s="6">
        <v>44952</v>
      </c>
      <c r="C83" s="5" t="s">
        <v>243</v>
      </c>
      <c r="D83" s="5" t="s">
        <v>59</v>
      </c>
      <c r="E83" s="5" t="s">
        <v>26</v>
      </c>
      <c r="F83" s="5" t="s">
        <v>27</v>
      </c>
      <c r="G83" s="5" t="s">
        <v>139</v>
      </c>
      <c r="H83" s="5" t="s">
        <v>76</v>
      </c>
      <c r="I83" s="5" t="s">
        <v>140</v>
      </c>
      <c r="J83" s="5">
        <v>31117</v>
      </c>
      <c r="K83" s="7">
        <v>53014.664425501869</v>
      </c>
      <c r="L83" s="5">
        <v>3</v>
      </c>
      <c r="M83" s="5">
        <v>10</v>
      </c>
      <c r="N83" s="8">
        <f t="shared" si="0"/>
        <v>143139.59394885506</v>
      </c>
      <c r="O83" s="5">
        <f t="shared" si="1"/>
        <v>93351</v>
      </c>
      <c r="P83" s="5">
        <f t="shared" si="2"/>
        <v>49788.593948855065</v>
      </c>
      <c r="Q83" s="5" t="s">
        <v>46</v>
      </c>
      <c r="R83" s="5" t="s">
        <v>56</v>
      </c>
      <c r="T83" s="5">
        <v>7</v>
      </c>
      <c r="U83" s="5">
        <v>4</v>
      </c>
      <c r="W83" s="5">
        <f t="shared" si="3"/>
        <v>0</v>
      </c>
    </row>
    <row r="84" spans="1:23" ht="15.75" customHeight="1" x14ac:dyDescent="0.25">
      <c r="A84" s="5" t="s">
        <v>244</v>
      </c>
      <c r="B84" s="6">
        <v>44953</v>
      </c>
      <c r="C84" s="5" t="s">
        <v>159</v>
      </c>
      <c r="D84" s="5" t="s">
        <v>53</v>
      </c>
      <c r="E84" s="5" t="s">
        <v>60</v>
      </c>
      <c r="F84" s="5" t="s">
        <v>61</v>
      </c>
      <c r="G84" s="5" t="s">
        <v>139</v>
      </c>
      <c r="H84" s="5" t="s">
        <v>76</v>
      </c>
      <c r="I84" s="5" t="s">
        <v>140</v>
      </c>
      <c r="J84" s="5">
        <v>45428</v>
      </c>
      <c r="K84" s="7">
        <v>66121.672318255325</v>
      </c>
      <c r="L84" s="5">
        <v>1</v>
      </c>
      <c r="M84" s="5">
        <v>10</v>
      </c>
      <c r="N84" s="8">
        <f t="shared" si="0"/>
        <v>59509.505086429795</v>
      </c>
      <c r="O84" s="5">
        <f t="shared" si="1"/>
        <v>45428</v>
      </c>
      <c r="P84" s="5">
        <f t="shared" si="2"/>
        <v>14081.505086429795</v>
      </c>
      <c r="Q84" s="5" t="s">
        <v>83</v>
      </c>
      <c r="R84" s="5" t="s">
        <v>56</v>
      </c>
      <c r="T84" s="5">
        <v>10</v>
      </c>
      <c r="U84" s="5">
        <v>1</v>
      </c>
      <c r="W84" s="5">
        <f t="shared" si="3"/>
        <v>0</v>
      </c>
    </row>
    <row r="85" spans="1:23" ht="15.75" customHeight="1" x14ac:dyDescent="0.25">
      <c r="A85" s="5" t="s">
        <v>245</v>
      </c>
      <c r="B85" s="6">
        <v>44953</v>
      </c>
      <c r="C85" s="5" t="s">
        <v>35</v>
      </c>
      <c r="D85" s="5" t="s">
        <v>188</v>
      </c>
      <c r="E85" s="5" t="s">
        <v>54</v>
      </c>
      <c r="F85" s="5" t="s">
        <v>55</v>
      </c>
      <c r="G85" s="5" t="s">
        <v>97</v>
      </c>
      <c r="H85" s="5" t="s">
        <v>98</v>
      </c>
      <c r="I85" s="5" t="s">
        <v>99</v>
      </c>
      <c r="J85" s="5">
        <v>209</v>
      </c>
      <c r="K85" s="7">
        <v>350.79626185652967</v>
      </c>
      <c r="L85" s="5">
        <v>2</v>
      </c>
      <c r="M85" s="5">
        <v>15</v>
      </c>
      <c r="N85" s="8">
        <f t="shared" si="0"/>
        <v>596.35364515610047</v>
      </c>
      <c r="O85" s="5">
        <f t="shared" si="1"/>
        <v>418</v>
      </c>
      <c r="P85" s="5">
        <f t="shared" si="2"/>
        <v>178.35364515610047</v>
      </c>
      <c r="Q85" s="5" t="s">
        <v>31</v>
      </c>
      <c r="R85" s="5" t="s">
        <v>32</v>
      </c>
      <c r="S85" s="6">
        <v>44964</v>
      </c>
      <c r="T85" s="5">
        <v>6</v>
      </c>
      <c r="U85" s="5">
        <v>2</v>
      </c>
      <c r="V85" s="5" t="s">
        <v>33</v>
      </c>
      <c r="W85" s="5">
        <f t="shared" si="3"/>
        <v>0</v>
      </c>
    </row>
    <row r="86" spans="1:23" ht="15.75" customHeight="1" x14ac:dyDescent="0.25">
      <c r="A86" s="5" t="s">
        <v>246</v>
      </c>
      <c r="B86" s="6">
        <v>44953</v>
      </c>
      <c r="C86" s="5" t="s">
        <v>227</v>
      </c>
      <c r="D86" s="5" t="s">
        <v>59</v>
      </c>
      <c r="E86" s="5" t="s">
        <v>60</v>
      </c>
      <c r="F86" s="5" t="s">
        <v>61</v>
      </c>
      <c r="G86" s="5" t="s">
        <v>119</v>
      </c>
      <c r="H86" s="5" t="s">
        <v>76</v>
      </c>
      <c r="I86" s="5" t="s">
        <v>120</v>
      </c>
      <c r="J86" s="5">
        <v>25798</v>
      </c>
      <c r="K86" s="7">
        <v>28104.20097259419</v>
      </c>
      <c r="L86" s="5">
        <v>1</v>
      </c>
      <c r="M86" s="5">
        <v>20</v>
      </c>
      <c r="N86" s="8">
        <f t="shared" si="0"/>
        <v>22483.360778075352</v>
      </c>
      <c r="O86" s="5">
        <f t="shared" si="1"/>
        <v>25798</v>
      </c>
      <c r="P86" s="5">
        <f t="shared" si="2"/>
        <v>-3314.6392219246482</v>
      </c>
      <c r="Q86" s="5" t="s">
        <v>83</v>
      </c>
      <c r="R86" s="5" t="s">
        <v>32</v>
      </c>
      <c r="S86" s="6">
        <v>44962</v>
      </c>
      <c r="T86" s="5">
        <v>4</v>
      </c>
      <c r="U86" s="5">
        <v>2</v>
      </c>
      <c r="V86" s="5" t="s">
        <v>33</v>
      </c>
      <c r="W86" s="5">
        <f t="shared" si="3"/>
        <v>0</v>
      </c>
    </row>
    <row r="87" spans="1:23" ht="15.75" customHeight="1" x14ac:dyDescent="0.25">
      <c r="A87" s="5" t="s">
        <v>247</v>
      </c>
      <c r="B87" s="6">
        <v>44953</v>
      </c>
      <c r="C87" s="5" t="s">
        <v>248</v>
      </c>
      <c r="D87" s="5" t="s">
        <v>42</v>
      </c>
      <c r="E87" s="5" t="s">
        <v>60</v>
      </c>
      <c r="F87" s="5" t="s">
        <v>61</v>
      </c>
      <c r="G87" s="5" t="s">
        <v>97</v>
      </c>
      <c r="H87" s="5" t="s">
        <v>98</v>
      </c>
      <c r="I87" s="5" t="s">
        <v>99</v>
      </c>
      <c r="J87" s="5">
        <v>299</v>
      </c>
      <c r="K87" s="7">
        <v>339.40116877075627</v>
      </c>
      <c r="L87" s="5">
        <v>1</v>
      </c>
      <c r="M87" s="5">
        <v>5</v>
      </c>
      <c r="N87" s="8">
        <f t="shared" si="0"/>
        <v>322.43111033221845</v>
      </c>
      <c r="O87" s="5">
        <f t="shared" si="1"/>
        <v>299</v>
      </c>
      <c r="P87" s="5">
        <f t="shared" si="2"/>
        <v>23.431110332218452</v>
      </c>
      <c r="Q87" s="5" t="s">
        <v>46</v>
      </c>
      <c r="R87" s="5" t="s">
        <v>56</v>
      </c>
      <c r="T87" s="5">
        <v>10</v>
      </c>
      <c r="U87" s="5">
        <v>1</v>
      </c>
      <c r="W87" s="5">
        <f t="shared" si="3"/>
        <v>0</v>
      </c>
    </row>
    <row r="88" spans="1:23" ht="15.75" customHeight="1" x14ac:dyDescent="0.25">
      <c r="A88" s="5" t="s">
        <v>249</v>
      </c>
      <c r="B88" s="6">
        <v>44954</v>
      </c>
      <c r="C88" s="5" t="s">
        <v>250</v>
      </c>
      <c r="D88" s="5" t="s">
        <v>138</v>
      </c>
      <c r="E88" s="5" t="s">
        <v>54</v>
      </c>
      <c r="F88" s="5" t="s">
        <v>55</v>
      </c>
      <c r="G88" s="5" t="s">
        <v>106</v>
      </c>
      <c r="H88" s="5" t="s">
        <v>98</v>
      </c>
      <c r="I88" s="5" t="s">
        <v>107</v>
      </c>
      <c r="J88" s="5">
        <v>857</v>
      </c>
      <c r="K88" s="7">
        <v>1104.0597813089828</v>
      </c>
      <c r="L88" s="5">
        <v>2</v>
      </c>
      <c r="M88" s="5">
        <v>10</v>
      </c>
      <c r="N88" s="8">
        <f t="shared" si="0"/>
        <v>1987.3076063561691</v>
      </c>
      <c r="O88" s="5">
        <f t="shared" si="1"/>
        <v>1714</v>
      </c>
      <c r="P88" s="5">
        <f t="shared" si="2"/>
        <v>273.30760635616912</v>
      </c>
      <c r="Q88" s="5" t="s">
        <v>39</v>
      </c>
      <c r="R88" s="5" t="s">
        <v>32</v>
      </c>
      <c r="S88" s="6">
        <v>44960</v>
      </c>
      <c r="T88" s="5">
        <v>2</v>
      </c>
      <c r="U88" s="5">
        <v>5</v>
      </c>
      <c r="V88" s="5" t="s">
        <v>33</v>
      </c>
      <c r="W88" s="5">
        <f t="shared" si="3"/>
        <v>0</v>
      </c>
    </row>
    <row r="89" spans="1:23" ht="15.75" customHeight="1" x14ac:dyDescent="0.25">
      <c r="A89" s="5" t="s">
        <v>251</v>
      </c>
      <c r="B89" s="6">
        <v>44955</v>
      </c>
      <c r="C89" s="5" t="s">
        <v>252</v>
      </c>
      <c r="D89" s="5" t="s">
        <v>146</v>
      </c>
      <c r="E89" s="5" t="s">
        <v>80</v>
      </c>
      <c r="F89" s="5" t="s">
        <v>80</v>
      </c>
      <c r="G89" s="5" t="s">
        <v>92</v>
      </c>
      <c r="H89" s="5" t="s">
        <v>44</v>
      </c>
      <c r="I89" s="5" t="s">
        <v>45</v>
      </c>
      <c r="J89" s="5">
        <v>945</v>
      </c>
      <c r="K89" s="7">
        <v>1080.6695628898763</v>
      </c>
      <c r="L89" s="5">
        <v>2</v>
      </c>
      <c r="M89" s="5">
        <v>10</v>
      </c>
      <c r="N89" s="8">
        <f t="shared" si="0"/>
        <v>1945.2052132017773</v>
      </c>
      <c r="O89" s="5">
        <f t="shared" si="1"/>
        <v>1890</v>
      </c>
      <c r="P89" s="5">
        <f t="shared" si="2"/>
        <v>55.205213201777269</v>
      </c>
      <c r="Q89" s="5" t="s">
        <v>83</v>
      </c>
      <c r="R89" s="5" t="s">
        <v>56</v>
      </c>
      <c r="T89" s="5">
        <v>10</v>
      </c>
      <c r="U89" s="5">
        <v>1</v>
      </c>
      <c r="W89" s="5">
        <f t="shared" si="3"/>
        <v>0</v>
      </c>
    </row>
    <row r="90" spans="1:23" ht="15.75" customHeight="1" x14ac:dyDescent="0.25">
      <c r="A90" s="5" t="s">
        <v>253</v>
      </c>
      <c r="B90" s="6">
        <v>44956</v>
      </c>
      <c r="C90" s="5" t="s">
        <v>225</v>
      </c>
      <c r="D90" s="5" t="s">
        <v>181</v>
      </c>
      <c r="E90" s="5" t="s">
        <v>69</v>
      </c>
      <c r="F90" s="5" t="s">
        <v>55</v>
      </c>
      <c r="G90" s="5" t="s">
        <v>81</v>
      </c>
      <c r="H90" s="5" t="s">
        <v>44</v>
      </c>
      <c r="I90" s="5" t="s">
        <v>82</v>
      </c>
      <c r="J90" s="5">
        <v>2666</v>
      </c>
      <c r="K90" s="7">
        <v>4039.9621003479783</v>
      </c>
      <c r="L90" s="5">
        <v>4</v>
      </c>
      <c r="M90" s="5">
        <v>0</v>
      </c>
      <c r="N90" s="8">
        <f t="shared" si="0"/>
        <v>16159.848401391913</v>
      </c>
      <c r="O90" s="5">
        <f t="shared" si="1"/>
        <v>10664</v>
      </c>
      <c r="P90" s="5">
        <f t="shared" si="2"/>
        <v>5495.8484013919133</v>
      </c>
      <c r="Q90" s="5" t="s">
        <v>83</v>
      </c>
      <c r="R90" s="5" t="s">
        <v>56</v>
      </c>
      <c r="T90" s="5">
        <v>9</v>
      </c>
      <c r="U90" s="5">
        <v>1</v>
      </c>
      <c r="W90" s="5">
        <f t="shared" si="3"/>
        <v>0</v>
      </c>
    </row>
    <row r="91" spans="1:23" ht="15.75" customHeight="1" x14ac:dyDescent="0.25">
      <c r="A91" s="5" t="s">
        <v>254</v>
      </c>
      <c r="B91" s="6">
        <v>44956</v>
      </c>
      <c r="C91" s="5" t="s">
        <v>255</v>
      </c>
      <c r="D91" s="5" t="s">
        <v>42</v>
      </c>
      <c r="E91" s="5" t="s">
        <v>69</v>
      </c>
      <c r="F91" s="5" t="s">
        <v>55</v>
      </c>
      <c r="G91" s="5" t="s">
        <v>97</v>
      </c>
      <c r="H91" s="5" t="s">
        <v>98</v>
      </c>
      <c r="I91" s="5" t="s">
        <v>99</v>
      </c>
      <c r="J91" s="5">
        <v>582</v>
      </c>
      <c r="K91" s="7">
        <v>785.33755736920818</v>
      </c>
      <c r="L91" s="5">
        <v>4</v>
      </c>
      <c r="M91" s="5">
        <v>0</v>
      </c>
      <c r="N91" s="8">
        <f t="shared" si="0"/>
        <v>3141.3502294768327</v>
      </c>
      <c r="O91" s="5">
        <f t="shared" si="1"/>
        <v>2328</v>
      </c>
      <c r="P91" s="5">
        <f t="shared" si="2"/>
        <v>813.35022947683274</v>
      </c>
      <c r="Q91" s="5" t="s">
        <v>39</v>
      </c>
      <c r="R91" s="5" t="s">
        <v>56</v>
      </c>
      <c r="T91" s="5">
        <v>7</v>
      </c>
      <c r="U91" s="5">
        <v>4</v>
      </c>
      <c r="W91" s="5">
        <f t="shared" si="3"/>
        <v>0</v>
      </c>
    </row>
    <row r="92" spans="1:23" ht="15.75" customHeight="1" x14ac:dyDescent="0.25">
      <c r="A92" s="5" t="s">
        <v>256</v>
      </c>
      <c r="B92" s="6">
        <v>44957</v>
      </c>
      <c r="C92" s="5" t="s">
        <v>257</v>
      </c>
      <c r="D92" s="5" t="s">
        <v>53</v>
      </c>
      <c r="E92" s="5" t="s">
        <v>26</v>
      </c>
      <c r="F92" s="5" t="s">
        <v>27</v>
      </c>
      <c r="G92" s="5" t="s">
        <v>139</v>
      </c>
      <c r="H92" s="5" t="s">
        <v>76</v>
      </c>
      <c r="I92" s="5" t="s">
        <v>140</v>
      </c>
      <c r="J92" s="5">
        <v>40808</v>
      </c>
      <c r="K92" s="7">
        <v>70155.431348076556</v>
      </c>
      <c r="L92" s="5">
        <v>4</v>
      </c>
      <c r="M92" s="5">
        <v>0</v>
      </c>
      <c r="N92" s="8">
        <f t="shared" si="0"/>
        <v>280621.72539230622</v>
      </c>
      <c r="O92" s="5">
        <f t="shared" si="1"/>
        <v>163232</v>
      </c>
      <c r="P92" s="5">
        <f t="shared" si="2"/>
        <v>117389.72539230622</v>
      </c>
      <c r="Q92" s="5" t="s">
        <v>83</v>
      </c>
      <c r="R92" s="5" t="s">
        <v>56</v>
      </c>
      <c r="T92" s="5">
        <v>9</v>
      </c>
      <c r="U92" s="5">
        <v>1</v>
      </c>
      <c r="W92" s="5">
        <f t="shared" si="3"/>
        <v>0</v>
      </c>
    </row>
    <row r="93" spans="1:23" ht="15.75" customHeight="1" x14ac:dyDescent="0.25">
      <c r="A93" s="5" t="s">
        <v>258</v>
      </c>
      <c r="B93" s="6">
        <v>44958</v>
      </c>
      <c r="C93" s="5" t="s">
        <v>259</v>
      </c>
      <c r="D93" s="5" t="s">
        <v>59</v>
      </c>
      <c r="E93" s="5" t="s">
        <v>60</v>
      </c>
      <c r="F93" s="5" t="s">
        <v>61</v>
      </c>
      <c r="G93" s="5" t="s">
        <v>28</v>
      </c>
      <c r="H93" s="5" t="s">
        <v>29</v>
      </c>
      <c r="I93" s="5" t="s">
        <v>30</v>
      </c>
      <c r="J93" s="5">
        <v>3464</v>
      </c>
      <c r="K93" s="7">
        <v>5180.0659152495682</v>
      </c>
      <c r="L93" s="5">
        <v>4</v>
      </c>
      <c r="M93" s="5">
        <v>10</v>
      </c>
      <c r="N93" s="8">
        <f t="shared" si="0"/>
        <v>18648.237294898445</v>
      </c>
      <c r="O93" s="5">
        <f t="shared" si="1"/>
        <v>13856</v>
      </c>
      <c r="P93" s="5">
        <f t="shared" si="2"/>
        <v>4792.2372948984448</v>
      </c>
      <c r="Q93" s="5" t="s">
        <v>31</v>
      </c>
      <c r="R93" s="5" t="s">
        <v>32</v>
      </c>
      <c r="S93" s="6">
        <v>44966</v>
      </c>
      <c r="T93" s="5">
        <v>1</v>
      </c>
      <c r="U93" s="5">
        <v>5</v>
      </c>
      <c r="V93" s="5" t="s">
        <v>33</v>
      </c>
      <c r="W93" s="5">
        <f t="shared" si="3"/>
        <v>0</v>
      </c>
    </row>
    <row r="94" spans="1:23" ht="15.75" customHeight="1" x14ac:dyDescent="0.25">
      <c r="A94" s="5" t="s">
        <v>260</v>
      </c>
      <c r="B94" s="6">
        <v>44958</v>
      </c>
      <c r="C94" s="5" t="s">
        <v>261</v>
      </c>
      <c r="D94" s="5" t="s">
        <v>181</v>
      </c>
      <c r="E94" s="5" t="s">
        <v>26</v>
      </c>
      <c r="F94" s="5" t="s">
        <v>27</v>
      </c>
      <c r="G94" s="5" t="s">
        <v>87</v>
      </c>
      <c r="H94" s="5" t="s">
        <v>29</v>
      </c>
      <c r="I94" s="5" t="s">
        <v>88</v>
      </c>
      <c r="J94" s="5">
        <v>26453</v>
      </c>
      <c r="K94" s="7">
        <v>46272.756057965053</v>
      </c>
      <c r="L94" s="5">
        <v>1</v>
      </c>
      <c r="M94" s="5">
        <v>5</v>
      </c>
      <c r="N94" s="8">
        <f t="shared" si="0"/>
        <v>43959.118255066795</v>
      </c>
      <c r="O94" s="5">
        <f t="shared" si="1"/>
        <v>26453</v>
      </c>
      <c r="P94" s="5">
        <f t="shared" si="2"/>
        <v>17506.118255066795</v>
      </c>
      <c r="Q94" s="5" t="s">
        <v>39</v>
      </c>
      <c r="R94" s="5" t="s">
        <v>32</v>
      </c>
      <c r="S94" s="6">
        <v>44965</v>
      </c>
      <c r="T94" s="5">
        <v>1</v>
      </c>
      <c r="U94" s="5">
        <v>5</v>
      </c>
      <c r="V94" s="5" t="s">
        <v>33</v>
      </c>
      <c r="W94" s="5">
        <f t="shared" si="3"/>
        <v>0</v>
      </c>
    </row>
    <row r="95" spans="1:23" ht="15.75" customHeight="1" x14ac:dyDescent="0.25">
      <c r="A95" s="5" t="s">
        <v>262</v>
      </c>
      <c r="B95" s="6">
        <v>44958</v>
      </c>
      <c r="C95" s="5" t="s">
        <v>263</v>
      </c>
      <c r="D95" s="5" t="s">
        <v>135</v>
      </c>
      <c r="E95" s="5" t="s">
        <v>80</v>
      </c>
      <c r="F95" s="5" t="s">
        <v>80</v>
      </c>
      <c r="G95" s="5" t="s">
        <v>70</v>
      </c>
      <c r="H95" s="5" t="s">
        <v>44</v>
      </c>
      <c r="I95" s="5" t="s">
        <v>71</v>
      </c>
      <c r="J95" s="5">
        <v>1648</v>
      </c>
      <c r="K95" s="7">
        <v>2593.6724761198561</v>
      </c>
      <c r="L95" s="5">
        <v>1</v>
      </c>
      <c r="M95" s="5">
        <v>10</v>
      </c>
      <c r="N95" s="8">
        <f t="shared" si="0"/>
        <v>2334.3052285078707</v>
      </c>
      <c r="O95" s="5">
        <f t="shared" si="1"/>
        <v>1648</v>
      </c>
      <c r="P95" s="5">
        <f t="shared" si="2"/>
        <v>686.30522850787065</v>
      </c>
      <c r="Q95" s="5" t="s">
        <v>83</v>
      </c>
      <c r="R95" s="5" t="s">
        <v>32</v>
      </c>
      <c r="S95" s="6">
        <v>44971</v>
      </c>
      <c r="T95" s="5">
        <v>6</v>
      </c>
      <c r="U95" s="5">
        <v>4</v>
      </c>
      <c r="V95" s="5" t="s">
        <v>89</v>
      </c>
      <c r="W95" s="5">
        <f t="shared" si="3"/>
        <v>1</v>
      </c>
    </row>
    <row r="96" spans="1:23" ht="15.75" customHeight="1" x14ac:dyDescent="0.25">
      <c r="A96" s="5" t="s">
        <v>264</v>
      </c>
      <c r="B96" s="6">
        <v>44958</v>
      </c>
      <c r="C96" s="5" t="s">
        <v>265</v>
      </c>
      <c r="D96" s="5" t="s">
        <v>146</v>
      </c>
      <c r="E96" s="5" t="s">
        <v>80</v>
      </c>
      <c r="F96" s="5" t="s">
        <v>80</v>
      </c>
      <c r="G96" s="5" t="s">
        <v>70</v>
      </c>
      <c r="H96" s="5" t="s">
        <v>44</v>
      </c>
      <c r="I96" s="5" t="s">
        <v>71</v>
      </c>
      <c r="J96" s="5">
        <v>1853</v>
      </c>
      <c r="K96" s="7">
        <v>1864.2706225794461</v>
      </c>
      <c r="L96" s="5">
        <v>4</v>
      </c>
      <c r="M96" s="5">
        <v>10</v>
      </c>
      <c r="N96" s="8">
        <f t="shared" si="0"/>
        <v>6711.3742412860065</v>
      </c>
      <c r="O96" s="5">
        <f t="shared" si="1"/>
        <v>7412</v>
      </c>
      <c r="P96" s="5">
        <f t="shared" si="2"/>
        <v>-700.62575871399349</v>
      </c>
      <c r="Q96" s="5" t="s">
        <v>46</v>
      </c>
      <c r="R96" s="5" t="s">
        <v>56</v>
      </c>
      <c r="T96" s="5">
        <v>8</v>
      </c>
      <c r="U96" s="5">
        <v>4</v>
      </c>
      <c r="W96" s="5">
        <f t="shared" si="3"/>
        <v>0</v>
      </c>
    </row>
    <row r="97" spans="1:23" ht="15.75" customHeight="1" x14ac:dyDescent="0.25">
      <c r="A97" s="5" t="s">
        <v>266</v>
      </c>
      <c r="B97" s="6">
        <v>44958</v>
      </c>
      <c r="C97" s="5" t="s">
        <v>267</v>
      </c>
      <c r="D97" s="5" t="s">
        <v>138</v>
      </c>
      <c r="E97" s="5" t="s">
        <v>54</v>
      </c>
      <c r="F97" s="5" t="s">
        <v>55</v>
      </c>
      <c r="G97" s="5" t="s">
        <v>139</v>
      </c>
      <c r="H97" s="5" t="s">
        <v>76</v>
      </c>
      <c r="I97" s="5" t="s">
        <v>140</v>
      </c>
      <c r="J97" s="5">
        <v>44124</v>
      </c>
      <c r="K97" s="7">
        <v>44892.851152164985</v>
      </c>
      <c r="L97" s="5">
        <v>2</v>
      </c>
      <c r="M97" s="5">
        <v>20</v>
      </c>
      <c r="N97" s="8">
        <f t="shared" si="0"/>
        <v>71828.561843463976</v>
      </c>
      <c r="O97" s="5">
        <f t="shared" si="1"/>
        <v>88248</v>
      </c>
      <c r="P97" s="5">
        <f t="shared" si="2"/>
        <v>-16419.438156536024</v>
      </c>
      <c r="Q97" s="5" t="s">
        <v>31</v>
      </c>
      <c r="R97" s="5" t="s">
        <v>32</v>
      </c>
      <c r="S97" s="6">
        <v>44971</v>
      </c>
      <c r="T97" s="5">
        <v>6</v>
      </c>
      <c r="U97" s="5">
        <v>2</v>
      </c>
      <c r="V97" s="5" t="s">
        <v>33</v>
      </c>
      <c r="W97" s="5">
        <f t="shared" si="3"/>
        <v>0</v>
      </c>
    </row>
    <row r="98" spans="1:23" ht="15.75" customHeight="1" x14ac:dyDescent="0.25">
      <c r="A98" s="5" t="s">
        <v>268</v>
      </c>
      <c r="B98" s="6">
        <v>44958</v>
      </c>
      <c r="C98" s="5" t="s">
        <v>261</v>
      </c>
      <c r="D98" s="5" t="s">
        <v>59</v>
      </c>
      <c r="E98" s="5" t="s">
        <v>60</v>
      </c>
      <c r="F98" s="5" t="s">
        <v>61</v>
      </c>
      <c r="G98" s="5" t="s">
        <v>70</v>
      </c>
      <c r="H98" s="5" t="s">
        <v>44</v>
      </c>
      <c r="I98" s="5" t="s">
        <v>71</v>
      </c>
      <c r="J98" s="5">
        <v>698</v>
      </c>
      <c r="K98" s="7">
        <v>1250.801917349102</v>
      </c>
      <c r="L98" s="5">
        <v>1</v>
      </c>
      <c r="M98" s="5">
        <v>15</v>
      </c>
      <c r="N98" s="8">
        <f t="shared" si="0"/>
        <v>1063.1816297467367</v>
      </c>
      <c r="O98" s="5">
        <f t="shared" si="1"/>
        <v>698</v>
      </c>
      <c r="P98" s="5">
        <f t="shared" si="2"/>
        <v>365.18162974673669</v>
      </c>
      <c r="Q98" s="5" t="s">
        <v>46</v>
      </c>
      <c r="R98" s="5" t="s">
        <v>56</v>
      </c>
      <c r="T98" s="5">
        <v>9</v>
      </c>
      <c r="U98" s="5">
        <v>1</v>
      </c>
      <c r="W98" s="5">
        <f t="shared" si="3"/>
        <v>0</v>
      </c>
    </row>
    <row r="99" spans="1:23" ht="15.75" customHeight="1" x14ac:dyDescent="0.25">
      <c r="A99" s="5" t="s">
        <v>269</v>
      </c>
      <c r="B99" s="6">
        <v>44958</v>
      </c>
      <c r="C99" s="5" t="s">
        <v>270</v>
      </c>
      <c r="D99" s="5" t="s">
        <v>74</v>
      </c>
      <c r="E99" s="5" t="s">
        <v>112</v>
      </c>
      <c r="F99" s="5" t="s">
        <v>113</v>
      </c>
      <c r="G99" s="5" t="s">
        <v>92</v>
      </c>
      <c r="H99" s="5" t="s">
        <v>44</v>
      </c>
      <c r="I99" s="5" t="s">
        <v>45</v>
      </c>
      <c r="J99" s="5">
        <v>1161</v>
      </c>
      <c r="K99" s="7">
        <v>1946.655472088529</v>
      </c>
      <c r="L99" s="5">
        <v>2</v>
      </c>
      <c r="M99" s="5">
        <v>20</v>
      </c>
      <c r="N99" s="8">
        <f t="shared" si="0"/>
        <v>3114.6487553416464</v>
      </c>
      <c r="O99" s="5">
        <f t="shared" si="1"/>
        <v>2322</v>
      </c>
      <c r="P99" s="5">
        <f t="shared" si="2"/>
        <v>792.64875534164639</v>
      </c>
      <c r="Q99" s="5" t="s">
        <v>39</v>
      </c>
      <c r="R99" s="5" t="s">
        <v>32</v>
      </c>
      <c r="S99" s="6">
        <v>44969</v>
      </c>
      <c r="T99" s="5">
        <v>6</v>
      </c>
      <c r="U99" s="5">
        <v>4</v>
      </c>
      <c r="V99" s="5" t="s">
        <v>89</v>
      </c>
      <c r="W99" s="5">
        <f t="shared" si="3"/>
        <v>1</v>
      </c>
    </row>
    <row r="100" spans="1:23" ht="15.75" customHeight="1" x14ac:dyDescent="0.25">
      <c r="A100" s="5" t="s">
        <v>271</v>
      </c>
      <c r="B100" s="6">
        <v>44959</v>
      </c>
      <c r="C100" s="5" t="s">
        <v>272</v>
      </c>
      <c r="D100" s="5" t="s">
        <v>208</v>
      </c>
      <c r="E100" s="5" t="s">
        <v>69</v>
      </c>
      <c r="F100" s="5" t="s">
        <v>55</v>
      </c>
      <c r="G100" s="5" t="s">
        <v>119</v>
      </c>
      <c r="H100" s="5" t="s">
        <v>76</v>
      </c>
      <c r="I100" s="5" t="s">
        <v>120</v>
      </c>
      <c r="J100" s="5">
        <v>48512</v>
      </c>
      <c r="K100" s="7">
        <v>78496.947544577561</v>
      </c>
      <c r="L100" s="5">
        <v>2</v>
      </c>
      <c r="M100" s="5">
        <v>15</v>
      </c>
      <c r="N100" s="8">
        <f t="shared" si="0"/>
        <v>133444.81082578184</v>
      </c>
      <c r="O100" s="5">
        <f t="shared" si="1"/>
        <v>97024</v>
      </c>
      <c r="P100" s="5">
        <f t="shared" si="2"/>
        <v>36420.810825781839</v>
      </c>
      <c r="Q100" s="5" t="s">
        <v>46</v>
      </c>
      <c r="R100" s="5" t="s">
        <v>56</v>
      </c>
      <c r="T100" s="5">
        <v>10</v>
      </c>
      <c r="U100" s="5">
        <v>1</v>
      </c>
      <c r="W100" s="5">
        <f t="shared" si="3"/>
        <v>0</v>
      </c>
    </row>
    <row r="101" spans="1:23" ht="15.75" customHeight="1" x14ac:dyDescent="0.25">
      <c r="A101" s="5" t="s">
        <v>273</v>
      </c>
      <c r="B101" s="6">
        <v>44959</v>
      </c>
      <c r="C101" s="5" t="s">
        <v>274</v>
      </c>
      <c r="D101" s="5" t="s">
        <v>105</v>
      </c>
      <c r="E101" s="5" t="s">
        <v>80</v>
      </c>
      <c r="F101" s="5" t="s">
        <v>80</v>
      </c>
      <c r="G101" s="5" t="s">
        <v>106</v>
      </c>
      <c r="H101" s="5" t="s">
        <v>98</v>
      </c>
      <c r="I101" s="5" t="s">
        <v>107</v>
      </c>
      <c r="J101" s="5">
        <v>801</v>
      </c>
      <c r="K101" s="7">
        <v>1387.1424829511309</v>
      </c>
      <c r="L101" s="5">
        <v>4</v>
      </c>
      <c r="M101" s="5">
        <v>0</v>
      </c>
      <c r="N101" s="8">
        <f t="shared" si="0"/>
        <v>5548.5699318045235</v>
      </c>
      <c r="O101" s="5">
        <f t="shared" si="1"/>
        <v>3204</v>
      </c>
      <c r="P101" s="5">
        <f t="shared" si="2"/>
        <v>2344.5699318045235</v>
      </c>
      <c r="Q101" s="5" t="s">
        <v>31</v>
      </c>
      <c r="R101" s="5" t="s">
        <v>32</v>
      </c>
      <c r="S101" s="6">
        <v>44969</v>
      </c>
      <c r="T101" s="5">
        <v>6</v>
      </c>
      <c r="U101" s="5">
        <v>2</v>
      </c>
      <c r="V101" s="5" t="s">
        <v>33</v>
      </c>
      <c r="W101" s="5">
        <f t="shared" si="3"/>
        <v>0</v>
      </c>
    </row>
    <row r="102" spans="1:23" ht="15.75" customHeight="1" x14ac:dyDescent="0.25">
      <c r="A102" s="5" t="s">
        <v>275</v>
      </c>
      <c r="B102" s="6">
        <v>44959</v>
      </c>
      <c r="C102" s="5" t="s">
        <v>276</v>
      </c>
      <c r="D102" s="5" t="s">
        <v>59</v>
      </c>
      <c r="E102" s="5" t="s">
        <v>80</v>
      </c>
      <c r="F102" s="5" t="s">
        <v>80</v>
      </c>
      <c r="G102" s="5" t="s">
        <v>119</v>
      </c>
      <c r="H102" s="5" t="s">
        <v>76</v>
      </c>
      <c r="I102" s="5" t="s">
        <v>120</v>
      </c>
      <c r="J102" s="5">
        <v>76866</v>
      </c>
      <c r="K102" s="7">
        <v>83397.466167244071</v>
      </c>
      <c r="L102" s="5">
        <v>2</v>
      </c>
      <c r="M102" s="5">
        <v>5</v>
      </c>
      <c r="N102" s="8">
        <f t="shared" si="0"/>
        <v>158455.18571776373</v>
      </c>
      <c r="O102" s="5">
        <f t="shared" si="1"/>
        <v>153732</v>
      </c>
      <c r="P102" s="5">
        <f t="shared" si="2"/>
        <v>4723.1857177637285</v>
      </c>
      <c r="Q102" s="5" t="s">
        <v>31</v>
      </c>
      <c r="R102" s="5" t="s">
        <v>32</v>
      </c>
      <c r="S102" s="6">
        <v>44968</v>
      </c>
      <c r="T102" s="5">
        <v>2</v>
      </c>
      <c r="U102" s="5">
        <v>5</v>
      </c>
      <c r="V102" s="5" t="s">
        <v>33</v>
      </c>
      <c r="W102" s="5">
        <f t="shared" si="3"/>
        <v>0</v>
      </c>
    </row>
    <row r="103" spans="1:23" ht="15.75" customHeight="1" x14ac:dyDescent="0.25">
      <c r="A103" s="5" t="s">
        <v>277</v>
      </c>
      <c r="B103" s="6">
        <v>44959</v>
      </c>
      <c r="C103" s="5" t="s">
        <v>278</v>
      </c>
      <c r="D103" s="5" t="s">
        <v>116</v>
      </c>
      <c r="E103" s="5" t="s">
        <v>112</v>
      </c>
      <c r="F103" s="5" t="s">
        <v>113</v>
      </c>
      <c r="G103" s="5" t="s">
        <v>92</v>
      </c>
      <c r="H103" s="5" t="s">
        <v>44</v>
      </c>
      <c r="I103" s="5" t="s">
        <v>45</v>
      </c>
      <c r="J103" s="5">
        <v>845</v>
      </c>
      <c r="K103" s="7">
        <v>1143.348386227183</v>
      </c>
      <c r="L103" s="5">
        <v>3</v>
      </c>
      <c r="M103" s="5">
        <v>5</v>
      </c>
      <c r="N103" s="8">
        <f t="shared" si="0"/>
        <v>3258.5429007474713</v>
      </c>
      <c r="O103" s="5">
        <f t="shared" si="1"/>
        <v>2535</v>
      </c>
      <c r="P103" s="5">
        <f t="shared" si="2"/>
        <v>723.54290074747132</v>
      </c>
      <c r="Q103" s="5" t="s">
        <v>39</v>
      </c>
      <c r="R103" s="5" t="s">
        <v>32</v>
      </c>
      <c r="S103" s="6">
        <v>44965</v>
      </c>
      <c r="T103" s="5">
        <v>3</v>
      </c>
      <c r="U103" s="5">
        <v>3</v>
      </c>
      <c r="V103" s="5" t="s">
        <v>33</v>
      </c>
      <c r="W103" s="5">
        <f t="shared" si="3"/>
        <v>0</v>
      </c>
    </row>
    <row r="104" spans="1:23" ht="15.75" customHeight="1" x14ac:dyDescent="0.25">
      <c r="A104" s="5" t="s">
        <v>279</v>
      </c>
      <c r="B104" s="6">
        <v>44959</v>
      </c>
      <c r="C104" s="5" t="s">
        <v>278</v>
      </c>
      <c r="D104" s="5" t="s">
        <v>59</v>
      </c>
      <c r="E104" s="5" t="s">
        <v>49</v>
      </c>
      <c r="F104" s="5" t="s">
        <v>50</v>
      </c>
      <c r="G104" s="5" t="s">
        <v>28</v>
      </c>
      <c r="H104" s="5" t="s">
        <v>29</v>
      </c>
      <c r="I104" s="5" t="s">
        <v>30</v>
      </c>
      <c r="J104" s="5">
        <v>4178</v>
      </c>
      <c r="K104" s="7">
        <v>5738.0316821968627</v>
      </c>
      <c r="L104" s="5">
        <v>4</v>
      </c>
      <c r="M104" s="5">
        <v>10</v>
      </c>
      <c r="N104" s="8">
        <f t="shared" si="0"/>
        <v>20656.914055908706</v>
      </c>
      <c r="O104" s="5">
        <f t="shared" si="1"/>
        <v>16712</v>
      </c>
      <c r="P104" s="5">
        <f t="shared" si="2"/>
        <v>3944.9140559087064</v>
      </c>
      <c r="Q104" s="5" t="s">
        <v>31</v>
      </c>
      <c r="R104" s="5" t="s">
        <v>32</v>
      </c>
      <c r="S104" s="6">
        <v>44969</v>
      </c>
      <c r="T104" s="5">
        <v>3</v>
      </c>
      <c r="U104" s="5">
        <v>2</v>
      </c>
      <c r="V104" s="5" t="s">
        <v>33</v>
      </c>
      <c r="W104" s="5">
        <f t="shared" si="3"/>
        <v>0</v>
      </c>
    </row>
    <row r="105" spans="1:23" ht="15.75" customHeight="1" x14ac:dyDescent="0.25">
      <c r="A105" s="5" t="s">
        <v>280</v>
      </c>
      <c r="B105" s="6">
        <v>44959</v>
      </c>
      <c r="C105" s="5" t="s">
        <v>250</v>
      </c>
      <c r="D105" s="5" t="s">
        <v>181</v>
      </c>
      <c r="E105" s="5" t="s">
        <v>54</v>
      </c>
      <c r="F105" s="5" t="s">
        <v>55</v>
      </c>
      <c r="G105" s="5" t="s">
        <v>81</v>
      </c>
      <c r="H105" s="5" t="s">
        <v>44</v>
      </c>
      <c r="I105" s="5" t="s">
        <v>82</v>
      </c>
      <c r="J105" s="5">
        <v>2408</v>
      </c>
      <c r="K105" s="7">
        <v>3055.7128191121651</v>
      </c>
      <c r="L105" s="5">
        <v>4</v>
      </c>
      <c r="M105" s="5">
        <v>20</v>
      </c>
      <c r="N105" s="8">
        <f t="shared" si="0"/>
        <v>9778.2810211589294</v>
      </c>
      <c r="O105" s="5">
        <f t="shared" si="1"/>
        <v>9632</v>
      </c>
      <c r="P105" s="5">
        <f t="shared" si="2"/>
        <v>146.28102115892943</v>
      </c>
      <c r="Q105" s="5" t="s">
        <v>39</v>
      </c>
      <c r="R105" s="5" t="s">
        <v>56</v>
      </c>
      <c r="T105" s="5">
        <v>8</v>
      </c>
      <c r="U105" s="5">
        <v>2</v>
      </c>
      <c r="W105" s="5">
        <f t="shared" si="3"/>
        <v>0</v>
      </c>
    </row>
    <row r="106" spans="1:23" ht="15.75" customHeight="1" x14ac:dyDescent="0.25">
      <c r="A106" s="5" t="s">
        <v>281</v>
      </c>
      <c r="B106" s="6">
        <v>44960</v>
      </c>
      <c r="C106" s="5" t="s">
        <v>282</v>
      </c>
      <c r="D106" s="5" t="s">
        <v>86</v>
      </c>
      <c r="E106" s="5" t="s">
        <v>49</v>
      </c>
      <c r="F106" s="5" t="s">
        <v>50</v>
      </c>
      <c r="G106" s="5" t="s">
        <v>70</v>
      </c>
      <c r="H106" s="5" t="s">
        <v>44</v>
      </c>
      <c r="I106" s="5" t="s">
        <v>71</v>
      </c>
      <c r="J106" s="5">
        <v>947</v>
      </c>
      <c r="K106" s="7">
        <v>1565.133445375189</v>
      </c>
      <c r="L106" s="5">
        <v>2</v>
      </c>
      <c r="M106" s="5">
        <v>15</v>
      </c>
      <c r="N106" s="8">
        <f t="shared" si="0"/>
        <v>2660.7268571378213</v>
      </c>
      <c r="O106" s="5">
        <f t="shared" si="1"/>
        <v>1894</v>
      </c>
      <c r="P106" s="5">
        <f t="shared" si="2"/>
        <v>766.7268571378213</v>
      </c>
      <c r="Q106" s="5" t="s">
        <v>83</v>
      </c>
      <c r="R106" s="5" t="s">
        <v>32</v>
      </c>
      <c r="S106" s="6">
        <v>44968</v>
      </c>
      <c r="T106" s="5">
        <v>4</v>
      </c>
      <c r="U106" s="5">
        <v>3</v>
      </c>
      <c r="V106" s="5" t="s">
        <v>33</v>
      </c>
      <c r="W106" s="5">
        <f t="shared" si="3"/>
        <v>0</v>
      </c>
    </row>
    <row r="107" spans="1:23" ht="15.75" customHeight="1" x14ac:dyDescent="0.25">
      <c r="A107" s="5" t="s">
        <v>283</v>
      </c>
      <c r="B107" s="6">
        <v>44960</v>
      </c>
      <c r="C107" s="5" t="s">
        <v>284</v>
      </c>
      <c r="D107" s="5" t="s">
        <v>86</v>
      </c>
      <c r="E107" s="5" t="s">
        <v>60</v>
      </c>
      <c r="F107" s="5" t="s">
        <v>61</v>
      </c>
      <c r="G107" s="5" t="s">
        <v>75</v>
      </c>
      <c r="H107" s="5" t="s">
        <v>76</v>
      </c>
      <c r="I107" s="5" t="s">
        <v>77</v>
      </c>
      <c r="J107" s="5">
        <v>546</v>
      </c>
      <c r="K107" s="7">
        <v>569.94878651665874</v>
      </c>
      <c r="L107" s="5">
        <v>3</v>
      </c>
      <c r="M107" s="5">
        <v>5</v>
      </c>
      <c r="N107" s="8">
        <f t="shared" si="0"/>
        <v>1624.3540415724772</v>
      </c>
      <c r="O107" s="5">
        <f t="shared" si="1"/>
        <v>1638</v>
      </c>
      <c r="P107" s="5">
        <f t="shared" si="2"/>
        <v>-13.645958427522828</v>
      </c>
      <c r="Q107" s="5" t="s">
        <v>83</v>
      </c>
      <c r="R107" s="5" t="s">
        <v>56</v>
      </c>
      <c r="T107" s="5">
        <v>10</v>
      </c>
      <c r="U107" s="5">
        <v>1</v>
      </c>
      <c r="W107" s="5">
        <f t="shared" si="3"/>
        <v>0</v>
      </c>
    </row>
    <row r="108" spans="1:23" ht="15.75" customHeight="1" x14ac:dyDescent="0.25">
      <c r="A108" s="5" t="s">
        <v>285</v>
      </c>
      <c r="B108" s="6">
        <v>44960</v>
      </c>
      <c r="C108" s="5" t="s">
        <v>286</v>
      </c>
      <c r="D108" s="5" t="s">
        <v>148</v>
      </c>
      <c r="E108" s="5" t="s">
        <v>112</v>
      </c>
      <c r="F108" s="5" t="s">
        <v>113</v>
      </c>
      <c r="G108" s="5" t="s">
        <v>119</v>
      </c>
      <c r="H108" s="5" t="s">
        <v>76</v>
      </c>
      <c r="I108" s="5" t="s">
        <v>120</v>
      </c>
      <c r="J108" s="5">
        <v>54914</v>
      </c>
      <c r="K108" s="7">
        <v>84723.78246143047</v>
      </c>
      <c r="L108" s="5">
        <v>4</v>
      </c>
      <c r="M108" s="5">
        <v>0</v>
      </c>
      <c r="N108" s="8">
        <f t="shared" si="0"/>
        <v>338895.12984572188</v>
      </c>
      <c r="O108" s="5">
        <f t="shared" si="1"/>
        <v>219656</v>
      </c>
      <c r="P108" s="5">
        <f t="shared" si="2"/>
        <v>119239.12984572188</v>
      </c>
      <c r="Q108" s="5" t="s">
        <v>31</v>
      </c>
      <c r="R108" s="5" t="s">
        <v>32</v>
      </c>
      <c r="S108" s="6">
        <v>44969</v>
      </c>
      <c r="T108" s="5">
        <v>3</v>
      </c>
      <c r="U108" s="5">
        <v>3</v>
      </c>
      <c r="V108" s="5" t="s">
        <v>33</v>
      </c>
      <c r="W108" s="5">
        <f t="shared" si="3"/>
        <v>0</v>
      </c>
    </row>
    <row r="109" spans="1:23" ht="15.75" customHeight="1" x14ac:dyDescent="0.25">
      <c r="A109" s="5" t="s">
        <v>287</v>
      </c>
      <c r="B109" s="6">
        <v>44961</v>
      </c>
      <c r="C109" s="5" t="s">
        <v>288</v>
      </c>
      <c r="D109" s="5" t="s">
        <v>42</v>
      </c>
      <c r="E109" s="5" t="s">
        <v>49</v>
      </c>
      <c r="F109" s="5" t="s">
        <v>50</v>
      </c>
      <c r="G109" s="5" t="s">
        <v>70</v>
      </c>
      <c r="H109" s="5" t="s">
        <v>44</v>
      </c>
      <c r="I109" s="5" t="s">
        <v>71</v>
      </c>
      <c r="J109" s="5">
        <v>911</v>
      </c>
      <c r="K109" s="7">
        <v>1511.1999786412111</v>
      </c>
      <c r="L109" s="5">
        <v>3</v>
      </c>
      <c r="M109" s="5">
        <v>20</v>
      </c>
      <c r="N109" s="8">
        <f t="shared" si="0"/>
        <v>3626.8799487389074</v>
      </c>
      <c r="O109" s="5">
        <f t="shared" si="1"/>
        <v>2733</v>
      </c>
      <c r="P109" s="5">
        <f t="shared" si="2"/>
        <v>893.87994873890739</v>
      </c>
      <c r="Q109" s="5" t="s">
        <v>31</v>
      </c>
      <c r="R109" s="5" t="s">
        <v>32</v>
      </c>
      <c r="S109" s="6">
        <v>44972</v>
      </c>
      <c r="T109" s="5">
        <v>5</v>
      </c>
      <c r="U109" s="5">
        <v>4</v>
      </c>
      <c r="V109" s="5" t="s">
        <v>33</v>
      </c>
      <c r="W109" s="5">
        <f t="shared" si="3"/>
        <v>0</v>
      </c>
    </row>
    <row r="110" spans="1:23" ht="15.75" customHeight="1" x14ac:dyDescent="0.25">
      <c r="A110" s="5" t="s">
        <v>289</v>
      </c>
      <c r="B110" s="6">
        <v>44961</v>
      </c>
      <c r="C110" s="5" t="s">
        <v>290</v>
      </c>
      <c r="D110" s="5" t="s">
        <v>181</v>
      </c>
      <c r="E110" s="5" t="s">
        <v>80</v>
      </c>
      <c r="F110" s="5" t="s">
        <v>80</v>
      </c>
      <c r="G110" s="5" t="s">
        <v>87</v>
      </c>
      <c r="H110" s="5" t="s">
        <v>29</v>
      </c>
      <c r="I110" s="5" t="s">
        <v>88</v>
      </c>
      <c r="J110" s="5">
        <v>42996</v>
      </c>
      <c r="K110" s="7">
        <v>67590.125924891807</v>
      </c>
      <c r="L110" s="5">
        <v>3</v>
      </c>
      <c r="M110" s="5">
        <v>20</v>
      </c>
      <c r="N110" s="8">
        <f t="shared" si="0"/>
        <v>162216.30221974035</v>
      </c>
      <c r="O110" s="5">
        <f t="shared" si="1"/>
        <v>128988</v>
      </c>
      <c r="P110" s="5">
        <f t="shared" si="2"/>
        <v>33228.302219740348</v>
      </c>
      <c r="Q110" s="5" t="s">
        <v>39</v>
      </c>
      <c r="R110" s="5" t="s">
        <v>32</v>
      </c>
      <c r="S110" s="6">
        <v>44968</v>
      </c>
      <c r="T110" s="5">
        <v>1</v>
      </c>
      <c r="U110" s="5">
        <v>4</v>
      </c>
      <c r="V110" s="5" t="s">
        <v>33</v>
      </c>
      <c r="W110" s="5">
        <f t="shared" si="3"/>
        <v>0</v>
      </c>
    </row>
    <row r="111" spans="1:23" ht="15.75" customHeight="1" x14ac:dyDescent="0.25">
      <c r="A111" s="5" t="s">
        <v>291</v>
      </c>
      <c r="B111" s="6">
        <v>44961</v>
      </c>
      <c r="C111" s="5" t="s">
        <v>292</v>
      </c>
      <c r="D111" s="5" t="s">
        <v>64</v>
      </c>
      <c r="E111" s="5" t="s">
        <v>54</v>
      </c>
      <c r="F111" s="5" t="s">
        <v>55</v>
      </c>
      <c r="G111" s="5" t="s">
        <v>81</v>
      </c>
      <c r="H111" s="5" t="s">
        <v>44</v>
      </c>
      <c r="I111" s="5" t="s">
        <v>82</v>
      </c>
      <c r="J111" s="5">
        <v>2205</v>
      </c>
      <c r="K111" s="7">
        <v>3014.2853706076448</v>
      </c>
      <c r="L111" s="5">
        <v>2</v>
      </c>
      <c r="M111" s="5">
        <v>0</v>
      </c>
      <c r="N111" s="8">
        <f t="shared" si="0"/>
        <v>6028.5707412152897</v>
      </c>
      <c r="O111" s="5">
        <f t="shared" si="1"/>
        <v>4410</v>
      </c>
      <c r="P111" s="5">
        <f t="shared" si="2"/>
        <v>1618.5707412152897</v>
      </c>
      <c r="Q111" s="5" t="s">
        <v>83</v>
      </c>
      <c r="R111" s="5" t="s">
        <v>32</v>
      </c>
      <c r="S111" s="6">
        <v>44970</v>
      </c>
      <c r="T111" s="5">
        <v>4</v>
      </c>
      <c r="U111" s="5">
        <v>4</v>
      </c>
      <c r="V111" s="5" t="s">
        <v>33</v>
      </c>
      <c r="W111" s="5">
        <f t="shared" si="3"/>
        <v>0</v>
      </c>
    </row>
    <row r="112" spans="1:23" ht="15.75" customHeight="1" x14ac:dyDescent="0.25">
      <c r="A112" s="5" t="s">
        <v>293</v>
      </c>
      <c r="B112" s="6">
        <v>44962</v>
      </c>
      <c r="C112" s="5" t="s">
        <v>294</v>
      </c>
      <c r="D112" s="5" t="s">
        <v>208</v>
      </c>
      <c r="E112" s="5" t="s">
        <v>60</v>
      </c>
      <c r="F112" s="5" t="s">
        <v>61</v>
      </c>
      <c r="G112" s="5" t="s">
        <v>119</v>
      </c>
      <c r="H112" s="5" t="s">
        <v>76</v>
      </c>
      <c r="I112" s="5" t="s">
        <v>120</v>
      </c>
      <c r="J112" s="5">
        <v>74729</v>
      </c>
      <c r="K112" s="7">
        <v>81429.721261928978</v>
      </c>
      <c r="L112" s="5">
        <v>2</v>
      </c>
      <c r="M112" s="5">
        <v>10</v>
      </c>
      <c r="N112" s="8">
        <f t="shared" si="0"/>
        <v>146573.49827147217</v>
      </c>
      <c r="O112" s="5">
        <f t="shared" si="1"/>
        <v>149458</v>
      </c>
      <c r="P112" s="5">
        <f t="shared" si="2"/>
        <v>-2884.50172852783</v>
      </c>
      <c r="Q112" s="5" t="s">
        <v>31</v>
      </c>
      <c r="R112" s="5" t="s">
        <v>56</v>
      </c>
      <c r="T112" s="5">
        <v>7</v>
      </c>
      <c r="U112" s="5">
        <v>2</v>
      </c>
      <c r="W112" s="5">
        <f t="shared" si="3"/>
        <v>0</v>
      </c>
    </row>
    <row r="113" spans="1:23" ht="15.75" customHeight="1" x14ac:dyDescent="0.25">
      <c r="A113" s="5" t="s">
        <v>295</v>
      </c>
      <c r="B113" s="6">
        <v>44962</v>
      </c>
      <c r="C113" s="5" t="s">
        <v>296</v>
      </c>
      <c r="D113" s="5" t="s">
        <v>42</v>
      </c>
      <c r="E113" s="5" t="s">
        <v>26</v>
      </c>
      <c r="F113" s="5" t="s">
        <v>27</v>
      </c>
      <c r="G113" s="5" t="s">
        <v>119</v>
      </c>
      <c r="H113" s="5" t="s">
        <v>76</v>
      </c>
      <c r="I113" s="5" t="s">
        <v>120</v>
      </c>
      <c r="J113" s="5">
        <v>34700</v>
      </c>
      <c r="K113" s="7">
        <v>49649.927849957567</v>
      </c>
      <c r="L113" s="5">
        <v>5</v>
      </c>
      <c r="M113" s="5">
        <v>10</v>
      </c>
      <c r="N113" s="8">
        <f t="shared" si="0"/>
        <v>223424.67532480907</v>
      </c>
      <c r="O113" s="5">
        <f t="shared" si="1"/>
        <v>173500</v>
      </c>
      <c r="P113" s="5">
        <f t="shared" si="2"/>
        <v>49924.675324809068</v>
      </c>
      <c r="Q113" s="5" t="s">
        <v>46</v>
      </c>
      <c r="R113" s="5" t="s">
        <v>56</v>
      </c>
      <c r="T113" s="5">
        <v>7</v>
      </c>
      <c r="U113" s="5">
        <v>4</v>
      </c>
      <c r="W113" s="5">
        <f t="shared" si="3"/>
        <v>0</v>
      </c>
    </row>
    <row r="114" spans="1:23" ht="15.75" customHeight="1" x14ac:dyDescent="0.25">
      <c r="A114" s="5" t="s">
        <v>297</v>
      </c>
      <c r="B114" s="6">
        <v>44962</v>
      </c>
      <c r="C114" s="5" t="s">
        <v>48</v>
      </c>
      <c r="D114" s="5" t="s">
        <v>150</v>
      </c>
      <c r="E114" s="5" t="s">
        <v>26</v>
      </c>
      <c r="F114" s="5" t="s">
        <v>27</v>
      </c>
      <c r="G114" s="5" t="s">
        <v>124</v>
      </c>
      <c r="H114" s="5" t="s">
        <v>76</v>
      </c>
      <c r="I114" s="5" t="s">
        <v>125</v>
      </c>
      <c r="J114" s="5">
        <v>74029</v>
      </c>
      <c r="K114" s="7">
        <v>86139.926332229938</v>
      </c>
      <c r="L114" s="5">
        <v>4</v>
      </c>
      <c r="M114" s="5">
        <v>10</v>
      </c>
      <c r="N114" s="8">
        <f t="shared" si="0"/>
        <v>310103.73479602777</v>
      </c>
      <c r="O114" s="5">
        <f t="shared" si="1"/>
        <v>296116</v>
      </c>
      <c r="P114" s="5">
        <f t="shared" si="2"/>
        <v>13987.734796027769</v>
      </c>
      <c r="Q114" s="5" t="s">
        <v>46</v>
      </c>
      <c r="R114" s="5" t="s">
        <v>32</v>
      </c>
      <c r="S114" s="6">
        <v>44974</v>
      </c>
      <c r="T114" s="5">
        <v>5</v>
      </c>
      <c r="U114" s="5">
        <v>3</v>
      </c>
      <c r="V114" s="5" t="s">
        <v>33</v>
      </c>
      <c r="W114" s="5">
        <f t="shared" si="3"/>
        <v>0</v>
      </c>
    </row>
    <row r="115" spans="1:23" ht="15.75" customHeight="1" x14ac:dyDescent="0.25">
      <c r="A115" s="5" t="s">
        <v>298</v>
      </c>
      <c r="B115" s="6">
        <v>44962</v>
      </c>
      <c r="C115" s="5" t="s">
        <v>299</v>
      </c>
      <c r="D115" s="5" t="s">
        <v>148</v>
      </c>
      <c r="E115" s="5" t="s">
        <v>69</v>
      </c>
      <c r="F115" s="5" t="s">
        <v>55</v>
      </c>
      <c r="G115" s="5" t="s">
        <v>70</v>
      </c>
      <c r="H115" s="5" t="s">
        <v>44</v>
      </c>
      <c r="I115" s="5" t="s">
        <v>71</v>
      </c>
      <c r="J115" s="5">
        <v>1812</v>
      </c>
      <c r="K115" s="7">
        <v>2021.8290292315389</v>
      </c>
      <c r="L115" s="5">
        <v>4</v>
      </c>
      <c r="M115" s="5">
        <v>20</v>
      </c>
      <c r="N115" s="8">
        <f t="shared" si="0"/>
        <v>6469.8528935409249</v>
      </c>
      <c r="O115" s="5">
        <f t="shared" si="1"/>
        <v>7248</v>
      </c>
      <c r="P115" s="5">
        <f t="shared" si="2"/>
        <v>-778.14710645907508</v>
      </c>
      <c r="Q115" s="5" t="s">
        <v>31</v>
      </c>
      <c r="R115" s="5" t="s">
        <v>32</v>
      </c>
      <c r="S115" s="6">
        <v>44974</v>
      </c>
      <c r="T115" s="5">
        <v>5</v>
      </c>
      <c r="U115" s="5">
        <v>3</v>
      </c>
      <c r="V115" s="5" t="s">
        <v>33</v>
      </c>
      <c r="W115" s="5">
        <f t="shared" si="3"/>
        <v>0</v>
      </c>
    </row>
    <row r="116" spans="1:23" ht="15.75" customHeight="1" x14ac:dyDescent="0.25">
      <c r="A116" s="5" t="s">
        <v>300</v>
      </c>
      <c r="B116" s="6">
        <v>44962</v>
      </c>
      <c r="C116" s="5" t="s">
        <v>301</v>
      </c>
      <c r="D116" s="5" t="s">
        <v>86</v>
      </c>
      <c r="E116" s="5" t="s">
        <v>60</v>
      </c>
      <c r="F116" s="5" t="s">
        <v>61</v>
      </c>
      <c r="G116" s="5" t="s">
        <v>43</v>
      </c>
      <c r="H116" s="5" t="s">
        <v>44</v>
      </c>
      <c r="I116" s="5" t="s">
        <v>45</v>
      </c>
      <c r="J116" s="5">
        <v>594</v>
      </c>
      <c r="K116" s="7">
        <v>1053.1842836372707</v>
      </c>
      <c r="L116" s="5">
        <v>4</v>
      </c>
      <c r="M116" s="5">
        <v>10</v>
      </c>
      <c r="N116" s="8">
        <f t="shared" si="0"/>
        <v>3791.4634210941745</v>
      </c>
      <c r="O116" s="5">
        <f t="shared" si="1"/>
        <v>2376</v>
      </c>
      <c r="P116" s="5">
        <f t="shared" si="2"/>
        <v>1415.4634210941745</v>
      </c>
      <c r="Q116" s="5" t="s">
        <v>39</v>
      </c>
      <c r="R116" s="5" t="s">
        <v>32</v>
      </c>
      <c r="S116" s="6">
        <v>44972</v>
      </c>
      <c r="T116" s="5">
        <v>5</v>
      </c>
      <c r="U116" s="5">
        <v>4</v>
      </c>
      <c r="V116" s="5" t="s">
        <v>33</v>
      </c>
      <c r="W116" s="5">
        <f t="shared" si="3"/>
        <v>0</v>
      </c>
    </row>
    <row r="117" spans="1:23" ht="15.75" customHeight="1" x14ac:dyDescent="0.25">
      <c r="A117" s="5" t="s">
        <v>302</v>
      </c>
      <c r="B117" s="6">
        <v>44963</v>
      </c>
      <c r="C117" s="5" t="s">
        <v>255</v>
      </c>
      <c r="D117" s="5" t="s">
        <v>53</v>
      </c>
      <c r="E117" s="5" t="s">
        <v>37</v>
      </c>
      <c r="F117" s="5" t="s">
        <v>38</v>
      </c>
      <c r="G117" s="5" t="s">
        <v>139</v>
      </c>
      <c r="H117" s="5" t="s">
        <v>76</v>
      </c>
      <c r="I117" s="5" t="s">
        <v>140</v>
      </c>
      <c r="J117" s="5">
        <v>32091</v>
      </c>
      <c r="K117" s="7">
        <v>54613.750396159616</v>
      </c>
      <c r="L117" s="5">
        <v>4</v>
      </c>
      <c r="M117" s="5">
        <v>20</v>
      </c>
      <c r="N117" s="8">
        <f t="shared" si="0"/>
        <v>174764.00126771079</v>
      </c>
      <c r="O117" s="5">
        <f t="shared" si="1"/>
        <v>128364</v>
      </c>
      <c r="P117" s="5">
        <f t="shared" si="2"/>
        <v>46400.001267710788</v>
      </c>
      <c r="Q117" s="5" t="s">
        <v>83</v>
      </c>
      <c r="R117" s="5" t="s">
        <v>32</v>
      </c>
      <c r="S117" s="6">
        <v>44970</v>
      </c>
      <c r="T117" s="5">
        <v>1</v>
      </c>
      <c r="U117" s="5">
        <v>4</v>
      </c>
      <c r="V117" s="5" t="s">
        <v>33</v>
      </c>
      <c r="W117" s="5">
        <f t="shared" si="3"/>
        <v>0</v>
      </c>
    </row>
    <row r="118" spans="1:23" ht="15.75" customHeight="1" x14ac:dyDescent="0.25">
      <c r="A118" s="5" t="s">
        <v>303</v>
      </c>
      <c r="B118" s="6">
        <v>44963</v>
      </c>
      <c r="C118" s="5" t="s">
        <v>304</v>
      </c>
      <c r="D118" s="5" t="s">
        <v>42</v>
      </c>
      <c r="E118" s="5" t="s">
        <v>54</v>
      </c>
      <c r="F118" s="5" t="s">
        <v>55</v>
      </c>
      <c r="G118" s="5" t="s">
        <v>43</v>
      </c>
      <c r="H118" s="5" t="s">
        <v>44</v>
      </c>
      <c r="I118" s="5" t="s">
        <v>45</v>
      </c>
      <c r="J118" s="5">
        <v>297</v>
      </c>
      <c r="K118" s="7">
        <v>407.57759421271982</v>
      </c>
      <c r="L118" s="5">
        <v>3</v>
      </c>
      <c r="M118" s="5">
        <v>10</v>
      </c>
      <c r="N118" s="8">
        <f t="shared" si="0"/>
        <v>1100.4595043743436</v>
      </c>
      <c r="O118" s="5">
        <f t="shared" si="1"/>
        <v>891</v>
      </c>
      <c r="P118" s="5">
        <f t="shared" si="2"/>
        <v>209.45950437434362</v>
      </c>
      <c r="Q118" s="5" t="s">
        <v>83</v>
      </c>
      <c r="R118" s="5" t="s">
        <v>32</v>
      </c>
      <c r="S118" s="6">
        <v>44968</v>
      </c>
      <c r="T118" s="5">
        <v>1</v>
      </c>
      <c r="U118" s="5">
        <v>4</v>
      </c>
      <c r="V118" s="5" t="s">
        <v>33</v>
      </c>
      <c r="W118" s="5">
        <f t="shared" si="3"/>
        <v>0</v>
      </c>
    </row>
    <row r="119" spans="1:23" ht="15.75" customHeight="1" x14ac:dyDescent="0.25">
      <c r="A119" s="5" t="s">
        <v>305</v>
      </c>
      <c r="B119" s="6">
        <v>44963</v>
      </c>
      <c r="C119" s="5" t="s">
        <v>306</v>
      </c>
      <c r="D119" s="5" t="s">
        <v>86</v>
      </c>
      <c r="E119" s="5" t="s">
        <v>37</v>
      </c>
      <c r="F119" s="5" t="s">
        <v>38</v>
      </c>
      <c r="G119" s="5" t="s">
        <v>97</v>
      </c>
      <c r="H119" s="5" t="s">
        <v>98</v>
      </c>
      <c r="I119" s="5" t="s">
        <v>99</v>
      </c>
      <c r="J119" s="5">
        <v>468</v>
      </c>
      <c r="K119" s="7">
        <v>832.92138596336576</v>
      </c>
      <c r="L119" s="5">
        <v>4</v>
      </c>
      <c r="M119" s="5">
        <v>15</v>
      </c>
      <c r="N119" s="8">
        <f t="shared" si="0"/>
        <v>2831.9327122754435</v>
      </c>
      <c r="O119" s="5">
        <f t="shared" si="1"/>
        <v>1872</v>
      </c>
      <c r="P119" s="5">
        <f t="shared" si="2"/>
        <v>959.93271227544346</v>
      </c>
      <c r="Q119" s="5" t="s">
        <v>39</v>
      </c>
      <c r="R119" s="5" t="s">
        <v>32</v>
      </c>
      <c r="S119" s="6">
        <v>44972</v>
      </c>
      <c r="T119" s="5">
        <v>5</v>
      </c>
      <c r="U119" s="5">
        <v>4</v>
      </c>
      <c r="V119" s="5" t="s">
        <v>33</v>
      </c>
      <c r="W119" s="5">
        <f t="shared" si="3"/>
        <v>0</v>
      </c>
    </row>
    <row r="120" spans="1:23" ht="15.75" customHeight="1" x14ac:dyDescent="0.25">
      <c r="A120" s="5" t="s">
        <v>307</v>
      </c>
      <c r="B120" s="6">
        <v>44964</v>
      </c>
      <c r="C120" s="5" t="s">
        <v>243</v>
      </c>
      <c r="D120" s="5" t="s">
        <v>74</v>
      </c>
      <c r="E120" s="5" t="s">
        <v>80</v>
      </c>
      <c r="F120" s="5" t="s">
        <v>80</v>
      </c>
      <c r="G120" s="5" t="s">
        <v>28</v>
      </c>
      <c r="H120" s="5" t="s">
        <v>29</v>
      </c>
      <c r="I120" s="5" t="s">
        <v>30</v>
      </c>
      <c r="J120" s="5">
        <v>3714</v>
      </c>
      <c r="K120" s="7">
        <v>4551.2906821979204</v>
      </c>
      <c r="L120" s="5">
        <v>5</v>
      </c>
      <c r="M120" s="5">
        <v>15</v>
      </c>
      <c r="N120" s="8">
        <f t="shared" si="0"/>
        <v>19342.98539934116</v>
      </c>
      <c r="O120" s="5">
        <f t="shared" si="1"/>
        <v>18570</v>
      </c>
      <c r="P120" s="5">
        <f t="shared" si="2"/>
        <v>772.98539934115979</v>
      </c>
      <c r="Q120" s="5" t="s">
        <v>31</v>
      </c>
      <c r="R120" s="5" t="s">
        <v>32</v>
      </c>
      <c r="S120" s="6">
        <v>44973</v>
      </c>
      <c r="T120" s="5">
        <v>6</v>
      </c>
      <c r="U120" s="5">
        <v>4</v>
      </c>
      <c r="V120" s="5" t="s">
        <v>89</v>
      </c>
      <c r="W120" s="5">
        <f t="shared" si="3"/>
        <v>1</v>
      </c>
    </row>
    <row r="121" spans="1:23" ht="15.75" customHeight="1" x14ac:dyDescent="0.25">
      <c r="A121" s="5" t="s">
        <v>308</v>
      </c>
      <c r="B121" s="6">
        <v>44965</v>
      </c>
      <c r="C121" s="5" t="s">
        <v>309</v>
      </c>
      <c r="D121" s="5" t="s">
        <v>36</v>
      </c>
      <c r="E121" s="5" t="s">
        <v>26</v>
      </c>
      <c r="F121" s="5" t="s">
        <v>27</v>
      </c>
      <c r="G121" s="5" t="s">
        <v>97</v>
      </c>
      <c r="H121" s="5" t="s">
        <v>98</v>
      </c>
      <c r="I121" s="5" t="s">
        <v>99</v>
      </c>
      <c r="J121" s="5">
        <v>397</v>
      </c>
      <c r="K121" s="7">
        <v>572.12878879232562</v>
      </c>
      <c r="L121" s="5">
        <v>5</v>
      </c>
      <c r="M121" s="5">
        <v>20</v>
      </c>
      <c r="N121" s="8">
        <f t="shared" si="0"/>
        <v>2288.5151551693025</v>
      </c>
      <c r="O121" s="5">
        <f t="shared" si="1"/>
        <v>1985</v>
      </c>
      <c r="P121" s="5">
        <f t="shared" si="2"/>
        <v>303.51515516930249</v>
      </c>
      <c r="Q121" s="5" t="s">
        <v>46</v>
      </c>
      <c r="R121" s="5" t="s">
        <v>32</v>
      </c>
      <c r="S121" s="6">
        <v>44971</v>
      </c>
      <c r="T121" s="5">
        <v>2</v>
      </c>
      <c r="U121" s="5">
        <v>5</v>
      </c>
      <c r="V121" s="5" t="s">
        <v>33</v>
      </c>
      <c r="W121" s="5">
        <f t="shared" si="3"/>
        <v>0</v>
      </c>
    </row>
    <row r="122" spans="1:23" ht="15.75" customHeight="1" x14ac:dyDescent="0.25">
      <c r="A122" s="5" t="s">
        <v>310</v>
      </c>
      <c r="B122" s="6">
        <v>44966</v>
      </c>
      <c r="C122" s="5" t="s">
        <v>203</v>
      </c>
      <c r="D122" s="5" t="s">
        <v>148</v>
      </c>
      <c r="E122" s="5" t="s">
        <v>26</v>
      </c>
      <c r="F122" s="5" t="s">
        <v>27</v>
      </c>
      <c r="G122" s="5" t="s">
        <v>139</v>
      </c>
      <c r="H122" s="5" t="s">
        <v>76</v>
      </c>
      <c r="I122" s="5" t="s">
        <v>140</v>
      </c>
      <c r="J122" s="5">
        <v>43794</v>
      </c>
      <c r="K122" s="7">
        <v>74252.918321333404</v>
      </c>
      <c r="L122" s="5">
        <v>1</v>
      </c>
      <c r="M122" s="5">
        <v>15</v>
      </c>
      <c r="N122" s="8">
        <f t="shared" si="0"/>
        <v>63114.980573133391</v>
      </c>
      <c r="O122" s="5">
        <f t="shared" si="1"/>
        <v>43794</v>
      </c>
      <c r="P122" s="5">
        <f t="shared" si="2"/>
        <v>19320.980573133391</v>
      </c>
      <c r="Q122" s="5" t="s">
        <v>83</v>
      </c>
      <c r="R122" s="5" t="s">
        <v>56</v>
      </c>
      <c r="T122" s="5">
        <v>8</v>
      </c>
      <c r="U122" s="5">
        <v>2</v>
      </c>
      <c r="W122" s="5">
        <f t="shared" si="3"/>
        <v>0</v>
      </c>
    </row>
    <row r="123" spans="1:23" ht="15.75" customHeight="1" x14ac:dyDescent="0.25">
      <c r="A123" s="5" t="s">
        <v>311</v>
      </c>
      <c r="B123" s="6">
        <v>44966</v>
      </c>
      <c r="C123" s="5" t="s">
        <v>123</v>
      </c>
      <c r="D123" s="5" t="s">
        <v>135</v>
      </c>
      <c r="E123" s="5" t="s">
        <v>112</v>
      </c>
      <c r="F123" s="5" t="s">
        <v>113</v>
      </c>
      <c r="G123" s="5" t="s">
        <v>70</v>
      </c>
      <c r="H123" s="5" t="s">
        <v>44</v>
      </c>
      <c r="I123" s="5" t="s">
        <v>71</v>
      </c>
      <c r="J123" s="5">
        <v>1542</v>
      </c>
      <c r="K123" s="7">
        <v>2266.7217556568239</v>
      </c>
      <c r="L123" s="5">
        <v>4</v>
      </c>
      <c r="M123" s="5">
        <v>15</v>
      </c>
      <c r="N123" s="8">
        <f t="shared" si="0"/>
        <v>7706.8539692332015</v>
      </c>
      <c r="O123" s="5">
        <f t="shared" si="1"/>
        <v>6168</v>
      </c>
      <c r="P123" s="5">
        <f t="shared" si="2"/>
        <v>1538.8539692332015</v>
      </c>
      <c r="Q123" s="5" t="s">
        <v>83</v>
      </c>
      <c r="R123" s="5" t="s">
        <v>32</v>
      </c>
      <c r="S123" s="6">
        <v>44973</v>
      </c>
      <c r="T123" s="5">
        <v>3</v>
      </c>
      <c r="U123" s="5">
        <v>2</v>
      </c>
      <c r="V123" s="5" t="s">
        <v>33</v>
      </c>
      <c r="W123" s="5">
        <f t="shared" si="3"/>
        <v>0</v>
      </c>
    </row>
    <row r="124" spans="1:23" ht="15.75" customHeight="1" x14ac:dyDescent="0.25">
      <c r="A124" s="5" t="s">
        <v>312</v>
      </c>
      <c r="B124" s="6">
        <v>44966</v>
      </c>
      <c r="C124" s="5" t="s">
        <v>304</v>
      </c>
      <c r="D124" s="5" t="s">
        <v>74</v>
      </c>
      <c r="E124" s="5" t="s">
        <v>49</v>
      </c>
      <c r="F124" s="5" t="s">
        <v>50</v>
      </c>
      <c r="G124" s="5" t="s">
        <v>87</v>
      </c>
      <c r="H124" s="5" t="s">
        <v>29</v>
      </c>
      <c r="I124" s="5" t="s">
        <v>88</v>
      </c>
      <c r="J124" s="5">
        <v>26135</v>
      </c>
      <c r="K124" s="7">
        <v>29285.801398144398</v>
      </c>
      <c r="L124" s="5">
        <v>4</v>
      </c>
      <c r="M124" s="5">
        <v>20</v>
      </c>
      <c r="N124" s="8">
        <f t="shared" si="0"/>
        <v>93714.564474062077</v>
      </c>
      <c r="O124" s="5">
        <f t="shared" si="1"/>
        <v>104540</v>
      </c>
      <c r="P124" s="5">
        <f t="shared" si="2"/>
        <v>-10825.435525937923</v>
      </c>
      <c r="Q124" s="5" t="s">
        <v>39</v>
      </c>
      <c r="R124" s="5" t="s">
        <v>56</v>
      </c>
      <c r="T124" s="5">
        <v>9</v>
      </c>
      <c r="U124" s="5">
        <v>1</v>
      </c>
      <c r="W124" s="5">
        <f t="shared" si="3"/>
        <v>0</v>
      </c>
    </row>
    <row r="125" spans="1:23" ht="15.75" customHeight="1" x14ac:dyDescent="0.25">
      <c r="A125" s="5" t="s">
        <v>313</v>
      </c>
      <c r="B125" s="6">
        <v>44966</v>
      </c>
      <c r="C125" s="5" t="s">
        <v>304</v>
      </c>
      <c r="D125" s="5" t="s">
        <v>208</v>
      </c>
      <c r="E125" s="5" t="s">
        <v>80</v>
      </c>
      <c r="F125" s="5" t="s">
        <v>80</v>
      </c>
      <c r="G125" s="5" t="s">
        <v>43</v>
      </c>
      <c r="H125" s="5" t="s">
        <v>44</v>
      </c>
      <c r="I125" s="5" t="s">
        <v>45</v>
      </c>
      <c r="J125" s="5">
        <v>714</v>
      </c>
      <c r="K125" s="7">
        <v>743.7373976590593</v>
      </c>
      <c r="L125" s="5">
        <v>3</v>
      </c>
      <c r="M125" s="5">
        <v>5</v>
      </c>
      <c r="N125" s="8">
        <f t="shared" si="0"/>
        <v>2119.6515833283188</v>
      </c>
      <c r="O125" s="5">
        <f t="shared" si="1"/>
        <v>2142</v>
      </c>
      <c r="P125" s="5">
        <f t="shared" si="2"/>
        <v>-22.348416671681207</v>
      </c>
      <c r="Q125" s="5" t="s">
        <v>83</v>
      </c>
      <c r="R125" s="5" t="s">
        <v>56</v>
      </c>
      <c r="T125" s="5">
        <v>9</v>
      </c>
      <c r="U125" s="5">
        <v>1</v>
      </c>
      <c r="W125" s="5">
        <f t="shared" si="3"/>
        <v>0</v>
      </c>
    </row>
    <row r="126" spans="1:23" ht="15.75" customHeight="1" x14ac:dyDescent="0.25">
      <c r="A126" s="5" t="s">
        <v>314</v>
      </c>
      <c r="B126" s="6">
        <v>44966</v>
      </c>
      <c r="C126" s="5" t="s">
        <v>301</v>
      </c>
      <c r="D126" s="5" t="s">
        <v>25</v>
      </c>
      <c r="E126" s="5" t="s">
        <v>112</v>
      </c>
      <c r="F126" s="5" t="s">
        <v>113</v>
      </c>
      <c r="G126" s="5" t="s">
        <v>106</v>
      </c>
      <c r="H126" s="5" t="s">
        <v>98</v>
      </c>
      <c r="I126" s="5" t="s">
        <v>107</v>
      </c>
      <c r="J126" s="5">
        <v>1000</v>
      </c>
      <c r="K126" s="7">
        <v>1339.6483746807935</v>
      </c>
      <c r="L126" s="5">
        <v>5</v>
      </c>
      <c r="M126" s="5">
        <v>5</v>
      </c>
      <c r="N126" s="8">
        <f t="shared" si="0"/>
        <v>6363.3297797337691</v>
      </c>
      <c r="O126" s="5">
        <f t="shared" si="1"/>
        <v>5000</v>
      </c>
      <c r="P126" s="5">
        <f t="shared" si="2"/>
        <v>1363.3297797337691</v>
      </c>
      <c r="Q126" s="5" t="s">
        <v>83</v>
      </c>
      <c r="R126" s="5" t="s">
        <v>32</v>
      </c>
      <c r="S126" s="6">
        <v>44974</v>
      </c>
      <c r="T126" s="5">
        <v>5</v>
      </c>
      <c r="U126" s="5">
        <v>3</v>
      </c>
      <c r="V126" s="5" t="s">
        <v>33</v>
      </c>
      <c r="W126" s="5">
        <f t="shared" si="3"/>
        <v>0</v>
      </c>
    </row>
    <row r="127" spans="1:23" ht="15.75" customHeight="1" x14ac:dyDescent="0.25">
      <c r="A127" s="5" t="s">
        <v>315</v>
      </c>
      <c r="B127" s="6">
        <v>44967</v>
      </c>
      <c r="C127" s="5" t="s">
        <v>265</v>
      </c>
      <c r="D127" s="5" t="s">
        <v>59</v>
      </c>
      <c r="E127" s="5" t="s">
        <v>26</v>
      </c>
      <c r="F127" s="5" t="s">
        <v>27</v>
      </c>
      <c r="G127" s="5" t="s">
        <v>119</v>
      </c>
      <c r="H127" s="5" t="s">
        <v>76</v>
      </c>
      <c r="I127" s="5" t="s">
        <v>120</v>
      </c>
      <c r="J127" s="5">
        <v>73285</v>
      </c>
      <c r="K127" s="7">
        <v>108532.72123058156</v>
      </c>
      <c r="L127" s="5">
        <v>2</v>
      </c>
      <c r="M127" s="5">
        <v>15</v>
      </c>
      <c r="N127" s="8">
        <f t="shared" si="0"/>
        <v>184505.62609198864</v>
      </c>
      <c r="O127" s="5">
        <f t="shared" si="1"/>
        <v>146570</v>
      </c>
      <c r="P127" s="5">
        <f t="shared" si="2"/>
        <v>37935.626091988641</v>
      </c>
      <c r="Q127" s="5" t="s">
        <v>46</v>
      </c>
      <c r="R127" s="5" t="s">
        <v>32</v>
      </c>
      <c r="S127" s="6">
        <v>44971</v>
      </c>
      <c r="T127" s="5">
        <v>1</v>
      </c>
      <c r="U127" s="5">
        <v>4</v>
      </c>
      <c r="V127" s="5" t="s">
        <v>33</v>
      </c>
      <c r="W127" s="5">
        <f t="shared" si="3"/>
        <v>0</v>
      </c>
    </row>
    <row r="128" spans="1:23" ht="15.75" customHeight="1" x14ac:dyDescent="0.25">
      <c r="A128" s="5" t="s">
        <v>316</v>
      </c>
      <c r="B128" s="6">
        <v>44967</v>
      </c>
      <c r="C128" s="5" t="s">
        <v>134</v>
      </c>
      <c r="D128" s="5" t="s">
        <v>135</v>
      </c>
      <c r="E128" s="5" t="s">
        <v>49</v>
      </c>
      <c r="F128" s="5" t="s">
        <v>50</v>
      </c>
      <c r="G128" s="5" t="s">
        <v>106</v>
      </c>
      <c r="H128" s="5" t="s">
        <v>98</v>
      </c>
      <c r="I128" s="5" t="s">
        <v>107</v>
      </c>
      <c r="J128" s="5">
        <v>770</v>
      </c>
      <c r="K128" s="7">
        <v>909.02191790975746</v>
      </c>
      <c r="L128" s="5">
        <v>3</v>
      </c>
      <c r="M128" s="5">
        <v>10</v>
      </c>
      <c r="N128" s="8">
        <f t="shared" si="0"/>
        <v>2454.3591783563452</v>
      </c>
      <c r="O128" s="5">
        <f t="shared" si="1"/>
        <v>2310</v>
      </c>
      <c r="P128" s="5">
        <f t="shared" si="2"/>
        <v>144.35917835634518</v>
      </c>
      <c r="Q128" s="5" t="s">
        <v>31</v>
      </c>
      <c r="R128" s="5" t="s">
        <v>56</v>
      </c>
      <c r="T128" s="5">
        <v>9</v>
      </c>
      <c r="U128" s="5">
        <v>1</v>
      </c>
      <c r="W128" s="5">
        <f t="shared" si="3"/>
        <v>0</v>
      </c>
    </row>
    <row r="129" spans="1:23" ht="15.75" customHeight="1" x14ac:dyDescent="0.25">
      <c r="A129" s="5" t="s">
        <v>317</v>
      </c>
      <c r="B129" s="6">
        <v>44968</v>
      </c>
      <c r="C129" s="5" t="s">
        <v>318</v>
      </c>
      <c r="D129" s="5" t="s">
        <v>36</v>
      </c>
      <c r="E129" s="5" t="s">
        <v>80</v>
      </c>
      <c r="F129" s="5" t="s">
        <v>80</v>
      </c>
      <c r="G129" s="5" t="s">
        <v>75</v>
      </c>
      <c r="H129" s="5" t="s">
        <v>76</v>
      </c>
      <c r="I129" s="5" t="s">
        <v>77</v>
      </c>
      <c r="J129" s="5">
        <v>789</v>
      </c>
      <c r="K129" s="7">
        <v>1175.2058336177429</v>
      </c>
      <c r="L129" s="5">
        <v>2</v>
      </c>
      <c r="M129" s="5">
        <v>10</v>
      </c>
      <c r="N129" s="8">
        <f t="shared" si="0"/>
        <v>2115.3705005119373</v>
      </c>
      <c r="O129" s="5">
        <f t="shared" si="1"/>
        <v>1578</v>
      </c>
      <c r="P129" s="5">
        <f t="shared" si="2"/>
        <v>537.37050051193728</v>
      </c>
      <c r="Q129" s="5" t="s">
        <v>83</v>
      </c>
      <c r="R129" s="5" t="s">
        <v>56</v>
      </c>
      <c r="T129" s="5">
        <v>10</v>
      </c>
      <c r="U129" s="5">
        <v>1</v>
      </c>
      <c r="W129" s="5">
        <f t="shared" si="3"/>
        <v>0</v>
      </c>
    </row>
    <row r="130" spans="1:23" ht="15.75" customHeight="1" x14ac:dyDescent="0.25">
      <c r="A130" s="5" t="s">
        <v>319</v>
      </c>
      <c r="B130" s="6">
        <v>44968</v>
      </c>
      <c r="C130" s="5" t="s">
        <v>166</v>
      </c>
      <c r="D130" s="5" t="s">
        <v>86</v>
      </c>
      <c r="E130" s="5" t="s">
        <v>69</v>
      </c>
      <c r="F130" s="5" t="s">
        <v>55</v>
      </c>
      <c r="G130" s="5" t="s">
        <v>87</v>
      </c>
      <c r="H130" s="5" t="s">
        <v>29</v>
      </c>
      <c r="I130" s="5" t="s">
        <v>88</v>
      </c>
      <c r="J130" s="5">
        <v>26159</v>
      </c>
      <c r="K130" s="7">
        <v>42623.485328226721</v>
      </c>
      <c r="L130" s="5">
        <v>4</v>
      </c>
      <c r="M130" s="5">
        <v>20</v>
      </c>
      <c r="N130" s="8">
        <f t="shared" si="0"/>
        <v>136395.15305032552</v>
      </c>
      <c r="O130" s="5">
        <f t="shared" si="1"/>
        <v>104636</v>
      </c>
      <c r="P130" s="5">
        <f t="shared" si="2"/>
        <v>31759.15305032552</v>
      </c>
      <c r="Q130" s="5" t="s">
        <v>83</v>
      </c>
      <c r="R130" s="5" t="s">
        <v>32</v>
      </c>
      <c r="S130" s="6">
        <v>44975</v>
      </c>
      <c r="T130" s="5">
        <v>3</v>
      </c>
      <c r="U130" s="5">
        <v>2</v>
      </c>
      <c r="V130" s="5" t="s">
        <v>33</v>
      </c>
      <c r="W130" s="5">
        <f t="shared" si="3"/>
        <v>0</v>
      </c>
    </row>
    <row r="131" spans="1:23" ht="15.75" customHeight="1" x14ac:dyDescent="0.25">
      <c r="A131" s="5" t="s">
        <v>320</v>
      </c>
      <c r="B131" s="6">
        <v>44969</v>
      </c>
      <c r="C131" s="5" t="s">
        <v>321</v>
      </c>
      <c r="D131" s="5" t="s">
        <v>208</v>
      </c>
      <c r="E131" s="5" t="s">
        <v>69</v>
      </c>
      <c r="F131" s="5" t="s">
        <v>55</v>
      </c>
      <c r="G131" s="5" t="s">
        <v>43</v>
      </c>
      <c r="H131" s="5" t="s">
        <v>44</v>
      </c>
      <c r="I131" s="5" t="s">
        <v>45</v>
      </c>
      <c r="J131" s="5">
        <v>469</v>
      </c>
      <c r="K131" s="7">
        <v>795.75903488405788</v>
      </c>
      <c r="L131" s="5">
        <v>2</v>
      </c>
      <c r="M131" s="5">
        <v>20</v>
      </c>
      <c r="N131" s="8">
        <f t="shared" si="0"/>
        <v>1273.2144558144928</v>
      </c>
      <c r="O131" s="5">
        <f t="shared" si="1"/>
        <v>938</v>
      </c>
      <c r="P131" s="5">
        <f t="shared" si="2"/>
        <v>335.21445581449279</v>
      </c>
      <c r="Q131" s="5" t="s">
        <v>39</v>
      </c>
      <c r="R131" s="5" t="s">
        <v>56</v>
      </c>
      <c r="T131" s="5">
        <v>8</v>
      </c>
      <c r="U131" s="5">
        <v>4</v>
      </c>
      <c r="W131" s="5">
        <f t="shared" si="3"/>
        <v>0</v>
      </c>
    </row>
    <row r="132" spans="1:23" ht="15.75" customHeight="1" x14ac:dyDescent="0.25">
      <c r="A132" s="5" t="s">
        <v>322</v>
      </c>
      <c r="B132" s="6">
        <v>44969</v>
      </c>
      <c r="C132" s="5" t="s">
        <v>134</v>
      </c>
      <c r="D132" s="5" t="s">
        <v>42</v>
      </c>
      <c r="E132" s="5" t="s">
        <v>60</v>
      </c>
      <c r="F132" s="5" t="s">
        <v>61</v>
      </c>
      <c r="G132" s="5" t="s">
        <v>75</v>
      </c>
      <c r="H132" s="5" t="s">
        <v>76</v>
      </c>
      <c r="I132" s="5" t="s">
        <v>77</v>
      </c>
      <c r="J132" s="5">
        <v>1249</v>
      </c>
      <c r="K132" s="7">
        <v>1784.345697594513</v>
      </c>
      <c r="L132" s="5">
        <v>4</v>
      </c>
      <c r="M132" s="5">
        <v>20</v>
      </c>
      <c r="N132" s="8">
        <f t="shared" si="0"/>
        <v>5709.9062323024418</v>
      </c>
      <c r="O132" s="5">
        <f t="shared" si="1"/>
        <v>4996</v>
      </c>
      <c r="P132" s="5">
        <f t="shared" si="2"/>
        <v>713.90623230244182</v>
      </c>
      <c r="Q132" s="5" t="s">
        <v>39</v>
      </c>
      <c r="R132" s="5" t="s">
        <v>56</v>
      </c>
      <c r="T132" s="5">
        <v>9</v>
      </c>
      <c r="U132" s="5">
        <v>1</v>
      </c>
      <c r="W132" s="5">
        <f t="shared" si="3"/>
        <v>0</v>
      </c>
    </row>
    <row r="133" spans="1:23" ht="15.75" customHeight="1" x14ac:dyDescent="0.25">
      <c r="A133" s="5" t="s">
        <v>323</v>
      </c>
      <c r="B133" s="6">
        <v>44970</v>
      </c>
      <c r="C133" s="5" t="s">
        <v>324</v>
      </c>
      <c r="D133" s="5" t="s">
        <v>53</v>
      </c>
      <c r="E133" s="5" t="s">
        <v>80</v>
      </c>
      <c r="F133" s="5" t="s">
        <v>80</v>
      </c>
      <c r="G133" s="5" t="s">
        <v>87</v>
      </c>
      <c r="H133" s="5" t="s">
        <v>29</v>
      </c>
      <c r="I133" s="5" t="s">
        <v>88</v>
      </c>
      <c r="J133" s="5">
        <v>51555</v>
      </c>
      <c r="K133" s="7">
        <v>62478.509745242962</v>
      </c>
      <c r="L133" s="5">
        <v>3</v>
      </c>
      <c r="M133" s="5">
        <v>10</v>
      </c>
      <c r="N133" s="8">
        <f t="shared" si="0"/>
        <v>168691.97631215601</v>
      </c>
      <c r="O133" s="5">
        <f t="shared" si="1"/>
        <v>154665</v>
      </c>
      <c r="P133" s="5">
        <f t="shared" si="2"/>
        <v>14026.97631215601</v>
      </c>
      <c r="Q133" s="5" t="s">
        <v>83</v>
      </c>
      <c r="R133" s="5" t="s">
        <v>56</v>
      </c>
      <c r="T133" s="5">
        <v>10</v>
      </c>
      <c r="U133" s="5">
        <v>1</v>
      </c>
      <c r="W133" s="5">
        <f t="shared" si="3"/>
        <v>0</v>
      </c>
    </row>
    <row r="134" spans="1:23" ht="15.75" customHeight="1" x14ac:dyDescent="0.25">
      <c r="A134" s="5" t="s">
        <v>325</v>
      </c>
      <c r="B134" s="6">
        <v>44972</v>
      </c>
      <c r="C134" s="5" t="s">
        <v>326</v>
      </c>
      <c r="D134" s="5" t="s">
        <v>135</v>
      </c>
      <c r="E134" s="5" t="s">
        <v>37</v>
      </c>
      <c r="F134" s="5" t="s">
        <v>38</v>
      </c>
      <c r="G134" s="5" t="s">
        <v>70</v>
      </c>
      <c r="H134" s="5" t="s">
        <v>44</v>
      </c>
      <c r="I134" s="5" t="s">
        <v>71</v>
      </c>
      <c r="J134" s="5">
        <v>1077</v>
      </c>
      <c r="K134" s="7">
        <v>1790.8185397763493</v>
      </c>
      <c r="L134" s="5">
        <v>5</v>
      </c>
      <c r="M134" s="5">
        <v>15</v>
      </c>
      <c r="N134" s="8">
        <f t="shared" si="0"/>
        <v>7610.9787940494843</v>
      </c>
      <c r="O134" s="5">
        <f t="shared" si="1"/>
        <v>5385</v>
      </c>
      <c r="P134" s="5">
        <f t="shared" si="2"/>
        <v>2225.9787940494843</v>
      </c>
      <c r="Q134" s="5" t="s">
        <v>31</v>
      </c>
      <c r="R134" s="5" t="s">
        <v>32</v>
      </c>
      <c r="S134" s="6">
        <v>44983</v>
      </c>
      <c r="T134" s="5">
        <v>6</v>
      </c>
      <c r="U134" s="5">
        <v>3</v>
      </c>
      <c r="V134" s="5" t="s">
        <v>33</v>
      </c>
      <c r="W134" s="5">
        <f t="shared" si="3"/>
        <v>0</v>
      </c>
    </row>
    <row r="135" spans="1:23" ht="15.75" customHeight="1" x14ac:dyDescent="0.25">
      <c r="A135" s="5" t="s">
        <v>327</v>
      </c>
      <c r="B135" s="6">
        <v>44972</v>
      </c>
      <c r="C135" s="5" t="s">
        <v>66</v>
      </c>
      <c r="D135" s="5" t="s">
        <v>181</v>
      </c>
      <c r="E135" s="5" t="s">
        <v>54</v>
      </c>
      <c r="F135" s="5" t="s">
        <v>55</v>
      </c>
      <c r="G135" s="5" t="s">
        <v>75</v>
      </c>
      <c r="H135" s="5" t="s">
        <v>76</v>
      </c>
      <c r="I135" s="5" t="s">
        <v>77</v>
      </c>
      <c r="J135" s="5">
        <v>777</v>
      </c>
      <c r="K135" s="7">
        <v>816.19471231586704</v>
      </c>
      <c r="L135" s="5">
        <v>5</v>
      </c>
      <c r="M135" s="5">
        <v>10</v>
      </c>
      <c r="N135" s="8">
        <f t="shared" si="0"/>
        <v>3672.8762054214017</v>
      </c>
      <c r="O135" s="5">
        <f t="shared" si="1"/>
        <v>3885</v>
      </c>
      <c r="P135" s="5">
        <f t="shared" si="2"/>
        <v>-212.12379457859834</v>
      </c>
      <c r="Q135" s="5" t="s">
        <v>83</v>
      </c>
      <c r="R135" s="5" t="s">
        <v>32</v>
      </c>
      <c r="S135" s="6">
        <v>44983</v>
      </c>
      <c r="T135" s="5">
        <v>4</v>
      </c>
      <c r="U135" s="5">
        <v>2</v>
      </c>
      <c r="V135" s="5" t="s">
        <v>33</v>
      </c>
      <c r="W135" s="5">
        <f t="shared" si="3"/>
        <v>0</v>
      </c>
    </row>
    <row r="136" spans="1:23" ht="15.75" customHeight="1" x14ac:dyDescent="0.25">
      <c r="A136" s="5" t="s">
        <v>328</v>
      </c>
      <c r="B136" s="6">
        <v>44973</v>
      </c>
      <c r="C136" s="5" t="s">
        <v>329</v>
      </c>
      <c r="D136" s="5" t="s">
        <v>102</v>
      </c>
      <c r="E136" s="5" t="s">
        <v>80</v>
      </c>
      <c r="F136" s="5" t="s">
        <v>80</v>
      </c>
      <c r="G136" s="5" t="s">
        <v>75</v>
      </c>
      <c r="H136" s="5" t="s">
        <v>76</v>
      </c>
      <c r="I136" s="5" t="s">
        <v>77</v>
      </c>
      <c r="J136" s="5">
        <v>1208</v>
      </c>
      <c r="K136" s="7">
        <v>1419.1593338668415</v>
      </c>
      <c r="L136" s="5">
        <v>3</v>
      </c>
      <c r="M136" s="5">
        <v>0</v>
      </c>
      <c r="N136" s="8">
        <f t="shared" si="0"/>
        <v>4257.4780016005243</v>
      </c>
      <c r="O136" s="5">
        <f t="shared" si="1"/>
        <v>3624</v>
      </c>
      <c r="P136" s="5">
        <f t="shared" si="2"/>
        <v>633.47800160052429</v>
      </c>
      <c r="Q136" s="5" t="s">
        <v>83</v>
      </c>
      <c r="R136" s="5" t="s">
        <v>56</v>
      </c>
      <c r="T136" s="5">
        <v>7</v>
      </c>
      <c r="U136" s="5">
        <v>3</v>
      </c>
      <c r="W136" s="5">
        <f t="shared" si="3"/>
        <v>0</v>
      </c>
    </row>
    <row r="137" spans="1:23" ht="15.75" customHeight="1" x14ac:dyDescent="0.25">
      <c r="A137" s="5" t="s">
        <v>330</v>
      </c>
      <c r="B137" s="6">
        <v>44974</v>
      </c>
      <c r="C137" s="5" t="s">
        <v>222</v>
      </c>
      <c r="D137" s="5" t="s">
        <v>146</v>
      </c>
      <c r="E137" s="5" t="s">
        <v>112</v>
      </c>
      <c r="F137" s="5" t="s">
        <v>113</v>
      </c>
      <c r="G137" s="5" t="s">
        <v>75</v>
      </c>
      <c r="H137" s="5" t="s">
        <v>76</v>
      </c>
      <c r="I137" s="5" t="s">
        <v>77</v>
      </c>
      <c r="J137" s="5">
        <v>872</v>
      </c>
      <c r="K137" s="7">
        <v>1131.2403290584484</v>
      </c>
      <c r="L137" s="5">
        <v>5</v>
      </c>
      <c r="M137" s="5">
        <v>5</v>
      </c>
      <c r="N137" s="8">
        <f t="shared" si="0"/>
        <v>5373.3915630276297</v>
      </c>
      <c r="O137" s="5">
        <f t="shared" si="1"/>
        <v>4360</v>
      </c>
      <c r="P137" s="5">
        <f t="shared" si="2"/>
        <v>1013.3915630276297</v>
      </c>
      <c r="Q137" s="5" t="s">
        <v>31</v>
      </c>
      <c r="R137" s="5" t="s">
        <v>32</v>
      </c>
      <c r="S137" s="6">
        <v>44983</v>
      </c>
      <c r="T137" s="5">
        <v>4</v>
      </c>
      <c r="U137" s="5">
        <v>2</v>
      </c>
      <c r="V137" s="5" t="s">
        <v>33</v>
      </c>
      <c r="W137" s="5">
        <f t="shared" si="3"/>
        <v>0</v>
      </c>
    </row>
    <row r="138" spans="1:23" ht="15.75" customHeight="1" x14ac:dyDescent="0.25">
      <c r="A138" s="5" t="s">
        <v>331</v>
      </c>
      <c r="B138" s="6">
        <v>44974</v>
      </c>
      <c r="C138" s="5" t="s">
        <v>332</v>
      </c>
      <c r="D138" s="5" t="s">
        <v>150</v>
      </c>
      <c r="E138" s="5" t="s">
        <v>60</v>
      </c>
      <c r="F138" s="5" t="s">
        <v>61</v>
      </c>
      <c r="G138" s="5" t="s">
        <v>70</v>
      </c>
      <c r="H138" s="5" t="s">
        <v>44</v>
      </c>
      <c r="I138" s="5" t="s">
        <v>71</v>
      </c>
      <c r="J138" s="5">
        <v>1420</v>
      </c>
      <c r="K138" s="7">
        <v>2273.2407602593603</v>
      </c>
      <c r="L138" s="5">
        <v>2</v>
      </c>
      <c r="M138" s="5">
        <v>10</v>
      </c>
      <c r="N138" s="8">
        <f t="shared" si="0"/>
        <v>4091.8333684668487</v>
      </c>
      <c r="O138" s="5">
        <f t="shared" si="1"/>
        <v>2840</v>
      </c>
      <c r="P138" s="5">
        <f t="shared" si="2"/>
        <v>1251.8333684668487</v>
      </c>
      <c r="Q138" s="5" t="s">
        <v>46</v>
      </c>
      <c r="R138" s="5" t="s">
        <v>32</v>
      </c>
      <c r="S138" s="6">
        <v>44981</v>
      </c>
      <c r="T138" s="5">
        <v>1</v>
      </c>
      <c r="U138" s="5">
        <v>5</v>
      </c>
      <c r="V138" s="5" t="s">
        <v>33</v>
      </c>
      <c r="W138" s="5">
        <f t="shared" si="3"/>
        <v>0</v>
      </c>
    </row>
    <row r="139" spans="1:23" ht="15.75" customHeight="1" x14ac:dyDescent="0.25">
      <c r="A139" s="5" t="s">
        <v>333</v>
      </c>
      <c r="B139" s="6">
        <v>44974</v>
      </c>
      <c r="C139" s="5" t="s">
        <v>334</v>
      </c>
      <c r="D139" s="5" t="s">
        <v>146</v>
      </c>
      <c r="E139" s="5" t="s">
        <v>60</v>
      </c>
      <c r="F139" s="5" t="s">
        <v>61</v>
      </c>
      <c r="G139" s="5" t="s">
        <v>124</v>
      </c>
      <c r="H139" s="5" t="s">
        <v>76</v>
      </c>
      <c r="I139" s="5" t="s">
        <v>125</v>
      </c>
      <c r="J139" s="5">
        <v>76509</v>
      </c>
      <c r="K139" s="7">
        <v>112627.86080587389</v>
      </c>
      <c r="L139" s="5">
        <v>1</v>
      </c>
      <c r="M139" s="5">
        <v>20</v>
      </c>
      <c r="N139" s="8">
        <f t="shared" si="0"/>
        <v>90102.288644699118</v>
      </c>
      <c r="O139" s="5">
        <f t="shared" si="1"/>
        <v>76509</v>
      </c>
      <c r="P139" s="5">
        <f t="shared" si="2"/>
        <v>13593.288644699118</v>
      </c>
      <c r="Q139" s="5" t="s">
        <v>83</v>
      </c>
      <c r="R139" s="5" t="s">
        <v>32</v>
      </c>
      <c r="S139" s="6">
        <v>44983</v>
      </c>
      <c r="T139" s="5">
        <v>6</v>
      </c>
      <c r="U139" s="5">
        <v>2</v>
      </c>
      <c r="V139" s="5" t="s">
        <v>33</v>
      </c>
      <c r="W139" s="5">
        <f t="shared" si="3"/>
        <v>0</v>
      </c>
    </row>
    <row r="140" spans="1:23" ht="15.75" customHeight="1" x14ac:dyDescent="0.25">
      <c r="A140" s="5" t="s">
        <v>335</v>
      </c>
      <c r="B140" s="6">
        <v>44975</v>
      </c>
      <c r="C140" s="5" t="s">
        <v>336</v>
      </c>
      <c r="D140" s="5" t="s">
        <v>135</v>
      </c>
      <c r="E140" s="5" t="s">
        <v>69</v>
      </c>
      <c r="F140" s="5" t="s">
        <v>55</v>
      </c>
      <c r="G140" s="5" t="s">
        <v>119</v>
      </c>
      <c r="H140" s="5" t="s">
        <v>76</v>
      </c>
      <c r="I140" s="5" t="s">
        <v>120</v>
      </c>
      <c r="J140" s="5">
        <v>39440</v>
      </c>
      <c r="K140" s="7">
        <v>52449.228493406423</v>
      </c>
      <c r="L140" s="5">
        <v>4</v>
      </c>
      <c r="M140" s="5">
        <v>0</v>
      </c>
      <c r="N140" s="8">
        <f t="shared" si="0"/>
        <v>209796.91397362569</v>
      </c>
      <c r="O140" s="5">
        <f t="shared" si="1"/>
        <v>157760</v>
      </c>
      <c r="P140" s="5">
        <f t="shared" si="2"/>
        <v>52036.913973625691</v>
      </c>
      <c r="Q140" s="5" t="s">
        <v>46</v>
      </c>
      <c r="R140" s="5" t="s">
        <v>32</v>
      </c>
      <c r="S140" s="6">
        <v>44982</v>
      </c>
      <c r="T140" s="5">
        <v>1</v>
      </c>
      <c r="U140" s="5">
        <v>5</v>
      </c>
      <c r="V140" s="5" t="s">
        <v>33</v>
      </c>
      <c r="W140" s="5">
        <f t="shared" si="3"/>
        <v>0</v>
      </c>
    </row>
    <row r="141" spans="1:23" ht="15.75" customHeight="1" x14ac:dyDescent="0.25">
      <c r="A141" s="5" t="s">
        <v>337</v>
      </c>
      <c r="B141" s="6">
        <v>44975</v>
      </c>
      <c r="C141" s="5" t="s">
        <v>243</v>
      </c>
      <c r="D141" s="5" t="s">
        <v>135</v>
      </c>
      <c r="E141" s="5" t="s">
        <v>112</v>
      </c>
      <c r="F141" s="5" t="s">
        <v>113</v>
      </c>
      <c r="G141" s="5" t="s">
        <v>87</v>
      </c>
      <c r="H141" s="5" t="s">
        <v>29</v>
      </c>
      <c r="I141" s="5" t="s">
        <v>88</v>
      </c>
      <c r="J141" s="5">
        <v>26258</v>
      </c>
      <c r="K141" s="7">
        <v>26769.279503314203</v>
      </c>
      <c r="L141" s="5">
        <v>5</v>
      </c>
      <c r="M141" s="5">
        <v>15</v>
      </c>
      <c r="N141" s="8">
        <f t="shared" si="0"/>
        <v>113769.43788908535</v>
      </c>
      <c r="O141" s="5">
        <f t="shared" si="1"/>
        <v>131290</v>
      </c>
      <c r="P141" s="5">
        <f t="shared" si="2"/>
        <v>-17520.562110914645</v>
      </c>
      <c r="Q141" s="5" t="s">
        <v>46</v>
      </c>
      <c r="R141" s="5" t="s">
        <v>32</v>
      </c>
      <c r="S141" s="6">
        <v>44983</v>
      </c>
      <c r="T141" s="5">
        <v>2</v>
      </c>
      <c r="U141" s="5">
        <v>5</v>
      </c>
      <c r="V141" s="5" t="s">
        <v>33</v>
      </c>
      <c r="W141" s="5">
        <f t="shared" si="3"/>
        <v>0</v>
      </c>
    </row>
    <row r="142" spans="1:23" ht="15.75" customHeight="1" x14ac:dyDescent="0.25">
      <c r="A142" s="5" t="s">
        <v>338</v>
      </c>
      <c r="B142" s="6">
        <v>44975</v>
      </c>
      <c r="C142" s="5" t="s">
        <v>339</v>
      </c>
      <c r="D142" s="5" t="s">
        <v>105</v>
      </c>
      <c r="E142" s="5" t="s">
        <v>80</v>
      </c>
      <c r="F142" s="5" t="s">
        <v>80</v>
      </c>
      <c r="G142" s="5" t="s">
        <v>119</v>
      </c>
      <c r="H142" s="5" t="s">
        <v>76</v>
      </c>
      <c r="I142" s="5" t="s">
        <v>120</v>
      </c>
      <c r="J142" s="5">
        <v>50489</v>
      </c>
      <c r="K142" s="7">
        <v>60576.219469921722</v>
      </c>
      <c r="L142" s="5">
        <v>3</v>
      </c>
      <c r="M142" s="5">
        <v>10</v>
      </c>
      <c r="N142" s="8">
        <f t="shared" si="0"/>
        <v>163555.79256878866</v>
      </c>
      <c r="O142" s="5">
        <f t="shared" si="1"/>
        <v>151467</v>
      </c>
      <c r="P142" s="5">
        <f t="shared" si="2"/>
        <v>12088.79256878866</v>
      </c>
      <c r="Q142" s="5" t="s">
        <v>46</v>
      </c>
      <c r="R142" s="5" t="s">
        <v>32</v>
      </c>
      <c r="S142" s="6">
        <v>44985</v>
      </c>
      <c r="T142" s="5">
        <v>7</v>
      </c>
      <c r="U142" s="5">
        <v>2</v>
      </c>
      <c r="V142" s="5" t="s">
        <v>33</v>
      </c>
      <c r="W142" s="5">
        <f t="shared" si="3"/>
        <v>0</v>
      </c>
    </row>
    <row r="143" spans="1:23" ht="15.75" customHeight="1" x14ac:dyDescent="0.25">
      <c r="A143" s="5" t="s">
        <v>340</v>
      </c>
      <c r="B143" s="6">
        <v>44976</v>
      </c>
      <c r="C143" s="5" t="s">
        <v>341</v>
      </c>
      <c r="D143" s="5" t="s">
        <v>25</v>
      </c>
      <c r="E143" s="5" t="s">
        <v>37</v>
      </c>
      <c r="F143" s="5" t="s">
        <v>38</v>
      </c>
      <c r="G143" s="5" t="s">
        <v>119</v>
      </c>
      <c r="H143" s="5" t="s">
        <v>76</v>
      </c>
      <c r="I143" s="5" t="s">
        <v>120</v>
      </c>
      <c r="J143" s="5">
        <v>77617</v>
      </c>
      <c r="K143" s="7">
        <v>109371.77968021312</v>
      </c>
      <c r="L143" s="5">
        <v>2</v>
      </c>
      <c r="M143" s="5">
        <v>5</v>
      </c>
      <c r="N143" s="8">
        <f t="shared" si="0"/>
        <v>207806.38139240493</v>
      </c>
      <c r="O143" s="5">
        <f t="shared" si="1"/>
        <v>155234</v>
      </c>
      <c r="P143" s="5">
        <f t="shared" si="2"/>
        <v>52572.381392404932</v>
      </c>
      <c r="Q143" s="5" t="s">
        <v>83</v>
      </c>
      <c r="R143" s="5" t="s">
        <v>56</v>
      </c>
      <c r="T143" s="5">
        <v>9</v>
      </c>
      <c r="U143" s="5">
        <v>1</v>
      </c>
      <c r="W143" s="5">
        <f t="shared" si="3"/>
        <v>0</v>
      </c>
    </row>
    <row r="144" spans="1:23" ht="15.75" customHeight="1" x14ac:dyDescent="0.25">
      <c r="A144" s="5" t="s">
        <v>342</v>
      </c>
      <c r="B144" s="6">
        <v>44976</v>
      </c>
      <c r="C144" s="5" t="s">
        <v>343</v>
      </c>
      <c r="D144" s="5" t="s">
        <v>135</v>
      </c>
      <c r="E144" s="5" t="s">
        <v>60</v>
      </c>
      <c r="F144" s="5" t="s">
        <v>61</v>
      </c>
      <c r="G144" s="5" t="s">
        <v>81</v>
      </c>
      <c r="H144" s="5" t="s">
        <v>44</v>
      </c>
      <c r="I144" s="5" t="s">
        <v>82</v>
      </c>
      <c r="J144" s="5">
        <v>955</v>
      </c>
      <c r="K144" s="7">
        <v>1121.4390960931364</v>
      </c>
      <c r="L144" s="5">
        <v>3</v>
      </c>
      <c r="M144" s="5">
        <v>20</v>
      </c>
      <c r="N144" s="8">
        <f t="shared" si="0"/>
        <v>2691.4538306235277</v>
      </c>
      <c r="O144" s="5">
        <f t="shared" si="1"/>
        <v>2865</v>
      </c>
      <c r="P144" s="5">
        <f t="shared" si="2"/>
        <v>-173.54616937647233</v>
      </c>
      <c r="Q144" s="5" t="s">
        <v>31</v>
      </c>
      <c r="R144" s="5" t="s">
        <v>32</v>
      </c>
      <c r="S144" s="6">
        <v>44985</v>
      </c>
      <c r="T144" s="5">
        <v>3</v>
      </c>
      <c r="U144" s="5">
        <v>4</v>
      </c>
      <c r="V144" s="5" t="s">
        <v>33</v>
      </c>
      <c r="W144" s="5">
        <f t="shared" si="3"/>
        <v>0</v>
      </c>
    </row>
    <row r="145" spans="1:23" ht="15.75" customHeight="1" x14ac:dyDescent="0.25">
      <c r="A145" s="5" t="s">
        <v>344</v>
      </c>
      <c r="B145" s="6">
        <v>44976</v>
      </c>
      <c r="C145" s="5" t="s">
        <v>24</v>
      </c>
      <c r="D145" s="5" t="s">
        <v>53</v>
      </c>
      <c r="E145" s="5" t="s">
        <v>60</v>
      </c>
      <c r="F145" s="5" t="s">
        <v>61</v>
      </c>
      <c r="G145" s="5" t="s">
        <v>106</v>
      </c>
      <c r="H145" s="5" t="s">
        <v>98</v>
      </c>
      <c r="I145" s="5" t="s">
        <v>107</v>
      </c>
      <c r="J145" s="5">
        <v>804</v>
      </c>
      <c r="K145" s="7">
        <v>852.70463548862813</v>
      </c>
      <c r="L145" s="5">
        <v>1</v>
      </c>
      <c r="M145" s="5">
        <v>5</v>
      </c>
      <c r="N145" s="8">
        <f t="shared" si="0"/>
        <v>810.06940371419671</v>
      </c>
      <c r="O145" s="5">
        <f t="shared" si="1"/>
        <v>804</v>
      </c>
      <c r="P145" s="5">
        <f t="shared" si="2"/>
        <v>6.0694037141967101</v>
      </c>
      <c r="Q145" s="5" t="s">
        <v>83</v>
      </c>
      <c r="R145" s="5" t="s">
        <v>56</v>
      </c>
      <c r="T145" s="5">
        <v>10</v>
      </c>
      <c r="U145" s="5">
        <v>1</v>
      </c>
      <c r="W145" s="5">
        <f t="shared" si="3"/>
        <v>0</v>
      </c>
    </row>
    <row r="146" spans="1:23" ht="15.75" customHeight="1" x14ac:dyDescent="0.25">
      <c r="A146" s="5" t="s">
        <v>345</v>
      </c>
      <c r="B146" s="6">
        <v>44976</v>
      </c>
      <c r="C146" s="5" t="s">
        <v>346</v>
      </c>
      <c r="D146" s="5" t="s">
        <v>64</v>
      </c>
      <c r="E146" s="5" t="s">
        <v>54</v>
      </c>
      <c r="F146" s="5" t="s">
        <v>55</v>
      </c>
      <c r="G146" s="5" t="s">
        <v>87</v>
      </c>
      <c r="H146" s="5" t="s">
        <v>29</v>
      </c>
      <c r="I146" s="5" t="s">
        <v>88</v>
      </c>
      <c r="J146" s="5">
        <v>55844</v>
      </c>
      <c r="K146" s="7">
        <v>69100.445107869949</v>
      </c>
      <c r="L146" s="5">
        <v>4</v>
      </c>
      <c r="M146" s="5">
        <v>10</v>
      </c>
      <c r="N146" s="8">
        <f t="shared" si="0"/>
        <v>248761.60238833181</v>
      </c>
      <c r="O146" s="5">
        <f t="shared" si="1"/>
        <v>223376</v>
      </c>
      <c r="P146" s="5">
        <f t="shared" si="2"/>
        <v>25385.602388331812</v>
      </c>
      <c r="Q146" s="5" t="s">
        <v>39</v>
      </c>
      <c r="R146" s="5" t="s">
        <v>32</v>
      </c>
      <c r="S146" s="6">
        <v>44983</v>
      </c>
      <c r="T146" s="5">
        <v>4</v>
      </c>
      <c r="U146" s="5">
        <v>4</v>
      </c>
      <c r="V146" s="5" t="s">
        <v>33</v>
      </c>
      <c r="W146" s="5">
        <f t="shared" si="3"/>
        <v>0</v>
      </c>
    </row>
    <row r="147" spans="1:23" ht="15.75" customHeight="1" x14ac:dyDescent="0.25">
      <c r="A147" s="5" t="s">
        <v>347</v>
      </c>
      <c r="B147" s="6">
        <v>44976</v>
      </c>
      <c r="C147" s="5" t="s">
        <v>233</v>
      </c>
      <c r="D147" s="5" t="s">
        <v>42</v>
      </c>
      <c r="E147" s="5" t="s">
        <v>69</v>
      </c>
      <c r="F147" s="5" t="s">
        <v>55</v>
      </c>
      <c r="G147" s="5" t="s">
        <v>43</v>
      </c>
      <c r="H147" s="5" t="s">
        <v>44</v>
      </c>
      <c r="I147" s="5" t="s">
        <v>45</v>
      </c>
      <c r="J147" s="5">
        <v>631</v>
      </c>
      <c r="K147" s="7">
        <v>808.85942320718311</v>
      </c>
      <c r="L147" s="5">
        <v>3</v>
      </c>
      <c r="M147" s="5">
        <v>15</v>
      </c>
      <c r="N147" s="8">
        <f t="shared" si="0"/>
        <v>2062.5915291783167</v>
      </c>
      <c r="O147" s="5">
        <f t="shared" si="1"/>
        <v>1893</v>
      </c>
      <c r="P147" s="5">
        <f t="shared" si="2"/>
        <v>169.5915291783167</v>
      </c>
      <c r="Q147" s="5" t="s">
        <v>31</v>
      </c>
      <c r="R147" s="5" t="s">
        <v>32</v>
      </c>
      <c r="S147" s="6">
        <v>44985</v>
      </c>
      <c r="T147" s="5">
        <v>2</v>
      </c>
      <c r="U147" s="5">
        <v>4</v>
      </c>
      <c r="V147" s="5" t="s">
        <v>33</v>
      </c>
      <c r="W147" s="5">
        <f t="shared" si="3"/>
        <v>0</v>
      </c>
    </row>
    <row r="148" spans="1:23" ht="15.75" customHeight="1" x14ac:dyDescent="0.25">
      <c r="A148" s="5" t="s">
        <v>348</v>
      </c>
      <c r="B148" s="6">
        <v>44976</v>
      </c>
      <c r="C148" s="5" t="s">
        <v>294</v>
      </c>
      <c r="D148" s="5" t="s">
        <v>150</v>
      </c>
      <c r="E148" s="5" t="s">
        <v>54</v>
      </c>
      <c r="F148" s="5" t="s">
        <v>55</v>
      </c>
      <c r="G148" s="5" t="s">
        <v>87</v>
      </c>
      <c r="H148" s="5" t="s">
        <v>29</v>
      </c>
      <c r="I148" s="5" t="s">
        <v>88</v>
      </c>
      <c r="J148" s="5">
        <v>28529</v>
      </c>
      <c r="K148" s="7">
        <v>36133.259211652832</v>
      </c>
      <c r="L148" s="5">
        <v>3</v>
      </c>
      <c r="M148" s="5">
        <v>0</v>
      </c>
      <c r="N148" s="8">
        <f t="shared" si="0"/>
        <v>108399.7776349585</v>
      </c>
      <c r="O148" s="5">
        <f t="shared" si="1"/>
        <v>85587</v>
      </c>
      <c r="P148" s="5">
        <f t="shared" si="2"/>
        <v>22812.777634958504</v>
      </c>
      <c r="Q148" s="5" t="s">
        <v>46</v>
      </c>
      <c r="R148" s="5" t="s">
        <v>56</v>
      </c>
      <c r="T148" s="5">
        <v>8</v>
      </c>
      <c r="U148" s="5">
        <v>4</v>
      </c>
      <c r="W148" s="5">
        <f t="shared" si="3"/>
        <v>0</v>
      </c>
    </row>
    <row r="149" spans="1:23" ht="15.75" customHeight="1" x14ac:dyDescent="0.25">
      <c r="A149" s="5" t="s">
        <v>349</v>
      </c>
      <c r="B149" s="6">
        <v>44976</v>
      </c>
      <c r="C149" s="5" t="s">
        <v>350</v>
      </c>
      <c r="D149" s="5" t="s">
        <v>146</v>
      </c>
      <c r="E149" s="5" t="s">
        <v>112</v>
      </c>
      <c r="F149" s="5" t="s">
        <v>113</v>
      </c>
      <c r="G149" s="5" t="s">
        <v>28</v>
      </c>
      <c r="H149" s="5" t="s">
        <v>29</v>
      </c>
      <c r="I149" s="5" t="s">
        <v>30</v>
      </c>
      <c r="J149" s="5">
        <v>4583</v>
      </c>
      <c r="K149" s="7">
        <v>5118.5830232758244</v>
      </c>
      <c r="L149" s="5">
        <v>1</v>
      </c>
      <c r="M149" s="5">
        <v>10</v>
      </c>
      <c r="N149" s="8">
        <f t="shared" si="0"/>
        <v>4606.7247209482421</v>
      </c>
      <c r="O149" s="5">
        <f t="shared" si="1"/>
        <v>4583</v>
      </c>
      <c r="P149" s="5">
        <f t="shared" si="2"/>
        <v>23.724720948242066</v>
      </c>
      <c r="Q149" s="5" t="s">
        <v>83</v>
      </c>
      <c r="R149" s="5" t="s">
        <v>32</v>
      </c>
      <c r="S149" s="6">
        <v>44982</v>
      </c>
      <c r="T149" s="5">
        <v>1</v>
      </c>
      <c r="U149" s="5">
        <v>5</v>
      </c>
      <c r="V149" s="5" t="s">
        <v>33</v>
      </c>
      <c r="W149" s="5">
        <f t="shared" si="3"/>
        <v>0</v>
      </c>
    </row>
    <row r="150" spans="1:23" ht="15.75" customHeight="1" x14ac:dyDescent="0.25">
      <c r="A150" s="5" t="s">
        <v>351</v>
      </c>
      <c r="B150" s="6">
        <v>44976</v>
      </c>
      <c r="C150" s="5" t="s">
        <v>352</v>
      </c>
      <c r="D150" s="5" t="s">
        <v>64</v>
      </c>
      <c r="E150" s="5" t="s">
        <v>60</v>
      </c>
      <c r="F150" s="5" t="s">
        <v>61</v>
      </c>
      <c r="G150" s="5" t="s">
        <v>97</v>
      </c>
      <c r="H150" s="5" t="s">
        <v>98</v>
      </c>
      <c r="I150" s="5" t="s">
        <v>99</v>
      </c>
      <c r="J150" s="5">
        <v>282</v>
      </c>
      <c r="K150" s="7">
        <v>438.93181488203004</v>
      </c>
      <c r="L150" s="5">
        <v>5</v>
      </c>
      <c r="M150" s="5">
        <v>0</v>
      </c>
      <c r="N150" s="8">
        <f t="shared" si="0"/>
        <v>2194.6590744101504</v>
      </c>
      <c r="O150" s="5">
        <f t="shared" si="1"/>
        <v>1410</v>
      </c>
      <c r="P150" s="5">
        <f t="shared" si="2"/>
        <v>784.65907441015042</v>
      </c>
      <c r="Q150" s="5" t="s">
        <v>83</v>
      </c>
      <c r="R150" s="5" t="s">
        <v>56</v>
      </c>
      <c r="T150" s="5">
        <v>7</v>
      </c>
      <c r="U150" s="5">
        <v>3</v>
      </c>
      <c r="W150" s="5">
        <f t="shared" si="3"/>
        <v>0</v>
      </c>
    </row>
    <row r="151" spans="1:23" ht="15.75" customHeight="1" x14ac:dyDescent="0.25">
      <c r="A151" s="5" t="s">
        <v>353</v>
      </c>
      <c r="B151" s="6">
        <v>44976</v>
      </c>
      <c r="C151" s="5" t="s">
        <v>156</v>
      </c>
      <c r="D151" s="5" t="s">
        <v>102</v>
      </c>
      <c r="E151" s="5" t="s">
        <v>69</v>
      </c>
      <c r="F151" s="5" t="s">
        <v>55</v>
      </c>
      <c r="G151" s="5" t="s">
        <v>81</v>
      </c>
      <c r="H151" s="5" t="s">
        <v>44</v>
      </c>
      <c r="I151" s="5" t="s">
        <v>82</v>
      </c>
      <c r="J151" s="5">
        <v>1067</v>
      </c>
      <c r="K151" s="7">
        <v>1851.4426375066116</v>
      </c>
      <c r="L151" s="5">
        <v>4</v>
      </c>
      <c r="M151" s="5">
        <v>10</v>
      </c>
      <c r="N151" s="8">
        <f t="shared" si="0"/>
        <v>6665.1934950238019</v>
      </c>
      <c r="O151" s="5">
        <f t="shared" si="1"/>
        <v>4268</v>
      </c>
      <c r="P151" s="5">
        <f t="shared" si="2"/>
        <v>2397.1934950238019</v>
      </c>
      <c r="Q151" s="5" t="s">
        <v>31</v>
      </c>
      <c r="R151" s="5" t="s">
        <v>56</v>
      </c>
      <c r="T151" s="5">
        <v>8</v>
      </c>
      <c r="U151" s="5">
        <v>4</v>
      </c>
      <c r="W151" s="5">
        <f t="shared" si="3"/>
        <v>0</v>
      </c>
    </row>
    <row r="152" spans="1:23" ht="15.75" customHeight="1" x14ac:dyDescent="0.25">
      <c r="A152" s="5" t="s">
        <v>354</v>
      </c>
      <c r="B152" s="6">
        <v>44977</v>
      </c>
      <c r="C152" s="5" t="s">
        <v>355</v>
      </c>
      <c r="D152" s="5" t="s">
        <v>188</v>
      </c>
      <c r="E152" s="5" t="s">
        <v>69</v>
      </c>
      <c r="F152" s="5" t="s">
        <v>55</v>
      </c>
      <c r="G152" s="5" t="s">
        <v>97</v>
      </c>
      <c r="H152" s="5" t="s">
        <v>98</v>
      </c>
      <c r="I152" s="5" t="s">
        <v>99</v>
      </c>
      <c r="J152" s="5">
        <v>306</v>
      </c>
      <c r="K152" s="7">
        <v>476.24066786932258</v>
      </c>
      <c r="L152" s="5">
        <v>5</v>
      </c>
      <c r="M152" s="5">
        <v>20</v>
      </c>
      <c r="N152" s="8">
        <f t="shared" si="0"/>
        <v>1904.9626714772903</v>
      </c>
      <c r="O152" s="5">
        <f t="shared" si="1"/>
        <v>1530</v>
      </c>
      <c r="P152" s="5">
        <f t="shared" si="2"/>
        <v>374.96267147729031</v>
      </c>
      <c r="Q152" s="5" t="s">
        <v>46</v>
      </c>
      <c r="R152" s="5" t="s">
        <v>32</v>
      </c>
      <c r="S152" s="6">
        <v>44988</v>
      </c>
      <c r="T152" s="5">
        <v>6</v>
      </c>
      <c r="U152" s="5">
        <v>2</v>
      </c>
      <c r="V152" s="5" t="s">
        <v>33</v>
      </c>
      <c r="W152" s="5">
        <f t="shared" si="3"/>
        <v>0</v>
      </c>
    </row>
    <row r="153" spans="1:23" ht="15.75" customHeight="1" x14ac:dyDescent="0.25">
      <c r="A153" s="5" t="s">
        <v>356</v>
      </c>
      <c r="B153" s="6">
        <v>44977</v>
      </c>
      <c r="C153" s="5" t="s">
        <v>306</v>
      </c>
      <c r="D153" s="5" t="s">
        <v>181</v>
      </c>
      <c r="E153" s="5" t="s">
        <v>80</v>
      </c>
      <c r="F153" s="5" t="s">
        <v>80</v>
      </c>
      <c r="G153" s="5" t="s">
        <v>43</v>
      </c>
      <c r="H153" s="5" t="s">
        <v>44</v>
      </c>
      <c r="I153" s="5" t="s">
        <v>45</v>
      </c>
      <c r="J153" s="5">
        <v>246</v>
      </c>
      <c r="K153" s="7">
        <v>414.15294032115656</v>
      </c>
      <c r="L153" s="5">
        <v>3</v>
      </c>
      <c r="M153" s="5">
        <v>0</v>
      </c>
      <c r="N153" s="8">
        <f t="shared" si="0"/>
        <v>1242.4588209634696</v>
      </c>
      <c r="O153" s="5">
        <f t="shared" si="1"/>
        <v>738</v>
      </c>
      <c r="P153" s="5">
        <f t="shared" si="2"/>
        <v>504.45882096346963</v>
      </c>
      <c r="Q153" s="5" t="s">
        <v>31</v>
      </c>
      <c r="R153" s="5" t="s">
        <v>32</v>
      </c>
      <c r="S153" s="6">
        <v>44988</v>
      </c>
      <c r="T153" s="5">
        <v>4</v>
      </c>
      <c r="U153" s="5">
        <v>4</v>
      </c>
      <c r="V153" s="5" t="s">
        <v>33</v>
      </c>
      <c r="W153" s="5">
        <f t="shared" si="3"/>
        <v>0</v>
      </c>
    </row>
    <row r="154" spans="1:23" ht="15.75" customHeight="1" x14ac:dyDescent="0.25">
      <c r="A154" s="5" t="s">
        <v>357</v>
      </c>
      <c r="B154" s="6">
        <v>44977</v>
      </c>
      <c r="C154" s="5" t="s">
        <v>276</v>
      </c>
      <c r="D154" s="5" t="s">
        <v>208</v>
      </c>
      <c r="E154" s="5" t="s">
        <v>54</v>
      </c>
      <c r="F154" s="5" t="s">
        <v>55</v>
      </c>
      <c r="G154" s="5" t="s">
        <v>70</v>
      </c>
      <c r="H154" s="5" t="s">
        <v>44</v>
      </c>
      <c r="I154" s="5" t="s">
        <v>71</v>
      </c>
      <c r="J154" s="5">
        <v>1493</v>
      </c>
      <c r="K154" s="7">
        <v>2301.0761722391908</v>
      </c>
      <c r="L154" s="5">
        <v>1</v>
      </c>
      <c r="M154" s="5">
        <v>15</v>
      </c>
      <c r="N154" s="8">
        <f t="shared" si="0"/>
        <v>1955.9147464033122</v>
      </c>
      <c r="O154" s="5">
        <f t="shared" si="1"/>
        <v>1493</v>
      </c>
      <c r="P154" s="5">
        <f t="shared" si="2"/>
        <v>462.91474640331217</v>
      </c>
      <c r="Q154" s="5" t="s">
        <v>46</v>
      </c>
      <c r="R154" s="5" t="s">
        <v>56</v>
      </c>
      <c r="T154" s="5">
        <v>8</v>
      </c>
      <c r="U154" s="5">
        <v>2</v>
      </c>
      <c r="W154" s="5">
        <f t="shared" si="3"/>
        <v>0</v>
      </c>
    </row>
    <row r="155" spans="1:23" ht="15.75" customHeight="1" x14ac:dyDescent="0.25">
      <c r="A155" s="5" t="s">
        <v>358</v>
      </c>
      <c r="B155" s="6">
        <v>44977</v>
      </c>
      <c r="C155" s="5" t="s">
        <v>359</v>
      </c>
      <c r="D155" s="5" t="s">
        <v>25</v>
      </c>
      <c r="E155" s="5" t="s">
        <v>60</v>
      </c>
      <c r="F155" s="5" t="s">
        <v>61</v>
      </c>
      <c r="G155" s="5" t="s">
        <v>124</v>
      </c>
      <c r="H155" s="5" t="s">
        <v>76</v>
      </c>
      <c r="I155" s="5" t="s">
        <v>125</v>
      </c>
      <c r="J155" s="5">
        <v>67386</v>
      </c>
      <c r="K155" s="7">
        <v>72391.012570907231</v>
      </c>
      <c r="L155" s="5">
        <v>1</v>
      </c>
      <c r="M155" s="5">
        <v>10</v>
      </c>
      <c r="N155" s="8">
        <f t="shared" si="0"/>
        <v>65151.911313816512</v>
      </c>
      <c r="O155" s="5">
        <f t="shared" si="1"/>
        <v>67386</v>
      </c>
      <c r="P155" s="5">
        <f t="shared" si="2"/>
        <v>-2234.0886861834879</v>
      </c>
      <c r="Q155" s="5" t="s">
        <v>83</v>
      </c>
      <c r="R155" s="5" t="s">
        <v>32</v>
      </c>
      <c r="S155" s="6">
        <v>44986</v>
      </c>
      <c r="T155" s="5">
        <v>5</v>
      </c>
      <c r="U155" s="5">
        <v>3</v>
      </c>
      <c r="V155" s="5" t="s">
        <v>33</v>
      </c>
      <c r="W155" s="5">
        <f t="shared" si="3"/>
        <v>0</v>
      </c>
    </row>
    <row r="156" spans="1:23" ht="15.75" customHeight="1" x14ac:dyDescent="0.25">
      <c r="A156" s="5" t="s">
        <v>360</v>
      </c>
      <c r="B156" s="6">
        <v>44978</v>
      </c>
      <c r="C156" s="5" t="s">
        <v>361</v>
      </c>
      <c r="D156" s="5" t="s">
        <v>184</v>
      </c>
      <c r="E156" s="5" t="s">
        <v>112</v>
      </c>
      <c r="F156" s="5" t="s">
        <v>113</v>
      </c>
      <c r="G156" s="5" t="s">
        <v>124</v>
      </c>
      <c r="H156" s="5" t="s">
        <v>76</v>
      </c>
      <c r="I156" s="5" t="s">
        <v>125</v>
      </c>
      <c r="J156" s="5">
        <v>77079</v>
      </c>
      <c r="K156" s="7">
        <v>90661.289321102493</v>
      </c>
      <c r="L156" s="5">
        <v>2</v>
      </c>
      <c r="M156" s="5">
        <v>0</v>
      </c>
      <c r="N156" s="8">
        <f t="shared" si="0"/>
        <v>181322.57864220499</v>
      </c>
      <c r="O156" s="5">
        <f t="shared" si="1"/>
        <v>154158</v>
      </c>
      <c r="P156" s="5">
        <f t="shared" si="2"/>
        <v>27164.578642204986</v>
      </c>
      <c r="Q156" s="5" t="s">
        <v>39</v>
      </c>
      <c r="R156" s="5" t="s">
        <v>32</v>
      </c>
      <c r="S156" s="6">
        <v>44986</v>
      </c>
      <c r="T156" s="5">
        <v>5</v>
      </c>
      <c r="U156" s="5">
        <v>4</v>
      </c>
      <c r="V156" s="5" t="s">
        <v>33</v>
      </c>
      <c r="W156" s="5">
        <f t="shared" si="3"/>
        <v>0</v>
      </c>
    </row>
    <row r="157" spans="1:23" ht="15.75" customHeight="1" x14ac:dyDescent="0.25">
      <c r="A157" s="5" t="s">
        <v>362</v>
      </c>
      <c r="B157" s="6">
        <v>44978</v>
      </c>
      <c r="C157" s="5" t="s">
        <v>363</v>
      </c>
      <c r="D157" s="5" t="s">
        <v>64</v>
      </c>
      <c r="E157" s="5" t="s">
        <v>54</v>
      </c>
      <c r="F157" s="5" t="s">
        <v>55</v>
      </c>
      <c r="G157" s="5" t="s">
        <v>119</v>
      </c>
      <c r="H157" s="5" t="s">
        <v>76</v>
      </c>
      <c r="I157" s="5" t="s">
        <v>120</v>
      </c>
      <c r="J157" s="5">
        <v>58225</v>
      </c>
      <c r="K157" s="7">
        <v>90477.374495048993</v>
      </c>
      <c r="L157" s="5">
        <v>3</v>
      </c>
      <c r="M157" s="5">
        <v>10</v>
      </c>
      <c r="N157" s="8">
        <f t="shared" si="0"/>
        <v>244288.91113663226</v>
      </c>
      <c r="O157" s="5">
        <f t="shared" si="1"/>
        <v>174675</v>
      </c>
      <c r="P157" s="5">
        <f t="shared" si="2"/>
        <v>69613.911136632261</v>
      </c>
      <c r="Q157" s="5" t="s">
        <v>46</v>
      </c>
      <c r="R157" s="5" t="s">
        <v>56</v>
      </c>
      <c r="T157" s="5">
        <v>7</v>
      </c>
      <c r="U157" s="5">
        <v>2</v>
      </c>
      <c r="W157" s="5">
        <f t="shared" si="3"/>
        <v>0</v>
      </c>
    </row>
    <row r="158" spans="1:23" ht="15.75" customHeight="1" x14ac:dyDescent="0.25">
      <c r="A158" s="5" t="s">
        <v>364</v>
      </c>
      <c r="B158" s="6">
        <v>44978</v>
      </c>
      <c r="C158" s="5" t="s">
        <v>85</v>
      </c>
      <c r="D158" s="5" t="s">
        <v>116</v>
      </c>
      <c r="E158" s="5" t="s">
        <v>69</v>
      </c>
      <c r="F158" s="5" t="s">
        <v>55</v>
      </c>
      <c r="G158" s="5" t="s">
        <v>43</v>
      </c>
      <c r="H158" s="5" t="s">
        <v>44</v>
      </c>
      <c r="I158" s="5" t="s">
        <v>45</v>
      </c>
      <c r="J158" s="5">
        <v>730</v>
      </c>
      <c r="K158" s="7">
        <v>994.45824218895234</v>
      </c>
      <c r="L158" s="5">
        <v>5</v>
      </c>
      <c r="M158" s="5">
        <v>20</v>
      </c>
      <c r="N158" s="8">
        <f t="shared" si="0"/>
        <v>3977.8329687558094</v>
      </c>
      <c r="O158" s="5">
        <f t="shared" si="1"/>
        <v>3650</v>
      </c>
      <c r="P158" s="5">
        <f t="shared" si="2"/>
        <v>327.83296875580936</v>
      </c>
      <c r="Q158" s="5" t="s">
        <v>83</v>
      </c>
      <c r="R158" s="5" t="s">
        <v>32</v>
      </c>
      <c r="S158" s="6">
        <v>44991</v>
      </c>
      <c r="T158" s="5">
        <v>6</v>
      </c>
      <c r="U158" s="5">
        <v>3</v>
      </c>
      <c r="V158" s="5" t="s">
        <v>33</v>
      </c>
      <c r="W158" s="5">
        <f t="shared" si="3"/>
        <v>0</v>
      </c>
    </row>
    <row r="159" spans="1:23" ht="15.75" customHeight="1" x14ac:dyDescent="0.25">
      <c r="A159" s="5" t="s">
        <v>365</v>
      </c>
      <c r="B159" s="6">
        <v>44978</v>
      </c>
      <c r="C159" s="5" t="s">
        <v>366</v>
      </c>
      <c r="D159" s="5" t="s">
        <v>59</v>
      </c>
      <c r="E159" s="5" t="s">
        <v>69</v>
      </c>
      <c r="F159" s="5" t="s">
        <v>55</v>
      </c>
      <c r="G159" s="5" t="s">
        <v>139</v>
      </c>
      <c r="H159" s="5" t="s">
        <v>76</v>
      </c>
      <c r="I159" s="5" t="s">
        <v>140</v>
      </c>
      <c r="J159" s="5">
        <v>46414</v>
      </c>
      <c r="K159" s="7">
        <v>56769.911443108424</v>
      </c>
      <c r="L159" s="5">
        <v>2</v>
      </c>
      <c r="M159" s="5">
        <v>20</v>
      </c>
      <c r="N159" s="8">
        <f t="shared" si="0"/>
        <v>90831.858308973489</v>
      </c>
      <c r="O159" s="5">
        <f t="shared" si="1"/>
        <v>92828</v>
      </c>
      <c r="P159" s="5">
        <f t="shared" si="2"/>
        <v>-1996.1416910265107</v>
      </c>
      <c r="Q159" s="5" t="s">
        <v>83</v>
      </c>
      <c r="R159" s="5" t="s">
        <v>56</v>
      </c>
      <c r="T159" s="5">
        <v>7</v>
      </c>
      <c r="U159" s="5">
        <v>2</v>
      </c>
      <c r="W159" s="5">
        <f t="shared" si="3"/>
        <v>0</v>
      </c>
    </row>
    <row r="160" spans="1:23" ht="15.75" customHeight="1" x14ac:dyDescent="0.25">
      <c r="A160" s="5" t="s">
        <v>367</v>
      </c>
      <c r="B160" s="6">
        <v>44978</v>
      </c>
      <c r="C160" s="5" t="s">
        <v>368</v>
      </c>
      <c r="D160" s="5" t="s">
        <v>42</v>
      </c>
      <c r="E160" s="5" t="s">
        <v>112</v>
      </c>
      <c r="F160" s="5" t="s">
        <v>113</v>
      </c>
      <c r="G160" s="5" t="s">
        <v>106</v>
      </c>
      <c r="H160" s="5" t="s">
        <v>98</v>
      </c>
      <c r="I160" s="5" t="s">
        <v>107</v>
      </c>
      <c r="J160" s="5">
        <v>958</v>
      </c>
      <c r="K160" s="7">
        <v>1356.9600365921294</v>
      </c>
      <c r="L160" s="5">
        <v>3</v>
      </c>
      <c r="M160" s="5">
        <v>5</v>
      </c>
      <c r="N160" s="8">
        <f t="shared" si="0"/>
        <v>3867.3361042875686</v>
      </c>
      <c r="O160" s="5">
        <f t="shared" si="1"/>
        <v>2874</v>
      </c>
      <c r="P160" s="5">
        <f t="shared" si="2"/>
        <v>993.33610428756856</v>
      </c>
      <c r="Q160" s="5" t="s">
        <v>39</v>
      </c>
      <c r="R160" s="5" t="s">
        <v>32</v>
      </c>
      <c r="S160" s="6">
        <v>44986</v>
      </c>
      <c r="T160" s="5">
        <v>3</v>
      </c>
      <c r="U160" s="5">
        <v>2</v>
      </c>
      <c r="V160" s="5" t="s">
        <v>33</v>
      </c>
      <c r="W160" s="5">
        <f t="shared" si="3"/>
        <v>0</v>
      </c>
    </row>
    <row r="161" spans="1:23" ht="15.75" customHeight="1" x14ac:dyDescent="0.25">
      <c r="A161" s="5" t="s">
        <v>369</v>
      </c>
      <c r="B161" s="6">
        <v>44978</v>
      </c>
      <c r="C161" s="5" t="s">
        <v>370</v>
      </c>
      <c r="D161" s="5" t="s">
        <v>138</v>
      </c>
      <c r="E161" s="5" t="s">
        <v>54</v>
      </c>
      <c r="F161" s="5" t="s">
        <v>55</v>
      </c>
      <c r="G161" s="5" t="s">
        <v>97</v>
      </c>
      <c r="H161" s="5" t="s">
        <v>98</v>
      </c>
      <c r="I161" s="5" t="s">
        <v>99</v>
      </c>
      <c r="J161" s="5">
        <v>506</v>
      </c>
      <c r="K161" s="7">
        <v>673.45220802903395</v>
      </c>
      <c r="L161" s="5">
        <v>3</v>
      </c>
      <c r="M161" s="5">
        <v>5</v>
      </c>
      <c r="N161" s="8">
        <f t="shared" si="0"/>
        <v>1919.3387928827467</v>
      </c>
      <c r="O161" s="5">
        <f t="shared" si="1"/>
        <v>1518</v>
      </c>
      <c r="P161" s="5">
        <f t="shared" si="2"/>
        <v>401.3387928827467</v>
      </c>
      <c r="Q161" s="5" t="s">
        <v>46</v>
      </c>
      <c r="R161" s="5" t="s">
        <v>32</v>
      </c>
      <c r="S161" s="6">
        <v>44985</v>
      </c>
      <c r="T161" s="5">
        <v>2</v>
      </c>
      <c r="U161" s="5">
        <v>5</v>
      </c>
      <c r="V161" s="5" t="s">
        <v>33</v>
      </c>
      <c r="W161" s="5">
        <f t="shared" si="3"/>
        <v>0</v>
      </c>
    </row>
    <row r="162" spans="1:23" ht="15.75" customHeight="1" x14ac:dyDescent="0.25">
      <c r="A162" s="5" t="s">
        <v>371</v>
      </c>
      <c r="B162" s="6">
        <v>44978</v>
      </c>
      <c r="C162" s="5" t="s">
        <v>343</v>
      </c>
      <c r="D162" s="5" t="s">
        <v>86</v>
      </c>
      <c r="E162" s="5" t="s">
        <v>54</v>
      </c>
      <c r="F162" s="5" t="s">
        <v>55</v>
      </c>
      <c r="G162" s="5" t="s">
        <v>119</v>
      </c>
      <c r="H162" s="5" t="s">
        <v>76</v>
      </c>
      <c r="I162" s="5" t="s">
        <v>120</v>
      </c>
      <c r="J162" s="5">
        <v>73661</v>
      </c>
      <c r="K162" s="7">
        <v>123123.05700262479</v>
      </c>
      <c r="L162" s="5">
        <v>4</v>
      </c>
      <c r="M162" s="5">
        <v>20</v>
      </c>
      <c r="N162" s="8">
        <f t="shared" si="0"/>
        <v>393993.78240839933</v>
      </c>
      <c r="O162" s="5">
        <f t="shared" si="1"/>
        <v>294644</v>
      </c>
      <c r="P162" s="5">
        <f t="shared" si="2"/>
        <v>99349.782408399333</v>
      </c>
      <c r="Q162" s="5" t="s">
        <v>83</v>
      </c>
      <c r="R162" s="5" t="s">
        <v>32</v>
      </c>
      <c r="S162" s="6">
        <v>44986</v>
      </c>
      <c r="T162" s="5">
        <v>2</v>
      </c>
      <c r="U162" s="5">
        <v>4</v>
      </c>
      <c r="V162" s="5" t="s">
        <v>33</v>
      </c>
      <c r="W162" s="5">
        <f t="shared" si="3"/>
        <v>0</v>
      </c>
    </row>
    <row r="163" spans="1:23" ht="15.75" customHeight="1" x14ac:dyDescent="0.25">
      <c r="A163" s="5" t="s">
        <v>372</v>
      </c>
      <c r="B163" s="6">
        <v>44979</v>
      </c>
      <c r="C163" s="5" t="s">
        <v>373</v>
      </c>
      <c r="D163" s="5" t="s">
        <v>42</v>
      </c>
      <c r="E163" s="5" t="s">
        <v>60</v>
      </c>
      <c r="F163" s="5" t="s">
        <v>61</v>
      </c>
      <c r="G163" s="5" t="s">
        <v>106</v>
      </c>
      <c r="H163" s="5" t="s">
        <v>98</v>
      </c>
      <c r="I163" s="5" t="s">
        <v>107</v>
      </c>
      <c r="J163" s="5">
        <v>832</v>
      </c>
      <c r="K163" s="7">
        <v>1264.4972727692916</v>
      </c>
      <c r="L163" s="5">
        <v>2</v>
      </c>
      <c r="M163" s="5">
        <v>15</v>
      </c>
      <c r="N163" s="8">
        <f t="shared" si="0"/>
        <v>2149.6453637077957</v>
      </c>
      <c r="O163" s="5">
        <f t="shared" si="1"/>
        <v>1664</v>
      </c>
      <c r="P163" s="5">
        <f t="shared" si="2"/>
        <v>485.6453637077957</v>
      </c>
      <c r="Q163" s="5" t="s">
        <v>39</v>
      </c>
      <c r="R163" s="5" t="s">
        <v>56</v>
      </c>
      <c r="T163" s="5">
        <v>9</v>
      </c>
      <c r="U163" s="5">
        <v>1</v>
      </c>
      <c r="W163" s="5">
        <f t="shared" si="3"/>
        <v>0</v>
      </c>
    </row>
    <row r="164" spans="1:23" ht="15.75" customHeight="1" x14ac:dyDescent="0.25">
      <c r="A164" s="5" t="s">
        <v>374</v>
      </c>
      <c r="B164" s="6">
        <v>44979</v>
      </c>
      <c r="C164" s="5" t="s">
        <v>292</v>
      </c>
      <c r="D164" s="5" t="s">
        <v>150</v>
      </c>
      <c r="E164" s="5" t="s">
        <v>112</v>
      </c>
      <c r="F164" s="5" t="s">
        <v>113</v>
      </c>
      <c r="G164" s="5" t="s">
        <v>43</v>
      </c>
      <c r="H164" s="5" t="s">
        <v>44</v>
      </c>
      <c r="I164" s="5" t="s">
        <v>45</v>
      </c>
      <c r="J164" s="5">
        <v>408</v>
      </c>
      <c r="K164" s="7">
        <v>508.16599282852468</v>
      </c>
      <c r="L164" s="5">
        <v>4</v>
      </c>
      <c r="M164" s="5">
        <v>15</v>
      </c>
      <c r="N164" s="8">
        <f t="shared" si="0"/>
        <v>1727.7643756169839</v>
      </c>
      <c r="O164" s="5">
        <f t="shared" si="1"/>
        <v>1632</v>
      </c>
      <c r="P164" s="5">
        <f t="shared" si="2"/>
        <v>95.764375616983898</v>
      </c>
      <c r="Q164" s="5" t="s">
        <v>39</v>
      </c>
      <c r="R164" s="5" t="s">
        <v>32</v>
      </c>
      <c r="S164" s="6">
        <v>44987</v>
      </c>
      <c r="T164" s="5">
        <v>2</v>
      </c>
      <c r="U164" s="5">
        <v>5</v>
      </c>
      <c r="V164" s="5" t="s">
        <v>33</v>
      </c>
      <c r="W164" s="5">
        <f t="shared" si="3"/>
        <v>0</v>
      </c>
    </row>
    <row r="165" spans="1:23" ht="15.75" customHeight="1" x14ac:dyDescent="0.25">
      <c r="A165" s="5" t="s">
        <v>375</v>
      </c>
      <c r="B165" s="6">
        <v>44979</v>
      </c>
      <c r="C165" s="5" t="s">
        <v>376</v>
      </c>
      <c r="D165" s="5" t="s">
        <v>146</v>
      </c>
      <c r="E165" s="5" t="s">
        <v>60</v>
      </c>
      <c r="F165" s="5" t="s">
        <v>61</v>
      </c>
      <c r="G165" s="5" t="s">
        <v>97</v>
      </c>
      <c r="H165" s="5" t="s">
        <v>98</v>
      </c>
      <c r="I165" s="5" t="s">
        <v>99</v>
      </c>
      <c r="J165" s="5">
        <v>354</v>
      </c>
      <c r="K165" s="7">
        <v>508.96242277967565</v>
      </c>
      <c r="L165" s="5">
        <v>5</v>
      </c>
      <c r="M165" s="5">
        <v>15</v>
      </c>
      <c r="N165" s="8">
        <f t="shared" si="0"/>
        <v>2163.0902968136215</v>
      </c>
      <c r="O165" s="5">
        <f t="shared" si="1"/>
        <v>1770</v>
      </c>
      <c r="P165" s="5">
        <f t="shared" si="2"/>
        <v>393.09029681362153</v>
      </c>
      <c r="Q165" s="5" t="s">
        <v>46</v>
      </c>
      <c r="R165" s="5" t="s">
        <v>56</v>
      </c>
      <c r="T165" s="5">
        <v>7</v>
      </c>
      <c r="U165" s="5">
        <v>3</v>
      </c>
      <c r="W165" s="5">
        <f t="shared" si="3"/>
        <v>0</v>
      </c>
    </row>
    <row r="166" spans="1:23" ht="15.75" customHeight="1" x14ac:dyDescent="0.25">
      <c r="A166" s="5" t="s">
        <v>377</v>
      </c>
      <c r="B166" s="6">
        <v>44979</v>
      </c>
      <c r="C166" s="5" t="s">
        <v>378</v>
      </c>
      <c r="D166" s="5" t="s">
        <v>188</v>
      </c>
      <c r="E166" s="5" t="s">
        <v>112</v>
      </c>
      <c r="F166" s="5" t="s">
        <v>113</v>
      </c>
      <c r="G166" s="5" t="s">
        <v>81</v>
      </c>
      <c r="H166" s="5" t="s">
        <v>44</v>
      </c>
      <c r="I166" s="5" t="s">
        <v>82</v>
      </c>
      <c r="J166" s="5">
        <v>2324</v>
      </c>
      <c r="K166" s="7">
        <v>3709.6925238574117</v>
      </c>
      <c r="L166" s="5">
        <v>5</v>
      </c>
      <c r="M166" s="5">
        <v>0</v>
      </c>
      <c r="N166" s="8">
        <f t="shared" si="0"/>
        <v>18548.46261928706</v>
      </c>
      <c r="O166" s="5">
        <f t="shared" si="1"/>
        <v>11620</v>
      </c>
      <c r="P166" s="5">
        <f t="shared" si="2"/>
        <v>6928.4626192870601</v>
      </c>
      <c r="Q166" s="5" t="s">
        <v>31</v>
      </c>
      <c r="R166" s="5" t="s">
        <v>32</v>
      </c>
      <c r="S166" s="6">
        <v>44990</v>
      </c>
      <c r="T166" s="5">
        <v>5</v>
      </c>
      <c r="U166" s="5">
        <v>3</v>
      </c>
      <c r="V166" s="5" t="s">
        <v>33</v>
      </c>
      <c r="W166" s="5">
        <f t="shared" si="3"/>
        <v>0</v>
      </c>
    </row>
    <row r="167" spans="1:23" ht="15.75" customHeight="1" x14ac:dyDescent="0.25">
      <c r="A167" s="5" t="s">
        <v>379</v>
      </c>
      <c r="B167" s="6">
        <v>44979</v>
      </c>
      <c r="C167" s="5" t="s">
        <v>359</v>
      </c>
      <c r="D167" s="5" t="s">
        <v>36</v>
      </c>
      <c r="E167" s="5" t="s">
        <v>26</v>
      </c>
      <c r="F167" s="5" t="s">
        <v>27</v>
      </c>
      <c r="G167" s="5" t="s">
        <v>43</v>
      </c>
      <c r="H167" s="5" t="s">
        <v>44</v>
      </c>
      <c r="I167" s="5" t="s">
        <v>45</v>
      </c>
      <c r="J167" s="5">
        <v>724</v>
      </c>
      <c r="K167" s="7">
        <v>1059.8787098006783</v>
      </c>
      <c r="L167" s="5">
        <v>4</v>
      </c>
      <c r="M167" s="5">
        <v>20</v>
      </c>
      <c r="N167" s="8">
        <f t="shared" si="0"/>
        <v>3391.6118713621709</v>
      </c>
      <c r="O167" s="5">
        <f t="shared" si="1"/>
        <v>2896</v>
      </c>
      <c r="P167" s="5">
        <f t="shared" si="2"/>
        <v>495.61187136217086</v>
      </c>
      <c r="Q167" s="5" t="s">
        <v>31</v>
      </c>
      <c r="R167" s="5" t="s">
        <v>56</v>
      </c>
      <c r="T167" s="5">
        <v>10</v>
      </c>
      <c r="U167" s="5">
        <v>1</v>
      </c>
      <c r="W167" s="5">
        <f t="shared" si="3"/>
        <v>0</v>
      </c>
    </row>
    <row r="168" spans="1:23" ht="15.75" customHeight="1" x14ac:dyDescent="0.25">
      <c r="A168" s="5" t="s">
        <v>380</v>
      </c>
      <c r="B168" s="6">
        <v>44980</v>
      </c>
      <c r="C168" s="5" t="s">
        <v>381</v>
      </c>
      <c r="D168" s="5" t="s">
        <v>86</v>
      </c>
      <c r="E168" s="5" t="s">
        <v>26</v>
      </c>
      <c r="F168" s="5" t="s">
        <v>27</v>
      </c>
      <c r="G168" s="5" t="s">
        <v>119</v>
      </c>
      <c r="H168" s="5" t="s">
        <v>76</v>
      </c>
      <c r="I168" s="5" t="s">
        <v>120</v>
      </c>
      <c r="J168" s="5">
        <v>27851</v>
      </c>
      <c r="K168" s="7">
        <v>28408.467165492457</v>
      </c>
      <c r="L168" s="5">
        <v>1</v>
      </c>
      <c r="M168" s="5">
        <v>20</v>
      </c>
      <c r="N168" s="8">
        <f t="shared" si="0"/>
        <v>22726.773732393965</v>
      </c>
      <c r="O168" s="5">
        <f t="shared" si="1"/>
        <v>27851</v>
      </c>
      <c r="P168" s="5">
        <f t="shared" si="2"/>
        <v>-5124.2262676060345</v>
      </c>
      <c r="Q168" s="5" t="s">
        <v>39</v>
      </c>
      <c r="R168" s="5" t="s">
        <v>32</v>
      </c>
      <c r="S168" s="6">
        <v>44990</v>
      </c>
      <c r="T168" s="5">
        <v>3</v>
      </c>
      <c r="U168" s="5">
        <v>2</v>
      </c>
      <c r="V168" s="5" t="s">
        <v>33</v>
      </c>
      <c r="W168" s="5">
        <f t="shared" si="3"/>
        <v>0</v>
      </c>
    </row>
    <row r="169" spans="1:23" ht="15.75" customHeight="1" x14ac:dyDescent="0.25">
      <c r="A169" s="5" t="s">
        <v>382</v>
      </c>
      <c r="B169" s="6">
        <v>44980</v>
      </c>
      <c r="C169" s="5" t="s">
        <v>383</v>
      </c>
      <c r="D169" s="5" t="s">
        <v>184</v>
      </c>
      <c r="E169" s="5" t="s">
        <v>54</v>
      </c>
      <c r="F169" s="5" t="s">
        <v>55</v>
      </c>
      <c r="G169" s="5" t="s">
        <v>106</v>
      </c>
      <c r="H169" s="5" t="s">
        <v>98</v>
      </c>
      <c r="I169" s="5" t="s">
        <v>107</v>
      </c>
      <c r="J169" s="5">
        <v>720</v>
      </c>
      <c r="K169" s="7">
        <v>1099.6128483371622</v>
      </c>
      <c r="L169" s="5">
        <v>1</v>
      </c>
      <c r="M169" s="5">
        <v>20</v>
      </c>
      <c r="N169" s="8">
        <f t="shared" si="0"/>
        <v>879.69027866972976</v>
      </c>
      <c r="O169" s="5">
        <f t="shared" si="1"/>
        <v>720</v>
      </c>
      <c r="P169" s="5">
        <f t="shared" si="2"/>
        <v>159.69027866972976</v>
      </c>
      <c r="Q169" s="5" t="s">
        <v>83</v>
      </c>
      <c r="R169" s="5" t="s">
        <v>32</v>
      </c>
      <c r="S169" s="6">
        <v>44987</v>
      </c>
      <c r="T169" s="5">
        <v>1</v>
      </c>
      <c r="U169" s="5">
        <v>4</v>
      </c>
      <c r="V169" s="5" t="s">
        <v>33</v>
      </c>
      <c r="W169" s="5">
        <f t="shared" si="3"/>
        <v>0</v>
      </c>
    </row>
    <row r="170" spans="1:23" ht="15.75" customHeight="1" x14ac:dyDescent="0.25">
      <c r="A170" s="5" t="s">
        <v>384</v>
      </c>
      <c r="B170" s="6">
        <v>44980</v>
      </c>
      <c r="C170" s="5" t="s">
        <v>385</v>
      </c>
      <c r="D170" s="5" t="s">
        <v>74</v>
      </c>
      <c r="E170" s="5" t="s">
        <v>49</v>
      </c>
      <c r="F170" s="5" t="s">
        <v>50</v>
      </c>
      <c r="G170" s="5" t="s">
        <v>106</v>
      </c>
      <c r="H170" s="5" t="s">
        <v>98</v>
      </c>
      <c r="I170" s="5" t="s">
        <v>107</v>
      </c>
      <c r="J170" s="5">
        <v>960</v>
      </c>
      <c r="K170" s="7">
        <v>1418.6003438150765</v>
      </c>
      <c r="L170" s="5">
        <v>4</v>
      </c>
      <c r="M170" s="5">
        <v>10</v>
      </c>
      <c r="N170" s="8">
        <f t="shared" si="0"/>
        <v>5106.9612377342755</v>
      </c>
      <c r="O170" s="5">
        <f t="shared" si="1"/>
        <v>3840</v>
      </c>
      <c r="P170" s="5">
        <f t="shared" si="2"/>
        <v>1266.9612377342755</v>
      </c>
      <c r="Q170" s="5" t="s">
        <v>39</v>
      </c>
      <c r="R170" s="5" t="s">
        <v>32</v>
      </c>
      <c r="S170" s="6">
        <v>44987</v>
      </c>
      <c r="T170" s="5">
        <v>4</v>
      </c>
      <c r="U170" s="5">
        <v>4</v>
      </c>
      <c r="V170" s="5" t="s">
        <v>33</v>
      </c>
      <c r="W170" s="5">
        <f t="shared" si="3"/>
        <v>0</v>
      </c>
    </row>
    <row r="171" spans="1:23" ht="15.75" customHeight="1" x14ac:dyDescent="0.25">
      <c r="A171" s="5" t="s">
        <v>386</v>
      </c>
      <c r="B171" s="6">
        <v>44981</v>
      </c>
      <c r="C171" s="5" t="s">
        <v>387</v>
      </c>
      <c r="D171" s="5" t="s">
        <v>36</v>
      </c>
      <c r="E171" s="5" t="s">
        <v>80</v>
      </c>
      <c r="F171" s="5" t="s">
        <v>80</v>
      </c>
      <c r="G171" s="5" t="s">
        <v>28</v>
      </c>
      <c r="H171" s="5" t="s">
        <v>29</v>
      </c>
      <c r="I171" s="5" t="s">
        <v>30</v>
      </c>
      <c r="J171" s="5">
        <v>5422</v>
      </c>
      <c r="K171" s="7">
        <v>8439.0895454747097</v>
      </c>
      <c r="L171" s="5">
        <v>2</v>
      </c>
      <c r="M171" s="5">
        <v>20</v>
      </c>
      <c r="N171" s="8">
        <f t="shared" si="0"/>
        <v>13502.543272759536</v>
      </c>
      <c r="O171" s="5">
        <f t="shared" si="1"/>
        <v>10844</v>
      </c>
      <c r="P171" s="5">
        <f t="shared" si="2"/>
        <v>2658.5432727595362</v>
      </c>
      <c r="Q171" s="5" t="s">
        <v>39</v>
      </c>
      <c r="R171" s="5" t="s">
        <v>56</v>
      </c>
      <c r="T171" s="5">
        <v>7</v>
      </c>
      <c r="U171" s="5">
        <v>2</v>
      </c>
      <c r="W171" s="5">
        <f t="shared" si="3"/>
        <v>0</v>
      </c>
    </row>
    <row r="172" spans="1:23" ht="15.75" customHeight="1" x14ac:dyDescent="0.25">
      <c r="A172" s="5" t="s">
        <v>388</v>
      </c>
      <c r="B172" s="6">
        <v>44981</v>
      </c>
      <c r="C172" s="5" t="s">
        <v>389</v>
      </c>
      <c r="D172" s="5" t="s">
        <v>74</v>
      </c>
      <c r="E172" s="5" t="s">
        <v>49</v>
      </c>
      <c r="F172" s="5" t="s">
        <v>50</v>
      </c>
      <c r="G172" s="5" t="s">
        <v>70</v>
      </c>
      <c r="H172" s="5" t="s">
        <v>44</v>
      </c>
      <c r="I172" s="5" t="s">
        <v>71</v>
      </c>
      <c r="J172" s="5">
        <v>594</v>
      </c>
      <c r="K172" s="7">
        <v>674.60636184583745</v>
      </c>
      <c r="L172" s="5">
        <v>5</v>
      </c>
      <c r="M172" s="5">
        <v>10</v>
      </c>
      <c r="N172" s="8">
        <f t="shared" si="0"/>
        <v>3035.7286283062685</v>
      </c>
      <c r="O172" s="5">
        <f t="shared" si="1"/>
        <v>2970</v>
      </c>
      <c r="P172" s="5">
        <f t="shared" si="2"/>
        <v>65.728628306268547</v>
      </c>
      <c r="Q172" s="5" t="s">
        <v>31</v>
      </c>
      <c r="R172" s="5" t="s">
        <v>32</v>
      </c>
      <c r="S172" s="6">
        <v>44990</v>
      </c>
      <c r="T172" s="5">
        <v>4</v>
      </c>
      <c r="U172" s="5">
        <v>4</v>
      </c>
      <c r="V172" s="5" t="s">
        <v>33</v>
      </c>
      <c r="W172" s="5">
        <f t="shared" si="3"/>
        <v>0</v>
      </c>
    </row>
    <row r="173" spans="1:23" ht="15.75" customHeight="1" x14ac:dyDescent="0.25">
      <c r="A173" s="5" t="s">
        <v>390</v>
      </c>
      <c r="B173" s="6">
        <v>44981</v>
      </c>
      <c r="C173" s="5" t="s">
        <v>168</v>
      </c>
      <c r="D173" s="5" t="s">
        <v>116</v>
      </c>
      <c r="E173" s="5" t="s">
        <v>80</v>
      </c>
      <c r="F173" s="5" t="s">
        <v>80</v>
      </c>
      <c r="G173" s="5" t="s">
        <v>81</v>
      </c>
      <c r="H173" s="5" t="s">
        <v>44</v>
      </c>
      <c r="I173" s="5" t="s">
        <v>82</v>
      </c>
      <c r="J173" s="5">
        <v>2021</v>
      </c>
      <c r="K173" s="7">
        <v>2482.5839236089564</v>
      </c>
      <c r="L173" s="5">
        <v>5</v>
      </c>
      <c r="M173" s="5">
        <v>5</v>
      </c>
      <c r="N173" s="8">
        <f t="shared" si="0"/>
        <v>11792.273637142542</v>
      </c>
      <c r="O173" s="5">
        <f t="shared" si="1"/>
        <v>10105</v>
      </c>
      <c r="P173" s="5">
        <f t="shared" si="2"/>
        <v>1687.2736371425417</v>
      </c>
      <c r="Q173" s="5" t="s">
        <v>83</v>
      </c>
      <c r="R173" s="5" t="s">
        <v>32</v>
      </c>
      <c r="S173" s="6">
        <v>44991</v>
      </c>
      <c r="T173" s="5">
        <v>3</v>
      </c>
      <c r="U173" s="5">
        <v>4</v>
      </c>
      <c r="V173" s="5" t="s">
        <v>33</v>
      </c>
      <c r="W173" s="5">
        <f t="shared" si="3"/>
        <v>0</v>
      </c>
    </row>
    <row r="174" spans="1:23" ht="15.75" customHeight="1" x14ac:dyDescent="0.25">
      <c r="A174" s="5" t="s">
        <v>391</v>
      </c>
      <c r="B174" s="6">
        <v>44982</v>
      </c>
      <c r="C174" s="5" t="s">
        <v>392</v>
      </c>
      <c r="D174" s="5" t="s">
        <v>59</v>
      </c>
      <c r="E174" s="5" t="s">
        <v>26</v>
      </c>
      <c r="F174" s="5" t="s">
        <v>27</v>
      </c>
      <c r="G174" s="5" t="s">
        <v>119</v>
      </c>
      <c r="H174" s="5" t="s">
        <v>76</v>
      </c>
      <c r="I174" s="5" t="s">
        <v>120</v>
      </c>
      <c r="J174" s="5">
        <v>72295</v>
      </c>
      <c r="K174" s="7">
        <v>102451.15116274587</v>
      </c>
      <c r="L174" s="5">
        <v>2</v>
      </c>
      <c r="M174" s="5">
        <v>20</v>
      </c>
      <c r="N174" s="8">
        <f t="shared" si="0"/>
        <v>163921.84186039341</v>
      </c>
      <c r="O174" s="5">
        <f t="shared" si="1"/>
        <v>144590</v>
      </c>
      <c r="P174" s="5">
        <f t="shared" si="2"/>
        <v>19331.841860393411</v>
      </c>
      <c r="Q174" s="5" t="s">
        <v>31</v>
      </c>
      <c r="R174" s="5" t="s">
        <v>56</v>
      </c>
      <c r="T174" s="5">
        <v>7</v>
      </c>
      <c r="U174" s="5">
        <v>4</v>
      </c>
      <c r="W174" s="5">
        <f t="shared" si="3"/>
        <v>0</v>
      </c>
    </row>
    <row r="175" spans="1:23" ht="15.75" customHeight="1" x14ac:dyDescent="0.25">
      <c r="A175" s="5" t="s">
        <v>393</v>
      </c>
      <c r="B175" s="6">
        <v>44983</v>
      </c>
      <c r="C175" s="5" t="s">
        <v>394</v>
      </c>
      <c r="D175" s="5" t="s">
        <v>146</v>
      </c>
      <c r="E175" s="5" t="s">
        <v>26</v>
      </c>
      <c r="F175" s="5" t="s">
        <v>27</v>
      </c>
      <c r="G175" s="5" t="s">
        <v>124</v>
      </c>
      <c r="H175" s="5" t="s">
        <v>76</v>
      </c>
      <c r="I175" s="5" t="s">
        <v>125</v>
      </c>
      <c r="J175" s="5">
        <v>88493</v>
      </c>
      <c r="K175" s="7">
        <v>143762.49709348328</v>
      </c>
      <c r="L175" s="5">
        <v>1</v>
      </c>
      <c r="M175" s="5">
        <v>20</v>
      </c>
      <c r="N175" s="8">
        <f t="shared" si="0"/>
        <v>115009.99767478663</v>
      </c>
      <c r="O175" s="5">
        <f t="shared" si="1"/>
        <v>88493</v>
      </c>
      <c r="P175" s="5">
        <f t="shared" si="2"/>
        <v>26516.997674786631</v>
      </c>
      <c r="Q175" s="5" t="s">
        <v>83</v>
      </c>
      <c r="R175" s="5" t="s">
        <v>32</v>
      </c>
      <c r="S175" s="6">
        <v>44992</v>
      </c>
      <c r="T175" s="5">
        <v>3</v>
      </c>
      <c r="U175" s="5">
        <v>4</v>
      </c>
      <c r="V175" s="5" t="s">
        <v>33</v>
      </c>
      <c r="W175" s="5">
        <f t="shared" si="3"/>
        <v>0</v>
      </c>
    </row>
    <row r="176" spans="1:23" ht="15.75" customHeight="1" x14ac:dyDescent="0.25">
      <c r="A176" s="5" t="s">
        <v>395</v>
      </c>
      <c r="B176" s="6">
        <v>44984</v>
      </c>
      <c r="C176" s="5" t="s">
        <v>396</v>
      </c>
      <c r="D176" s="5" t="s">
        <v>146</v>
      </c>
      <c r="E176" s="5" t="s">
        <v>60</v>
      </c>
      <c r="F176" s="5" t="s">
        <v>61</v>
      </c>
      <c r="G176" s="5" t="s">
        <v>106</v>
      </c>
      <c r="H176" s="5" t="s">
        <v>98</v>
      </c>
      <c r="I176" s="5" t="s">
        <v>107</v>
      </c>
      <c r="J176" s="5">
        <v>520</v>
      </c>
      <c r="K176" s="7">
        <v>781.19496415193896</v>
      </c>
      <c r="L176" s="5">
        <v>5</v>
      </c>
      <c r="M176" s="5">
        <v>20</v>
      </c>
      <c r="N176" s="8">
        <f t="shared" si="0"/>
        <v>3124.7798566077563</v>
      </c>
      <c r="O176" s="5">
        <f t="shared" si="1"/>
        <v>2600</v>
      </c>
      <c r="P176" s="5">
        <f t="shared" si="2"/>
        <v>524.7798566077563</v>
      </c>
      <c r="Q176" s="5" t="s">
        <v>39</v>
      </c>
      <c r="R176" s="5" t="s">
        <v>32</v>
      </c>
      <c r="S176" s="6">
        <v>44997</v>
      </c>
      <c r="T176" s="5">
        <v>6</v>
      </c>
      <c r="U176" s="5">
        <v>2</v>
      </c>
      <c r="V176" s="5" t="s">
        <v>33</v>
      </c>
      <c r="W176" s="5">
        <f t="shared" si="3"/>
        <v>0</v>
      </c>
    </row>
    <row r="177" spans="1:23" ht="15.75" customHeight="1" x14ac:dyDescent="0.25">
      <c r="A177" s="5" t="s">
        <v>397</v>
      </c>
      <c r="B177" s="6">
        <v>44984</v>
      </c>
      <c r="C177" s="5" t="s">
        <v>387</v>
      </c>
      <c r="D177" s="5" t="s">
        <v>138</v>
      </c>
      <c r="E177" s="5" t="s">
        <v>37</v>
      </c>
      <c r="F177" s="5" t="s">
        <v>38</v>
      </c>
      <c r="G177" s="5" t="s">
        <v>139</v>
      </c>
      <c r="H177" s="5" t="s">
        <v>76</v>
      </c>
      <c r="I177" s="5" t="s">
        <v>140</v>
      </c>
      <c r="J177" s="5">
        <v>32012</v>
      </c>
      <c r="K177" s="7">
        <v>33006.577972471918</v>
      </c>
      <c r="L177" s="5">
        <v>2</v>
      </c>
      <c r="M177" s="5">
        <v>15</v>
      </c>
      <c r="N177" s="8">
        <f t="shared" si="0"/>
        <v>56111.182553202256</v>
      </c>
      <c r="O177" s="5">
        <f t="shared" si="1"/>
        <v>64024</v>
      </c>
      <c r="P177" s="5">
        <f t="shared" si="2"/>
        <v>-7912.8174467977442</v>
      </c>
      <c r="Q177" s="5" t="s">
        <v>31</v>
      </c>
      <c r="R177" s="5" t="s">
        <v>32</v>
      </c>
      <c r="S177" s="6">
        <v>44993</v>
      </c>
      <c r="T177" s="5">
        <v>2</v>
      </c>
      <c r="U177" s="5">
        <v>4</v>
      </c>
      <c r="V177" s="5" t="s">
        <v>33</v>
      </c>
      <c r="W177" s="5">
        <f t="shared" si="3"/>
        <v>0</v>
      </c>
    </row>
    <row r="178" spans="1:23" ht="15.75" customHeight="1" x14ac:dyDescent="0.25">
      <c r="A178" s="5" t="s">
        <v>398</v>
      </c>
      <c r="B178" s="6">
        <v>44984</v>
      </c>
      <c r="C178" s="5" t="s">
        <v>306</v>
      </c>
      <c r="D178" s="5" t="s">
        <v>116</v>
      </c>
      <c r="E178" s="5" t="s">
        <v>54</v>
      </c>
      <c r="F178" s="5" t="s">
        <v>55</v>
      </c>
      <c r="G178" s="5" t="s">
        <v>75</v>
      </c>
      <c r="H178" s="5" t="s">
        <v>76</v>
      </c>
      <c r="I178" s="5" t="s">
        <v>77</v>
      </c>
      <c r="J178" s="5">
        <v>1360</v>
      </c>
      <c r="K178" s="7">
        <v>1821.1750553990062</v>
      </c>
      <c r="L178" s="5">
        <v>2</v>
      </c>
      <c r="M178" s="5">
        <v>0</v>
      </c>
      <c r="N178" s="8">
        <f t="shared" si="0"/>
        <v>3642.3501107980123</v>
      </c>
      <c r="O178" s="5">
        <f t="shared" si="1"/>
        <v>2720</v>
      </c>
      <c r="P178" s="5">
        <f t="shared" si="2"/>
        <v>922.35011079801234</v>
      </c>
      <c r="Q178" s="5" t="s">
        <v>83</v>
      </c>
      <c r="R178" s="5" t="s">
        <v>32</v>
      </c>
      <c r="S178" s="6">
        <v>44993</v>
      </c>
      <c r="T178" s="5">
        <v>6</v>
      </c>
      <c r="U178" s="5">
        <v>4</v>
      </c>
      <c r="V178" s="5" t="s">
        <v>89</v>
      </c>
      <c r="W178" s="5">
        <f t="shared" si="3"/>
        <v>1</v>
      </c>
    </row>
    <row r="179" spans="1:23" ht="15.75" customHeight="1" x14ac:dyDescent="0.25">
      <c r="A179" s="5" t="s">
        <v>399</v>
      </c>
      <c r="B179" s="6">
        <v>44984</v>
      </c>
      <c r="C179" s="5" t="s">
        <v>400</v>
      </c>
      <c r="D179" s="5" t="s">
        <v>102</v>
      </c>
      <c r="E179" s="5" t="s">
        <v>37</v>
      </c>
      <c r="F179" s="5" t="s">
        <v>38</v>
      </c>
      <c r="G179" s="5" t="s">
        <v>119</v>
      </c>
      <c r="H179" s="5" t="s">
        <v>76</v>
      </c>
      <c r="I179" s="5" t="s">
        <v>120</v>
      </c>
      <c r="J179" s="5">
        <v>41816</v>
      </c>
      <c r="K179" s="7">
        <v>54271.54448015165</v>
      </c>
      <c r="L179" s="5">
        <v>4</v>
      </c>
      <c r="M179" s="5">
        <v>15</v>
      </c>
      <c r="N179" s="8">
        <f t="shared" si="0"/>
        <v>184523.25123251561</v>
      </c>
      <c r="O179" s="5">
        <f t="shared" si="1"/>
        <v>167264</v>
      </c>
      <c r="P179" s="5">
        <f t="shared" si="2"/>
        <v>17259.251232515613</v>
      </c>
      <c r="Q179" s="5" t="s">
        <v>39</v>
      </c>
      <c r="R179" s="5" t="s">
        <v>56</v>
      </c>
      <c r="T179" s="5">
        <v>8</v>
      </c>
      <c r="U179" s="5">
        <v>4</v>
      </c>
      <c r="W179" s="5">
        <f t="shared" si="3"/>
        <v>0</v>
      </c>
    </row>
    <row r="180" spans="1:23" ht="15.75" customHeight="1" x14ac:dyDescent="0.25">
      <c r="A180" s="5" t="s">
        <v>401</v>
      </c>
      <c r="B180" s="6">
        <v>44984</v>
      </c>
      <c r="C180" s="5" t="s">
        <v>402</v>
      </c>
      <c r="D180" s="5" t="s">
        <v>102</v>
      </c>
      <c r="E180" s="5" t="s">
        <v>80</v>
      </c>
      <c r="F180" s="5" t="s">
        <v>80</v>
      </c>
      <c r="G180" s="5" t="s">
        <v>87</v>
      </c>
      <c r="H180" s="5" t="s">
        <v>29</v>
      </c>
      <c r="I180" s="5" t="s">
        <v>88</v>
      </c>
      <c r="J180" s="5">
        <v>28996</v>
      </c>
      <c r="K180" s="7">
        <v>37197.252689979563</v>
      </c>
      <c r="L180" s="5">
        <v>1</v>
      </c>
      <c r="M180" s="5">
        <v>20</v>
      </c>
      <c r="N180" s="8">
        <f t="shared" si="0"/>
        <v>29757.802151983651</v>
      </c>
      <c r="O180" s="5">
        <f t="shared" si="1"/>
        <v>28996</v>
      </c>
      <c r="P180" s="5">
        <f t="shared" si="2"/>
        <v>761.80215198365113</v>
      </c>
      <c r="Q180" s="5" t="s">
        <v>46</v>
      </c>
      <c r="R180" s="5" t="s">
        <v>56</v>
      </c>
      <c r="T180" s="5">
        <v>9</v>
      </c>
      <c r="U180" s="5">
        <v>1</v>
      </c>
      <c r="W180" s="5">
        <f t="shared" si="3"/>
        <v>0</v>
      </c>
    </row>
    <row r="181" spans="1:23" ht="15.75" customHeight="1" x14ac:dyDescent="0.25">
      <c r="A181" s="5" t="s">
        <v>403</v>
      </c>
      <c r="B181" s="6">
        <v>44985</v>
      </c>
      <c r="C181" s="5" t="s">
        <v>404</v>
      </c>
      <c r="D181" s="5" t="s">
        <v>53</v>
      </c>
      <c r="E181" s="5" t="s">
        <v>112</v>
      </c>
      <c r="F181" s="5" t="s">
        <v>113</v>
      </c>
      <c r="G181" s="5" t="s">
        <v>119</v>
      </c>
      <c r="H181" s="5" t="s">
        <v>76</v>
      </c>
      <c r="I181" s="5" t="s">
        <v>120</v>
      </c>
      <c r="J181" s="5">
        <v>46835</v>
      </c>
      <c r="K181" s="7">
        <v>56145.984303454017</v>
      </c>
      <c r="L181" s="5">
        <v>5</v>
      </c>
      <c r="M181" s="5">
        <v>0</v>
      </c>
      <c r="N181" s="8">
        <f t="shared" si="0"/>
        <v>280729.92151727009</v>
      </c>
      <c r="O181" s="5">
        <f t="shared" si="1"/>
        <v>234175</v>
      </c>
      <c r="P181" s="5">
        <f t="shared" si="2"/>
        <v>46554.921517270093</v>
      </c>
      <c r="Q181" s="5" t="s">
        <v>39</v>
      </c>
      <c r="R181" s="5" t="s">
        <v>32</v>
      </c>
      <c r="S181" s="6">
        <v>44993</v>
      </c>
      <c r="T181" s="5">
        <v>3</v>
      </c>
      <c r="U181" s="5">
        <v>4</v>
      </c>
      <c r="V181" s="5" t="s">
        <v>33</v>
      </c>
      <c r="W181" s="5">
        <f t="shared" si="3"/>
        <v>0</v>
      </c>
    </row>
    <row r="182" spans="1:23" ht="15.75" customHeight="1" x14ac:dyDescent="0.25">
      <c r="A182" s="5" t="s">
        <v>405</v>
      </c>
      <c r="B182" s="6">
        <v>44985</v>
      </c>
      <c r="C182" s="5" t="s">
        <v>406</v>
      </c>
      <c r="D182" s="5" t="s">
        <v>102</v>
      </c>
      <c r="E182" s="5" t="s">
        <v>49</v>
      </c>
      <c r="F182" s="5" t="s">
        <v>50</v>
      </c>
      <c r="G182" s="5" t="s">
        <v>97</v>
      </c>
      <c r="H182" s="5" t="s">
        <v>98</v>
      </c>
      <c r="I182" s="5" t="s">
        <v>99</v>
      </c>
      <c r="J182" s="5">
        <v>266</v>
      </c>
      <c r="K182" s="7">
        <v>465.39413789488958</v>
      </c>
      <c r="L182" s="5">
        <v>2</v>
      </c>
      <c r="M182" s="5">
        <v>0</v>
      </c>
      <c r="N182" s="8">
        <f t="shared" si="0"/>
        <v>930.78827578977916</v>
      </c>
      <c r="O182" s="5">
        <f t="shared" si="1"/>
        <v>532</v>
      </c>
      <c r="P182" s="5">
        <f t="shared" si="2"/>
        <v>398.78827578977916</v>
      </c>
      <c r="Q182" s="5" t="s">
        <v>83</v>
      </c>
      <c r="R182" s="5" t="s">
        <v>32</v>
      </c>
      <c r="S182" s="6">
        <v>44989</v>
      </c>
      <c r="T182" s="5">
        <v>1</v>
      </c>
      <c r="U182" s="5">
        <v>4</v>
      </c>
      <c r="V182" s="5" t="s">
        <v>33</v>
      </c>
      <c r="W182" s="5">
        <f t="shared" si="3"/>
        <v>0</v>
      </c>
    </row>
    <row r="183" spans="1:23" ht="15.75" customHeight="1" x14ac:dyDescent="0.25">
      <c r="A183" s="5" t="s">
        <v>407</v>
      </c>
      <c r="B183" s="6">
        <v>44985</v>
      </c>
      <c r="C183" s="5" t="s">
        <v>408</v>
      </c>
      <c r="D183" s="5" t="s">
        <v>74</v>
      </c>
      <c r="E183" s="5" t="s">
        <v>37</v>
      </c>
      <c r="F183" s="5" t="s">
        <v>38</v>
      </c>
      <c r="G183" s="5" t="s">
        <v>43</v>
      </c>
      <c r="H183" s="5" t="s">
        <v>44</v>
      </c>
      <c r="I183" s="5" t="s">
        <v>45</v>
      </c>
      <c r="J183" s="5">
        <v>683</v>
      </c>
      <c r="K183" s="7">
        <v>822.92995135146339</v>
      </c>
      <c r="L183" s="5">
        <v>1</v>
      </c>
      <c r="M183" s="5">
        <v>20</v>
      </c>
      <c r="N183" s="8">
        <f t="shared" si="0"/>
        <v>658.34396108117073</v>
      </c>
      <c r="O183" s="5">
        <f t="shared" si="1"/>
        <v>683</v>
      </c>
      <c r="P183" s="5">
        <f t="shared" si="2"/>
        <v>-24.656038918829267</v>
      </c>
      <c r="Q183" s="5" t="s">
        <v>46</v>
      </c>
      <c r="R183" s="5" t="s">
        <v>32</v>
      </c>
      <c r="S183" s="6">
        <v>44990</v>
      </c>
      <c r="T183" s="5">
        <v>2</v>
      </c>
      <c r="U183" s="5">
        <v>4</v>
      </c>
      <c r="V183" s="5" t="s">
        <v>33</v>
      </c>
      <c r="W183" s="5">
        <f t="shared" si="3"/>
        <v>0</v>
      </c>
    </row>
    <row r="184" spans="1:23" ht="15.75" customHeight="1" x14ac:dyDescent="0.25">
      <c r="A184" s="5" t="s">
        <v>409</v>
      </c>
      <c r="B184" s="6">
        <v>44986</v>
      </c>
      <c r="C184" s="5" t="s">
        <v>410</v>
      </c>
      <c r="D184" s="5" t="s">
        <v>148</v>
      </c>
      <c r="E184" s="5" t="s">
        <v>69</v>
      </c>
      <c r="F184" s="5" t="s">
        <v>55</v>
      </c>
      <c r="G184" s="5" t="s">
        <v>92</v>
      </c>
      <c r="H184" s="5" t="s">
        <v>44</v>
      </c>
      <c r="I184" s="5" t="s">
        <v>45</v>
      </c>
      <c r="J184" s="5">
        <v>850</v>
      </c>
      <c r="K184" s="7">
        <v>1291.6149071325563</v>
      </c>
      <c r="L184" s="5">
        <v>1</v>
      </c>
      <c r="M184" s="5">
        <v>0</v>
      </c>
      <c r="N184" s="8">
        <f t="shared" si="0"/>
        <v>1291.6149071325563</v>
      </c>
      <c r="O184" s="5">
        <f t="shared" si="1"/>
        <v>850</v>
      </c>
      <c r="P184" s="5">
        <f t="shared" si="2"/>
        <v>441.61490713255625</v>
      </c>
      <c r="Q184" s="5" t="s">
        <v>83</v>
      </c>
      <c r="R184" s="5" t="s">
        <v>56</v>
      </c>
      <c r="T184" s="5">
        <v>8</v>
      </c>
      <c r="U184" s="5">
        <v>2</v>
      </c>
      <c r="W184" s="5">
        <f t="shared" si="3"/>
        <v>0</v>
      </c>
    </row>
    <row r="185" spans="1:23" ht="15.75" customHeight="1" x14ac:dyDescent="0.25">
      <c r="A185" s="5" t="s">
        <v>411</v>
      </c>
      <c r="B185" s="6">
        <v>44986</v>
      </c>
      <c r="C185" s="5" t="s">
        <v>387</v>
      </c>
      <c r="D185" s="5" t="s">
        <v>208</v>
      </c>
      <c r="E185" s="5" t="s">
        <v>112</v>
      </c>
      <c r="F185" s="5" t="s">
        <v>113</v>
      </c>
      <c r="G185" s="5" t="s">
        <v>119</v>
      </c>
      <c r="H185" s="5" t="s">
        <v>76</v>
      </c>
      <c r="I185" s="5" t="s">
        <v>120</v>
      </c>
      <c r="J185" s="5">
        <v>24232</v>
      </c>
      <c r="K185" s="7">
        <v>36653.233536030231</v>
      </c>
      <c r="L185" s="5">
        <v>3</v>
      </c>
      <c r="M185" s="5">
        <v>20</v>
      </c>
      <c r="N185" s="8">
        <f t="shared" si="0"/>
        <v>87967.760486472573</v>
      </c>
      <c r="O185" s="5">
        <f t="shared" si="1"/>
        <v>72696</v>
      </c>
      <c r="P185" s="5">
        <f t="shared" si="2"/>
        <v>15271.760486472573</v>
      </c>
      <c r="Q185" s="5" t="s">
        <v>83</v>
      </c>
      <c r="R185" s="5" t="s">
        <v>32</v>
      </c>
      <c r="S185" s="6">
        <v>44999</v>
      </c>
      <c r="T185" s="5">
        <v>6</v>
      </c>
      <c r="U185" s="5">
        <v>4</v>
      </c>
      <c r="V185" s="5" t="s">
        <v>89</v>
      </c>
      <c r="W185" s="5">
        <f t="shared" si="3"/>
        <v>1</v>
      </c>
    </row>
    <row r="186" spans="1:23" ht="15.75" customHeight="1" x14ac:dyDescent="0.25">
      <c r="A186" s="5" t="s">
        <v>412</v>
      </c>
      <c r="B186" s="6">
        <v>44987</v>
      </c>
      <c r="C186" s="5" t="s">
        <v>413</v>
      </c>
      <c r="D186" s="5" t="s">
        <v>148</v>
      </c>
      <c r="E186" s="5" t="s">
        <v>26</v>
      </c>
      <c r="F186" s="5" t="s">
        <v>27</v>
      </c>
      <c r="G186" s="5" t="s">
        <v>124</v>
      </c>
      <c r="H186" s="5" t="s">
        <v>76</v>
      </c>
      <c r="I186" s="5" t="s">
        <v>125</v>
      </c>
      <c r="J186" s="5">
        <v>59913</v>
      </c>
      <c r="K186" s="7">
        <v>87571.341961880578</v>
      </c>
      <c r="L186" s="5">
        <v>2</v>
      </c>
      <c r="M186" s="5">
        <v>15</v>
      </c>
      <c r="N186" s="8">
        <f t="shared" si="0"/>
        <v>148871.28133519698</v>
      </c>
      <c r="O186" s="5">
        <f t="shared" si="1"/>
        <v>119826</v>
      </c>
      <c r="P186" s="5">
        <f t="shared" si="2"/>
        <v>29045.281335196982</v>
      </c>
      <c r="Q186" s="5" t="s">
        <v>31</v>
      </c>
      <c r="R186" s="5" t="s">
        <v>32</v>
      </c>
      <c r="S186" s="6">
        <v>44996</v>
      </c>
      <c r="T186" s="5">
        <v>2</v>
      </c>
      <c r="U186" s="5">
        <v>4</v>
      </c>
      <c r="V186" s="5" t="s">
        <v>33</v>
      </c>
      <c r="W186" s="5">
        <f t="shared" si="3"/>
        <v>0</v>
      </c>
    </row>
    <row r="187" spans="1:23" ht="15.75" customHeight="1" x14ac:dyDescent="0.25">
      <c r="A187" s="5" t="s">
        <v>414</v>
      </c>
      <c r="B187" s="6">
        <v>44987</v>
      </c>
      <c r="C187" s="5" t="s">
        <v>91</v>
      </c>
      <c r="D187" s="5" t="s">
        <v>188</v>
      </c>
      <c r="E187" s="5" t="s">
        <v>112</v>
      </c>
      <c r="F187" s="5" t="s">
        <v>113</v>
      </c>
      <c r="G187" s="5" t="s">
        <v>106</v>
      </c>
      <c r="H187" s="5" t="s">
        <v>98</v>
      </c>
      <c r="I187" s="5" t="s">
        <v>107</v>
      </c>
      <c r="J187" s="5">
        <v>598</v>
      </c>
      <c r="K187" s="7">
        <v>707.69727432934735</v>
      </c>
      <c r="L187" s="5">
        <v>3</v>
      </c>
      <c r="M187" s="5">
        <v>10</v>
      </c>
      <c r="N187" s="8">
        <f t="shared" si="0"/>
        <v>1910.782640689238</v>
      </c>
      <c r="O187" s="5">
        <f t="shared" si="1"/>
        <v>1794</v>
      </c>
      <c r="P187" s="5">
        <f t="shared" si="2"/>
        <v>116.78264068923795</v>
      </c>
      <c r="Q187" s="5" t="s">
        <v>31</v>
      </c>
      <c r="R187" s="5" t="s">
        <v>32</v>
      </c>
      <c r="S187" s="6">
        <v>44999</v>
      </c>
      <c r="T187" s="5">
        <v>6</v>
      </c>
      <c r="U187" s="5">
        <v>2</v>
      </c>
      <c r="V187" s="5" t="s">
        <v>33</v>
      </c>
      <c r="W187" s="5">
        <f t="shared" si="3"/>
        <v>0</v>
      </c>
    </row>
    <row r="188" spans="1:23" ht="15.75" customHeight="1" x14ac:dyDescent="0.25">
      <c r="A188" s="5" t="s">
        <v>415</v>
      </c>
      <c r="B188" s="6">
        <v>44988</v>
      </c>
      <c r="C188" s="5" t="s">
        <v>416</v>
      </c>
      <c r="D188" s="5" t="s">
        <v>135</v>
      </c>
      <c r="E188" s="5" t="s">
        <v>80</v>
      </c>
      <c r="F188" s="5" t="s">
        <v>80</v>
      </c>
      <c r="G188" s="5" t="s">
        <v>92</v>
      </c>
      <c r="H188" s="5" t="s">
        <v>44</v>
      </c>
      <c r="I188" s="5" t="s">
        <v>45</v>
      </c>
      <c r="J188" s="5">
        <v>1475</v>
      </c>
      <c r="K188" s="7">
        <v>1881.5745434442772</v>
      </c>
      <c r="L188" s="5">
        <v>4</v>
      </c>
      <c r="M188" s="5">
        <v>5</v>
      </c>
      <c r="N188" s="8">
        <f t="shared" si="0"/>
        <v>7149.9832650882527</v>
      </c>
      <c r="O188" s="5">
        <f t="shared" si="1"/>
        <v>5900</v>
      </c>
      <c r="P188" s="5">
        <f t="shared" si="2"/>
        <v>1249.9832650882527</v>
      </c>
      <c r="Q188" s="5" t="s">
        <v>31</v>
      </c>
      <c r="R188" s="5" t="s">
        <v>56</v>
      </c>
      <c r="T188" s="5">
        <v>10</v>
      </c>
      <c r="U188" s="5">
        <v>1</v>
      </c>
      <c r="W188" s="5">
        <f t="shared" si="3"/>
        <v>0</v>
      </c>
    </row>
    <row r="189" spans="1:23" ht="15.75" customHeight="1" x14ac:dyDescent="0.25">
      <c r="A189" s="5" t="s">
        <v>417</v>
      </c>
      <c r="B189" s="6">
        <v>44988</v>
      </c>
      <c r="C189" s="5" t="s">
        <v>418</v>
      </c>
      <c r="D189" s="5" t="s">
        <v>86</v>
      </c>
      <c r="E189" s="5" t="s">
        <v>112</v>
      </c>
      <c r="F189" s="5" t="s">
        <v>113</v>
      </c>
      <c r="G189" s="5" t="s">
        <v>124</v>
      </c>
      <c r="H189" s="5" t="s">
        <v>76</v>
      </c>
      <c r="I189" s="5" t="s">
        <v>125</v>
      </c>
      <c r="J189" s="5">
        <v>63241</v>
      </c>
      <c r="K189" s="7">
        <v>113005.352111299</v>
      </c>
      <c r="L189" s="5">
        <v>4</v>
      </c>
      <c r="M189" s="5">
        <v>15</v>
      </c>
      <c r="N189" s="8">
        <f t="shared" si="0"/>
        <v>384218.19717841659</v>
      </c>
      <c r="O189" s="5">
        <f t="shared" si="1"/>
        <v>252964</v>
      </c>
      <c r="P189" s="5">
        <f t="shared" si="2"/>
        <v>131254.19717841659</v>
      </c>
      <c r="Q189" s="5" t="s">
        <v>39</v>
      </c>
      <c r="R189" s="5" t="s">
        <v>32</v>
      </c>
      <c r="S189" s="6">
        <v>44994</v>
      </c>
      <c r="T189" s="5">
        <v>2</v>
      </c>
      <c r="U189" s="5">
        <v>5</v>
      </c>
      <c r="V189" s="5" t="s">
        <v>33</v>
      </c>
      <c r="W189" s="5">
        <f t="shared" si="3"/>
        <v>0</v>
      </c>
    </row>
    <row r="190" spans="1:23" ht="15.75" customHeight="1" x14ac:dyDescent="0.25">
      <c r="A190" s="5" t="s">
        <v>419</v>
      </c>
      <c r="B190" s="6">
        <v>44988</v>
      </c>
      <c r="C190" s="5" t="s">
        <v>159</v>
      </c>
      <c r="D190" s="5" t="s">
        <v>135</v>
      </c>
      <c r="E190" s="5" t="s">
        <v>69</v>
      </c>
      <c r="F190" s="5" t="s">
        <v>55</v>
      </c>
      <c r="G190" s="5" t="s">
        <v>70</v>
      </c>
      <c r="H190" s="5" t="s">
        <v>44</v>
      </c>
      <c r="I190" s="5" t="s">
        <v>71</v>
      </c>
      <c r="J190" s="5">
        <v>995</v>
      </c>
      <c r="K190" s="7">
        <v>1274.3029614142856</v>
      </c>
      <c r="L190" s="5">
        <v>3</v>
      </c>
      <c r="M190" s="5">
        <v>20</v>
      </c>
      <c r="N190" s="8">
        <f t="shared" si="0"/>
        <v>3058.3271073942856</v>
      </c>
      <c r="O190" s="5">
        <f t="shared" si="1"/>
        <v>2985</v>
      </c>
      <c r="P190" s="5">
        <f t="shared" si="2"/>
        <v>73.327107394285576</v>
      </c>
      <c r="Q190" s="5" t="s">
        <v>83</v>
      </c>
      <c r="R190" s="5" t="s">
        <v>56</v>
      </c>
      <c r="T190" s="5">
        <v>10</v>
      </c>
      <c r="U190" s="5">
        <v>1</v>
      </c>
      <c r="W190" s="5">
        <f t="shared" si="3"/>
        <v>0</v>
      </c>
    </row>
    <row r="191" spans="1:23" ht="15.75" customHeight="1" x14ac:dyDescent="0.25">
      <c r="A191" s="5" t="s">
        <v>420</v>
      </c>
      <c r="B191" s="6">
        <v>44988</v>
      </c>
      <c r="C191" s="5" t="s">
        <v>400</v>
      </c>
      <c r="D191" s="5" t="s">
        <v>36</v>
      </c>
      <c r="E191" s="5" t="s">
        <v>80</v>
      </c>
      <c r="F191" s="5" t="s">
        <v>80</v>
      </c>
      <c r="G191" s="5" t="s">
        <v>139</v>
      </c>
      <c r="H191" s="5" t="s">
        <v>76</v>
      </c>
      <c r="I191" s="5" t="s">
        <v>140</v>
      </c>
      <c r="J191" s="5">
        <v>30843</v>
      </c>
      <c r="K191" s="7">
        <v>41635.554054948087</v>
      </c>
      <c r="L191" s="5">
        <v>1</v>
      </c>
      <c r="M191" s="5">
        <v>20</v>
      </c>
      <c r="N191" s="8">
        <f t="shared" si="0"/>
        <v>33308.443243958471</v>
      </c>
      <c r="O191" s="5">
        <f t="shared" si="1"/>
        <v>30843</v>
      </c>
      <c r="P191" s="5">
        <f t="shared" si="2"/>
        <v>2465.4432439584707</v>
      </c>
      <c r="Q191" s="5" t="s">
        <v>83</v>
      </c>
      <c r="R191" s="5" t="s">
        <v>56</v>
      </c>
      <c r="T191" s="5">
        <v>10</v>
      </c>
      <c r="U191" s="5">
        <v>1</v>
      </c>
      <c r="W191" s="5">
        <f t="shared" si="3"/>
        <v>0</v>
      </c>
    </row>
    <row r="192" spans="1:23" ht="15.75" customHeight="1" x14ac:dyDescent="0.25">
      <c r="A192" s="5" t="s">
        <v>421</v>
      </c>
      <c r="B192" s="6">
        <v>44989</v>
      </c>
      <c r="C192" s="5" t="s">
        <v>422</v>
      </c>
      <c r="D192" s="5" t="s">
        <v>86</v>
      </c>
      <c r="E192" s="5" t="s">
        <v>26</v>
      </c>
      <c r="F192" s="5" t="s">
        <v>27</v>
      </c>
      <c r="G192" s="5" t="s">
        <v>92</v>
      </c>
      <c r="H192" s="5" t="s">
        <v>44</v>
      </c>
      <c r="I192" s="5" t="s">
        <v>45</v>
      </c>
      <c r="J192" s="5">
        <v>1050</v>
      </c>
      <c r="K192" s="7">
        <v>1212.2082172537107</v>
      </c>
      <c r="L192" s="5">
        <v>4</v>
      </c>
      <c r="M192" s="5">
        <v>20</v>
      </c>
      <c r="N192" s="8">
        <f t="shared" si="0"/>
        <v>3879.0662952118746</v>
      </c>
      <c r="O192" s="5">
        <f t="shared" si="1"/>
        <v>4200</v>
      </c>
      <c r="P192" s="5">
        <f t="shared" si="2"/>
        <v>-320.9337047881254</v>
      </c>
      <c r="Q192" s="5" t="s">
        <v>83</v>
      </c>
      <c r="R192" s="5" t="s">
        <v>32</v>
      </c>
      <c r="S192" s="6">
        <v>44996</v>
      </c>
      <c r="T192" s="5">
        <v>1</v>
      </c>
      <c r="U192" s="5">
        <v>5</v>
      </c>
      <c r="V192" s="5" t="s">
        <v>33</v>
      </c>
      <c r="W192" s="5">
        <f t="shared" si="3"/>
        <v>0</v>
      </c>
    </row>
    <row r="193" spans="1:23" ht="15.75" customHeight="1" x14ac:dyDescent="0.25">
      <c r="A193" s="5" t="s">
        <v>423</v>
      </c>
      <c r="B193" s="6">
        <v>44989</v>
      </c>
      <c r="C193" s="5" t="s">
        <v>104</v>
      </c>
      <c r="D193" s="5" t="s">
        <v>181</v>
      </c>
      <c r="E193" s="5" t="s">
        <v>80</v>
      </c>
      <c r="F193" s="5" t="s">
        <v>80</v>
      </c>
      <c r="G193" s="5" t="s">
        <v>106</v>
      </c>
      <c r="H193" s="5" t="s">
        <v>98</v>
      </c>
      <c r="I193" s="5" t="s">
        <v>107</v>
      </c>
      <c r="J193" s="5">
        <v>608</v>
      </c>
      <c r="K193" s="7">
        <v>767.51436440588304</v>
      </c>
      <c r="L193" s="5">
        <v>4</v>
      </c>
      <c r="M193" s="5">
        <v>20</v>
      </c>
      <c r="N193" s="8">
        <f t="shared" si="0"/>
        <v>2456.0459660988258</v>
      </c>
      <c r="O193" s="5">
        <f t="shared" si="1"/>
        <v>2432</v>
      </c>
      <c r="P193" s="5">
        <f t="shared" si="2"/>
        <v>24.045966098825829</v>
      </c>
      <c r="Q193" s="5" t="s">
        <v>39</v>
      </c>
      <c r="R193" s="5" t="s">
        <v>32</v>
      </c>
      <c r="S193" s="6">
        <v>44996</v>
      </c>
      <c r="T193" s="5">
        <v>4</v>
      </c>
      <c r="U193" s="5">
        <v>3</v>
      </c>
      <c r="V193" s="5" t="s">
        <v>33</v>
      </c>
      <c r="W193" s="5">
        <f t="shared" si="3"/>
        <v>0</v>
      </c>
    </row>
    <row r="194" spans="1:23" ht="15.75" customHeight="1" x14ac:dyDescent="0.25">
      <c r="A194" s="5" t="s">
        <v>424</v>
      </c>
      <c r="B194" s="6">
        <v>44989</v>
      </c>
      <c r="C194" s="5" t="s">
        <v>425</v>
      </c>
      <c r="D194" s="5" t="s">
        <v>150</v>
      </c>
      <c r="E194" s="5" t="s">
        <v>54</v>
      </c>
      <c r="F194" s="5" t="s">
        <v>55</v>
      </c>
      <c r="G194" s="5" t="s">
        <v>92</v>
      </c>
      <c r="H194" s="5" t="s">
        <v>44</v>
      </c>
      <c r="I194" s="5" t="s">
        <v>45</v>
      </c>
      <c r="J194" s="5">
        <v>1457</v>
      </c>
      <c r="K194" s="7">
        <v>2020.4995167789189</v>
      </c>
      <c r="L194" s="5">
        <v>5</v>
      </c>
      <c r="M194" s="5">
        <v>15</v>
      </c>
      <c r="N194" s="8">
        <f t="shared" si="0"/>
        <v>8587.1229463104046</v>
      </c>
      <c r="O194" s="5">
        <f t="shared" si="1"/>
        <v>7285</v>
      </c>
      <c r="P194" s="5">
        <f t="shared" si="2"/>
        <v>1302.1229463104046</v>
      </c>
      <c r="Q194" s="5" t="s">
        <v>31</v>
      </c>
      <c r="R194" s="5" t="s">
        <v>32</v>
      </c>
      <c r="S194" s="6">
        <v>44997</v>
      </c>
      <c r="T194" s="5">
        <v>3</v>
      </c>
      <c r="U194" s="5">
        <v>3</v>
      </c>
      <c r="V194" s="5" t="s">
        <v>33</v>
      </c>
      <c r="W194" s="5">
        <f t="shared" si="3"/>
        <v>0</v>
      </c>
    </row>
    <row r="195" spans="1:23" ht="15.75" customHeight="1" x14ac:dyDescent="0.25">
      <c r="A195" s="5" t="s">
        <v>426</v>
      </c>
      <c r="B195" s="6">
        <v>44990</v>
      </c>
      <c r="C195" s="5" t="s">
        <v>427</v>
      </c>
      <c r="D195" s="5" t="s">
        <v>188</v>
      </c>
      <c r="E195" s="5" t="s">
        <v>37</v>
      </c>
      <c r="F195" s="5" t="s">
        <v>38</v>
      </c>
      <c r="G195" s="5" t="s">
        <v>81</v>
      </c>
      <c r="H195" s="5" t="s">
        <v>44</v>
      </c>
      <c r="I195" s="5" t="s">
        <v>82</v>
      </c>
      <c r="J195" s="5">
        <v>1127</v>
      </c>
      <c r="K195" s="7">
        <v>1406.1022469785282</v>
      </c>
      <c r="L195" s="5">
        <v>4</v>
      </c>
      <c r="M195" s="5">
        <v>0</v>
      </c>
      <c r="N195" s="8">
        <f t="shared" si="0"/>
        <v>5624.4089879141129</v>
      </c>
      <c r="O195" s="5">
        <f t="shared" si="1"/>
        <v>4508</v>
      </c>
      <c r="P195" s="5">
        <f t="shared" si="2"/>
        <v>1116.4089879141129</v>
      </c>
      <c r="Q195" s="5" t="s">
        <v>39</v>
      </c>
      <c r="R195" s="5" t="s">
        <v>32</v>
      </c>
      <c r="S195" s="6">
        <v>44998</v>
      </c>
      <c r="T195" s="5">
        <v>3</v>
      </c>
      <c r="U195" s="5">
        <v>2</v>
      </c>
      <c r="V195" s="5" t="s">
        <v>33</v>
      </c>
      <c r="W195" s="5">
        <f t="shared" si="3"/>
        <v>0</v>
      </c>
    </row>
    <row r="196" spans="1:23" ht="15.75" customHeight="1" x14ac:dyDescent="0.25">
      <c r="A196" s="5" t="s">
        <v>428</v>
      </c>
      <c r="B196" s="6">
        <v>44990</v>
      </c>
      <c r="C196" s="5" t="s">
        <v>222</v>
      </c>
      <c r="D196" s="5" t="s">
        <v>36</v>
      </c>
      <c r="E196" s="5" t="s">
        <v>26</v>
      </c>
      <c r="F196" s="5" t="s">
        <v>27</v>
      </c>
      <c r="G196" s="5" t="s">
        <v>97</v>
      </c>
      <c r="H196" s="5" t="s">
        <v>98</v>
      </c>
      <c r="I196" s="5" t="s">
        <v>99</v>
      </c>
      <c r="J196" s="5">
        <v>470</v>
      </c>
      <c r="K196" s="7">
        <v>805.73725737677398</v>
      </c>
      <c r="L196" s="5">
        <v>3</v>
      </c>
      <c r="M196" s="5">
        <v>15</v>
      </c>
      <c r="N196" s="8">
        <f t="shared" si="0"/>
        <v>2054.6300063107738</v>
      </c>
      <c r="O196" s="5">
        <f t="shared" si="1"/>
        <v>1410</v>
      </c>
      <c r="P196" s="5">
        <f t="shared" si="2"/>
        <v>644.63000631077375</v>
      </c>
      <c r="Q196" s="5" t="s">
        <v>31</v>
      </c>
      <c r="R196" s="5" t="s">
        <v>32</v>
      </c>
      <c r="S196" s="6">
        <v>44999</v>
      </c>
      <c r="T196" s="5">
        <v>6</v>
      </c>
      <c r="U196" s="5">
        <v>2</v>
      </c>
      <c r="V196" s="5" t="s">
        <v>33</v>
      </c>
      <c r="W196" s="5">
        <f t="shared" si="3"/>
        <v>0</v>
      </c>
    </row>
    <row r="197" spans="1:23" ht="15.75" customHeight="1" x14ac:dyDescent="0.25">
      <c r="A197" s="5" t="s">
        <v>429</v>
      </c>
      <c r="B197" s="6">
        <v>44990</v>
      </c>
      <c r="C197" s="5" t="s">
        <v>355</v>
      </c>
      <c r="D197" s="5" t="s">
        <v>42</v>
      </c>
      <c r="E197" s="5" t="s">
        <v>26</v>
      </c>
      <c r="F197" s="5" t="s">
        <v>27</v>
      </c>
      <c r="G197" s="5" t="s">
        <v>92</v>
      </c>
      <c r="H197" s="5" t="s">
        <v>44</v>
      </c>
      <c r="I197" s="5" t="s">
        <v>45</v>
      </c>
      <c r="J197" s="5">
        <v>885</v>
      </c>
      <c r="K197" s="7">
        <v>1210.7427053067777</v>
      </c>
      <c r="L197" s="5">
        <v>3</v>
      </c>
      <c r="M197" s="5">
        <v>0</v>
      </c>
      <c r="N197" s="8">
        <f t="shared" si="0"/>
        <v>3632.228115920333</v>
      </c>
      <c r="O197" s="5">
        <f t="shared" si="1"/>
        <v>2655</v>
      </c>
      <c r="P197" s="5">
        <f t="shared" si="2"/>
        <v>977.22811592033304</v>
      </c>
      <c r="Q197" s="5" t="s">
        <v>31</v>
      </c>
      <c r="R197" s="5" t="s">
        <v>56</v>
      </c>
      <c r="T197" s="5">
        <v>10</v>
      </c>
      <c r="U197" s="5">
        <v>1</v>
      </c>
      <c r="W197" s="5">
        <f t="shared" si="3"/>
        <v>0</v>
      </c>
    </row>
    <row r="198" spans="1:23" ht="15.75" customHeight="1" x14ac:dyDescent="0.25">
      <c r="A198" s="5" t="s">
        <v>430</v>
      </c>
      <c r="B198" s="6">
        <v>44990</v>
      </c>
      <c r="C198" s="5" t="s">
        <v>263</v>
      </c>
      <c r="D198" s="5" t="s">
        <v>150</v>
      </c>
      <c r="E198" s="5" t="s">
        <v>80</v>
      </c>
      <c r="F198" s="5" t="s">
        <v>80</v>
      </c>
      <c r="G198" s="5" t="s">
        <v>28</v>
      </c>
      <c r="H198" s="5" t="s">
        <v>29</v>
      </c>
      <c r="I198" s="5" t="s">
        <v>30</v>
      </c>
      <c r="J198" s="5">
        <v>4332</v>
      </c>
      <c r="K198" s="7">
        <v>7446.7542152506585</v>
      </c>
      <c r="L198" s="5">
        <v>2</v>
      </c>
      <c r="M198" s="5">
        <v>20</v>
      </c>
      <c r="N198" s="8">
        <f t="shared" si="0"/>
        <v>11914.806744401054</v>
      </c>
      <c r="O198" s="5">
        <f t="shared" si="1"/>
        <v>8664</v>
      </c>
      <c r="P198" s="5">
        <f t="shared" si="2"/>
        <v>3250.8067444010539</v>
      </c>
      <c r="Q198" s="5" t="s">
        <v>83</v>
      </c>
      <c r="R198" s="5" t="s">
        <v>32</v>
      </c>
      <c r="S198" s="6">
        <v>44995</v>
      </c>
      <c r="T198" s="5">
        <v>1</v>
      </c>
      <c r="U198" s="5">
        <v>4</v>
      </c>
      <c r="V198" s="5" t="s">
        <v>33</v>
      </c>
      <c r="W198" s="5">
        <f t="shared" si="3"/>
        <v>0</v>
      </c>
    </row>
    <row r="199" spans="1:23" ht="15.75" customHeight="1" x14ac:dyDescent="0.25">
      <c r="A199" s="5" t="s">
        <v>431</v>
      </c>
      <c r="B199" s="6">
        <v>44991</v>
      </c>
      <c r="C199" s="5" t="s">
        <v>296</v>
      </c>
      <c r="D199" s="5" t="s">
        <v>86</v>
      </c>
      <c r="E199" s="5" t="s">
        <v>80</v>
      </c>
      <c r="F199" s="5" t="s">
        <v>80</v>
      </c>
      <c r="G199" s="5" t="s">
        <v>43</v>
      </c>
      <c r="H199" s="5" t="s">
        <v>44</v>
      </c>
      <c r="I199" s="5" t="s">
        <v>45</v>
      </c>
      <c r="J199" s="5">
        <v>517</v>
      </c>
      <c r="K199" s="7">
        <v>773.441822690197</v>
      </c>
      <c r="L199" s="5">
        <v>3</v>
      </c>
      <c r="M199" s="5">
        <v>15</v>
      </c>
      <c r="N199" s="8">
        <f t="shared" si="0"/>
        <v>1972.2766478600022</v>
      </c>
      <c r="O199" s="5">
        <f t="shared" si="1"/>
        <v>1551</v>
      </c>
      <c r="P199" s="5">
        <f t="shared" si="2"/>
        <v>421.27664786000219</v>
      </c>
      <c r="Q199" s="5" t="s">
        <v>83</v>
      </c>
      <c r="R199" s="5" t="s">
        <v>32</v>
      </c>
      <c r="S199" s="6">
        <v>45001</v>
      </c>
      <c r="T199" s="5">
        <v>7</v>
      </c>
      <c r="U199" s="5">
        <v>3</v>
      </c>
      <c r="V199" s="5" t="s">
        <v>33</v>
      </c>
      <c r="W199" s="5">
        <f t="shared" si="3"/>
        <v>0</v>
      </c>
    </row>
    <row r="200" spans="1:23" ht="15.75" customHeight="1" x14ac:dyDescent="0.25">
      <c r="A200" s="5" t="s">
        <v>432</v>
      </c>
      <c r="B200" s="6">
        <v>44991</v>
      </c>
      <c r="C200" s="5" t="s">
        <v>309</v>
      </c>
      <c r="D200" s="5" t="s">
        <v>86</v>
      </c>
      <c r="E200" s="5" t="s">
        <v>54</v>
      </c>
      <c r="F200" s="5" t="s">
        <v>55</v>
      </c>
      <c r="G200" s="5" t="s">
        <v>92</v>
      </c>
      <c r="H200" s="5" t="s">
        <v>44</v>
      </c>
      <c r="I200" s="5" t="s">
        <v>45</v>
      </c>
      <c r="J200" s="5">
        <v>1396</v>
      </c>
      <c r="K200" s="7">
        <v>1646.2383496435682</v>
      </c>
      <c r="L200" s="5">
        <v>2</v>
      </c>
      <c r="M200" s="5">
        <v>15</v>
      </c>
      <c r="N200" s="8">
        <f t="shared" si="0"/>
        <v>2798.6051943940661</v>
      </c>
      <c r="O200" s="5">
        <f t="shared" si="1"/>
        <v>2792</v>
      </c>
      <c r="P200" s="5">
        <f t="shared" si="2"/>
        <v>6.6051943940660749</v>
      </c>
      <c r="Q200" s="5" t="s">
        <v>39</v>
      </c>
      <c r="R200" s="5" t="s">
        <v>56</v>
      </c>
      <c r="T200" s="5">
        <v>7</v>
      </c>
      <c r="U200" s="5">
        <v>3</v>
      </c>
      <c r="W200" s="5">
        <f t="shared" si="3"/>
        <v>0</v>
      </c>
    </row>
    <row r="201" spans="1:23" ht="15.75" customHeight="1" x14ac:dyDescent="0.25">
      <c r="A201" s="5" t="s">
        <v>433</v>
      </c>
      <c r="B201" s="6">
        <v>44992</v>
      </c>
      <c r="C201" s="5" t="s">
        <v>413</v>
      </c>
      <c r="D201" s="5" t="s">
        <v>36</v>
      </c>
      <c r="E201" s="5" t="s">
        <v>54</v>
      </c>
      <c r="F201" s="5" t="s">
        <v>55</v>
      </c>
      <c r="G201" s="5" t="s">
        <v>97</v>
      </c>
      <c r="H201" s="5" t="s">
        <v>98</v>
      </c>
      <c r="I201" s="5" t="s">
        <v>99</v>
      </c>
      <c r="J201" s="5">
        <v>314</v>
      </c>
      <c r="K201" s="7">
        <v>426.8711562611536</v>
      </c>
      <c r="L201" s="5">
        <v>1</v>
      </c>
      <c r="M201" s="5">
        <v>0</v>
      </c>
      <c r="N201" s="8">
        <f t="shared" si="0"/>
        <v>426.8711562611536</v>
      </c>
      <c r="O201" s="5">
        <f t="shared" si="1"/>
        <v>314</v>
      </c>
      <c r="P201" s="5">
        <f t="shared" si="2"/>
        <v>112.8711562611536</v>
      </c>
      <c r="Q201" s="5" t="s">
        <v>46</v>
      </c>
      <c r="R201" s="5" t="s">
        <v>56</v>
      </c>
      <c r="T201" s="5">
        <v>10</v>
      </c>
      <c r="U201" s="5">
        <v>1</v>
      </c>
      <c r="W201" s="5">
        <f t="shared" si="3"/>
        <v>0</v>
      </c>
    </row>
    <row r="202" spans="1:23" ht="15.75" customHeight="1" x14ac:dyDescent="0.25">
      <c r="A202" s="5" t="s">
        <v>434</v>
      </c>
      <c r="B202" s="6">
        <v>44992</v>
      </c>
      <c r="C202" s="5" t="s">
        <v>392</v>
      </c>
      <c r="D202" s="5" t="s">
        <v>86</v>
      </c>
      <c r="E202" s="5" t="s">
        <v>80</v>
      </c>
      <c r="F202" s="5" t="s">
        <v>80</v>
      </c>
      <c r="G202" s="5" t="s">
        <v>97</v>
      </c>
      <c r="H202" s="5" t="s">
        <v>98</v>
      </c>
      <c r="I202" s="5" t="s">
        <v>99</v>
      </c>
      <c r="J202" s="5">
        <v>377</v>
      </c>
      <c r="K202" s="7">
        <v>552.07945359592213</v>
      </c>
      <c r="L202" s="5">
        <v>5</v>
      </c>
      <c r="M202" s="5">
        <v>5</v>
      </c>
      <c r="N202" s="8">
        <f t="shared" si="0"/>
        <v>2622.3774045806299</v>
      </c>
      <c r="O202" s="5">
        <f t="shared" si="1"/>
        <v>1885</v>
      </c>
      <c r="P202" s="5">
        <f t="shared" si="2"/>
        <v>737.3774045806299</v>
      </c>
      <c r="Q202" s="5" t="s">
        <v>39</v>
      </c>
      <c r="R202" s="5" t="s">
        <v>32</v>
      </c>
      <c r="S202" s="6">
        <v>44998</v>
      </c>
      <c r="T202" s="5">
        <v>1</v>
      </c>
      <c r="U202" s="5">
        <v>5</v>
      </c>
      <c r="V202" s="5" t="s">
        <v>33</v>
      </c>
      <c r="W202" s="5">
        <f t="shared" si="3"/>
        <v>0</v>
      </c>
    </row>
    <row r="203" spans="1:23" ht="15.75" customHeight="1" x14ac:dyDescent="0.25">
      <c r="A203" s="5" t="s">
        <v>435</v>
      </c>
      <c r="B203" s="6">
        <v>44992</v>
      </c>
      <c r="C203" s="5" t="s">
        <v>413</v>
      </c>
      <c r="D203" s="5" t="s">
        <v>64</v>
      </c>
      <c r="E203" s="5" t="s">
        <v>69</v>
      </c>
      <c r="F203" s="5" t="s">
        <v>55</v>
      </c>
      <c r="G203" s="5" t="s">
        <v>97</v>
      </c>
      <c r="H203" s="5" t="s">
        <v>98</v>
      </c>
      <c r="I203" s="5" t="s">
        <v>99</v>
      </c>
      <c r="J203" s="5">
        <v>545</v>
      </c>
      <c r="K203" s="7">
        <v>756.0313129317102</v>
      </c>
      <c r="L203" s="5">
        <v>1</v>
      </c>
      <c r="M203" s="5">
        <v>15</v>
      </c>
      <c r="N203" s="8">
        <f t="shared" si="0"/>
        <v>642.62661599195371</v>
      </c>
      <c r="O203" s="5">
        <f t="shared" si="1"/>
        <v>545</v>
      </c>
      <c r="P203" s="5">
        <f t="shared" si="2"/>
        <v>97.626615991953713</v>
      </c>
      <c r="Q203" s="5" t="s">
        <v>39</v>
      </c>
      <c r="R203" s="5" t="s">
        <v>56</v>
      </c>
      <c r="T203" s="5">
        <v>7</v>
      </c>
      <c r="U203" s="5">
        <v>3</v>
      </c>
      <c r="W203" s="5">
        <f t="shared" si="3"/>
        <v>0</v>
      </c>
    </row>
    <row r="204" spans="1:23" ht="15.75" customHeight="1" x14ac:dyDescent="0.25">
      <c r="A204" s="5" t="s">
        <v>436</v>
      </c>
      <c r="B204" s="6">
        <v>44993</v>
      </c>
      <c r="C204" s="5" t="s">
        <v>437</v>
      </c>
      <c r="D204" s="5" t="s">
        <v>135</v>
      </c>
      <c r="E204" s="5" t="s">
        <v>54</v>
      </c>
      <c r="F204" s="5" t="s">
        <v>55</v>
      </c>
      <c r="G204" s="5" t="s">
        <v>43</v>
      </c>
      <c r="H204" s="5" t="s">
        <v>44</v>
      </c>
      <c r="I204" s="5" t="s">
        <v>45</v>
      </c>
      <c r="J204" s="5">
        <v>535</v>
      </c>
      <c r="K204" s="7">
        <v>938.12433853008019</v>
      </c>
      <c r="L204" s="5">
        <v>3</v>
      </c>
      <c r="M204" s="5">
        <v>0</v>
      </c>
      <c r="N204" s="8">
        <f t="shared" si="0"/>
        <v>2814.3730155902404</v>
      </c>
      <c r="O204" s="5">
        <f t="shared" si="1"/>
        <v>1605</v>
      </c>
      <c r="P204" s="5">
        <f t="shared" si="2"/>
        <v>1209.3730155902404</v>
      </c>
      <c r="Q204" s="5" t="s">
        <v>83</v>
      </c>
      <c r="R204" s="5" t="s">
        <v>32</v>
      </c>
      <c r="S204" s="6">
        <v>45001</v>
      </c>
      <c r="T204" s="5">
        <v>3</v>
      </c>
      <c r="U204" s="5">
        <v>3</v>
      </c>
      <c r="V204" s="5" t="s">
        <v>33</v>
      </c>
      <c r="W204" s="5">
        <f t="shared" si="3"/>
        <v>0</v>
      </c>
    </row>
    <row r="205" spans="1:23" ht="15.75" customHeight="1" x14ac:dyDescent="0.25">
      <c r="A205" s="5" t="s">
        <v>438</v>
      </c>
      <c r="B205" s="6">
        <v>44993</v>
      </c>
      <c r="C205" s="5" t="s">
        <v>439</v>
      </c>
      <c r="D205" s="5" t="s">
        <v>53</v>
      </c>
      <c r="E205" s="5" t="s">
        <v>60</v>
      </c>
      <c r="F205" s="5" t="s">
        <v>61</v>
      </c>
      <c r="G205" s="5" t="s">
        <v>81</v>
      </c>
      <c r="H205" s="5" t="s">
        <v>44</v>
      </c>
      <c r="I205" s="5" t="s">
        <v>82</v>
      </c>
      <c r="J205" s="5">
        <v>1684</v>
      </c>
      <c r="K205" s="7">
        <v>2654.2145691690685</v>
      </c>
      <c r="L205" s="5">
        <v>4</v>
      </c>
      <c r="M205" s="5">
        <v>20</v>
      </c>
      <c r="N205" s="8">
        <f t="shared" si="0"/>
        <v>8493.4866213410187</v>
      </c>
      <c r="O205" s="5">
        <f t="shared" si="1"/>
        <v>6736</v>
      </c>
      <c r="P205" s="5">
        <f t="shared" si="2"/>
        <v>1757.4866213410187</v>
      </c>
      <c r="Q205" s="5" t="s">
        <v>83</v>
      </c>
      <c r="R205" s="5" t="s">
        <v>56</v>
      </c>
      <c r="T205" s="5">
        <v>7</v>
      </c>
      <c r="U205" s="5">
        <v>3</v>
      </c>
      <c r="W205" s="5">
        <f t="shared" si="3"/>
        <v>0</v>
      </c>
    </row>
    <row r="206" spans="1:23" ht="15.75" customHeight="1" x14ac:dyDescent="0.25">
      <c r="A206" s="5" t="s">
        <v>440</v>
      </c>
      <c r="B206" s="6">
        <v>44993</v>
      </c>
      <c r="C206" s="5" t="s">
        <v>111</v>
      </c>
      <c r="D206" s="5" t="s">
        <v>135</v>
      </c>
      <c r="E206" s="5" t="s">
        <v>54</v>
      </c>
      <c r="F206" s="5" t="s">
        <v>55</v>
      </c>
      <c r="G206" s="5" t="s">
        <v>87</v>
      </c>
      <c r="H206" s="5" t="s">
        <v>29</v>
      </c>
      <c r="I206" s="5" t="s">
        <v>88</v>
      </c>
      <c r="J206" s="5">
        <v>21117</v>
      </c>
      <c r="K206" s="7">
        <v>37375.479464883225</v>
      </c>
      <c r="L206" s="5">
        <v>1</v>
      </c>
      <c r="M206" s="5">
        <v>5</v>
      </c>
      <c r="N206" s="8">
        <f t="shared" si="0"/>
        <v>35506.705491639063</v>
      </c>
      <c r="O206" s="5">
        <f t="shared" si="1"/>
        <v>21117</v>
      </c>
      <c r="P206" s="5">
        <f t="shared" si="2"/>
        <v>14389.705491639063</v>
      </c>
      <c r="Q206" s="5" t="s">
        <v>31</v>
      </c>
      <c r="R206" s="5" t="s">
        <v>32</v>
      </c>
      <c r="S206" s="6">
        <v>45001</v>
      </c>
      <c r="T206" s="5">
        <v>1</v>
      </c>
      <c r="U206" s="5">
        <v>4</v>
      </c>
      <c r="V206" s="5" t="s">
        <v>33</v>
      </c>
      <c r="W206" s="5">
        <f t="shared" si="3"/>
        <v>0</v>
      </c>
    </row>
    <row r="207" spans="1:23" ht="15.75" customHeight="1" x14ac:dyDescent="0.25">
      <c r="A207" s="5" t="s">
        <v>441</v>
      </c>
      <c r="B207" s="6">
        <v>44993</v>
      </c>
      <c r="C207" s="5" t="s">
        <v>115</v>
      </c>
      <c r="D207" s="5" t="s">
        <v>116</v>
      </c>
      <c r="E207" s="5" t="s">
        <v>26</v>
      </c>
      <c r="F207" s="5" t="s">
        <v>27</v>
      </c>
      <c r="G207" s="5" t="s">
        <v>87</v>
      </c>
      <c r="H207" s="5" t="s">
        <v>29</v>
      </c>
      <c r="I207" s="5" t="s">
        <v>88</v>
      </c>
      <c r="J207" s="5">
        <v>56187</v>
      </c>
      <c r="K207" s="7">
        <v>63410.252125907558</v>
      </c>
      <c r="L207" s="5">
        <v>3</v>
      </c>
      <c r="M207" s="5">
        <v>0</v>
      </c>
      <c r="N207" s="8">
        <f t="shared" si="0"/>
        <v>190230.75637772266</v>
      </c>
      <c r="O207" s="5">
        <f t="shared" si="1"/>
        <v>168561</v>
      </c>
      <c r="P207" s="5">
        <f t="shared" si="2"/>
        <v>21669.756377722661</v>
      </c>
      <c r="Q207" s="5" t="s">
        <v>46</v>
      </c>
      <c r="R207" s="5" t="s">
        <v>32</v>
      </c>
      <c r="S207" s="6">
        <v>45002</v>
      </c>
      <c r="T207" s="5">
        <v>6</v>
      </c>
      <c r="U207" s="5">
        <v>4</v>
      </c>
      <c r="V207" s="5" t="s">
        <v>89</v>
      </c>
      <c r="W207" s="5">
        <f t="shared" si="3"/>
        <v>1</v>
      </c>
    </row>
    <row r="208" spans="1:23" ht="15.75" customHeight="1" x14ac:dyDescent="0.25">
      <c r="A208" s="5" t="s">
        <v>442</v>
      </c>
      <c r="B208" s="6">
        <v>44994</v>
      </c>
      <c r="C208" s="5" t="s">
        <v>443</v>
      </c>
      <c r="D208" s="5" t="s">
        <v>53</v>
      </c>
      <c r="E208" s="5" t="s">
        <v>37</v>
      </c>
      <c r="F208" s="5" t="s">
        <v>38</v>
      </c>
      <c r="G208" s="5" t="s">
        <v>119</v>
      </c>
      <c r="H208" s="5" t="s">
        <v>76</v>
      </c>
      <c r="I208" s="5" t="s">
        <v>120</v>
      </c>
      <c r="J208" s="5">
        <v>65871</v>
      </c>
      <c r="K208" s="7">
        <v>77660.108115457901</v>
      </c>
      <c r="L208" s="5">
        <v>4</v>
      </c>
      <c r="M208" s="5">
        <v>5</v>
      </c>
      <c r="N208" s="8">
        <f t="shared" si="0"/>
        <v>295108.41083874</v>
      </c>
      <c r="O208" s="5">
        <f t="shared" si="1"/>
        <v>263484</v>
      </c>
      <c r="P208" s="5">
        <f t="shared" si="2"/>
        <v>31624.410838740005</v>
      </c>
      <c r="Q208" s="5" t="s">
        <v>83</v>
      </c>
      <c r="R208" s="5" t="s">
        <v>32</v>
      </c>
      <c r="S208" s="6">
        <v>45003</v>
      </c>
      <c r="T208" s="5">
        <v>5</v>
      </c>
      <c r="U208" s="5">
        <v>3</v>
      </c>
      <c r="V208" s="5" t="s">
        <v>33</v>
      </c>
      <c r="W208" s="5">
        <f t="shared" si="3"/>
        <v>0</v>
      </c>
    </row>
    <row r="209" spans="1:23" ht="15.75" customHeight="1" x14ac:dyDescent="0.25">
      <c r="A209" s="5" t="s">
        <v>444</v>
      </c>
      <c r="B209" s="6">
        <v>44995</v>
      </c>
      <c r="C209" s="5" t="s">
        <v>445</v>
      </c>
      <c r="D209" s="5" t="s">
        <v>138</v>
      </c>
      <c r="E209" s="5" t="s">
        <v>69</v>
      </c>
      <c r="F209" s="5" t="s">
        <v>55</v>
      </c>
      <c r="G209" s="5" t="s">
        <v>106</v>
      </c>
      <c r="H209" s="5" t="s">
        <v>98</v>
      </c>
      <c r="I209" s="5" t="s">
        <v>107</v>
      </c>
      <c r="J209" s="5">
        <v>691</v>
      </c>
      <c r="K209" s="7">
        <v>1193.5883952937404</v>
      </c>
      <c r="L209" s="5">
        <v>1</v>
      </c>
      <c r="M209" s="5">
        <v>5</v>
      </c>
      <c r="N209" s="8">
        <f t="shared" si="0"/>
        <v>1133.9089755290534</v>
      </c>
      <c r="O209" s="5">
        <f t="shared" si="1"/>
        <v>691</v>
      </c>
      <c r="P209" s="5">
        <f t="shared" si="2"/>
        <v>442.90897552905335</v>
      </c>
      <c r="Q209" s="5" t="s">
        <v>39</v>
      </c>
      <c r="R209" s="5" t="s">
        <v>32</v>
      </c>
      <c r="S209" s="6">
        <v>44999</v>
      </c>
      <c r="T209" s="5">
        <v>1</v>
      </c>
      <c r="U209" s="5">
        <v>5</v>
      </c>
      <c r="V209" s="5" t="s">
        <v>33</v>
      </c>
      <c r="W209" s="5">
        <f t="shared" si="3"/>
        <v>0</v>
      </c>
    </row>
    <row r="210" spans="1:23" ht="15.75" customHeight="1" x14ac:dyDescent="0.25">
      <c r="A210" s="5" t="s">
        <v>446</v>
      </c>
      <c r="B210" s="6">
        <v>44995</v>
      </c>
      <c r="C210" s="5" t="s">
        <v>284</v>
      </c>
      <c r="D210" s="5" t="s">
        <v>53</v>
      </c>
      <c r="E210" s="5" t="s">
        <v>112</v>
      </c>
      <c r="F210" s="5" t="s">
        <v>113</v>
      </c>
      <c r="G210" s="5" t="s">
        <v>75</v>
      </c>
      <c r="H210" s="5" t="s">
        <v>76</v>
      </c>
      <c r="I210" s="5" t="s">
        <v>77</v>
      </c>
      <c r="J210" s="5">
        <v>1173</v>
      </c>
      <c r="K210" s="7">
        <v>1224.4399899655427</v>
      </c>
      <c r="L210" s="5">
        <v>2</v>
      </c>
      <c r="M210" s="5">
        <v>10</v>
      </c>
      <c r="N210" s="8">
        <f t="shared" si="0"/>
        <v>2203.991981937977</v>
      </c>
      <c r="O210" s="5">
        <f t="shared" si="1"/>
        <v>2346</v>
      </c>
      <c r="P210" s="5">
        <f t="shared" si="2"/>
        <v>-142.00801806202298</v>
      </c>
      <c r="Q210" s="5" t="s">
        <v>83</v>
      </c>
      <c r="R210" s="5" t="s">
        <v>56</v>
      </c>
      <c r="T210" s="5">
        <v>7</v>
      </c>
      <c r="U210" s="5">
        <v>3</v>
      </c>
      <c r="W210" s="5">
        <f t="shared" si="3"/>
        <v>0</v>
      </c>
    </row>
    <row r="211" spans="1:23" ht="15.75" customHeight="1" x14ac:dyDescent="0.25">
      <c r="A211" s="5" t="s">
        <v>447</v>
      </c>
      <c r="B211" s="6">
        <v>44995</v>
      </c>
      <c r="C211" s="5" t="s">
        <v>24</v>
      </c>
      <c r="D211" s="5" t="s">
        <v>74</v>
      </c>
      <c r="E211" s="5" t="s">
        <v>80</v>
      </c>
      <c r="F211" s="5" t="s">
        <v>80</v>
      </c>
      <c r="G211" s="5" t="s">
        <v>124</v>
      </c>
      <c r="H211" s="5" t="s">
        <v>76</v>
      </c>
      <c r="I211" s="5" t="s">
        <v>125</v>
      </c>
      <c r="J211" s="5">
        <v>79546</v>
      </c>
      <c r="K211" s="7">
        <v>103733.13340275078</v>
      </c>
      <c r="L211" s="5">
        <v>1</v>
      </c>
      <c r="M211" s="5">
        <v>0</v>
      </c>
      <c r="N211" s="8">
        <f t="shared" si="0"/>
        <v>103733.13340275078</v>
      </c>
      <c r="O211" s="5">
        <f t="shared" si="1"/>
        <v>79546</v>
      </c>
      <c r="P211" s="5">
        <f t="shared" si="2"/>
        <v>24187.133402750784</v>
      </c>
      <c r="Q211" s="5" t="s">
        <v>83</v>
      </c>
      <c r="R211" s="5" t="s">
        <v>32</v>
      </c>
      <c r="S211" s="6">
        <v>45001</v>
      </c>
      <c r="T211" s="5">
        <v>3</v>
      </c>
      <c r="U211" s="5">
        <v>4</v>
      </c>
      <c r="V211" s="5" t="s">
        <v>33</v>
      </c>
      <c r="W211" s="5">
        <f t="shared" si="3"/>
        <v>0</v>
      </c>
    </row>
    <row r="212" spans="1:23" ht="15.75" customHeight="1" x14ac:dyDescent="0.25">
      <c r="A212" s="5" t="s">
        <v>448</v>
      </c>
      <c r="B212" s="6">
        <v>44996</v>
      </c>
      <c r="C212" s="5" t="s">
        <v>394</v>
      </c>
      <c r="D212" s="5" t="s">
        <v>64</v>
      </c>
      <c r="E212" s="5" t="s">
        <v>112</v>
      </c>
      <c r="F212" s="5" t="s">
        <v>113</v>
      </c>
      <c r="G212" s="5" t="s">
        <v>81</v>
      </c>
      <c r="H212" s="5" t="s">
        <v>44</v>
      </c>
      <c r="I212" s="5" t="s">
        <v>82</v>
      </c>
      <c r="J212" s="5">
        <v>2727</v>
      </c>
      <c r="K212" s="7">
        <v>4178.1008631756386</v>
      </c>
      <c r="L212" s="5">
        <v>3</v>
      </c>
      <c r="M212" s="5">
        <v>10</v>
      </c>
      <c r="N212" s="8">
        <f t="shared" si="0"/>
        <v>11280.872330574226</v>
      </c>
      <c r="O212" s="5">
        <f t="shared" si="1"/>
        <v>8181</v>
      </c>
      <c r="P212" s="5">
        <f t="shared" si="2"/>
        <v>3099.872330574226</v>
      </c>
      <c r="Q212" s="5" t="s">
        <v>46</v>
      </c>
      <c r="R212" s="5" t="s">
        <v>32</v>
      </c>
      <c r="S212" s="6">
        <v>45009</v>
      </c>
      <c r="T212" s="5">
        <v>6</v>
      </c>
      <c r="U212" s="5">
        <v>2</v>
      </c>
      <c r="V212" s="5" t="s">
        <v>33</v>
      </c>
      <c r="W212" s="5">
        <f t="shared" si="3"/>
        <v>0</v>
      </c>
    </row>
    <row r="213" spans="1:23" ht="15.75" customHeight="1" x14ac:dyDescent="0.25">
      <c r="A213" s="5" t="s">
        <v>449</v>
      </c>
      <c r="B213" s="6">
        <v>44996</v>
      </c>
      <c r="C213" s="5" t="s">
        <v>450</v>
      </c>
      <c r="D213" s="5" t="s">
        <v>116</v>
      </c>
      <c r="E213" s="5" t="s">
        <v>26</v>
      </c>
      <c r="F213" s="5" t="s">
        <v>27</v>
      </c>
      <c r="G213" s="5" t="s">
        <v>106</v>
      </c>
      <c r="H213" s="5" t="s">
        <v>98</v>
      </c>
      <c r="I213" s="5" t="s">
        <v>107</v>
      </c>
      <c r="J213" s="5">
        <v>869</v>
      </c>
      <c r="K213" s="7">
        <v>1478.1072670797266</v>
      </c>
      <c r="L213" s="5">
        <v>4</v>
      </c>
      <c r="M213" s="5">
        <v>15</v>
      </c>
      <c r="N213" s="8">
        <f t="shared" si="0"/>
        <v>5025.5647080710705</v>
      </c>
      <c r="O213" s="5">
        <f t="shared" si="1"/>
        <v>3476</v>
      </c>
      <c r="P213" s="5">
        <f t="shared" si="2"/>
        <v>1549.5647080710705</v>
      </c>
      <c r="Q213" s="5" t="s">
        <v>46</v>
      </c>
      <c r="R213" s="5" t="s">
        <v>56</v>
      </c>
      <c r="T213" s="5">
        <v>10</v>
      </c>
      <c r="U213" s="5">
        <v>1</v>
      </c>
      <c r="W213" s="5">
        <f t="shared" si="3"/>
        <v>0</v>
      </c>
    </row>
    <row r="214" spans="1:23" ht="15.75" customHeight="1" x14ac:dyDescent="0.25">
      <c r="A214" s="5" t="s">
        <v>451</v>
      </c>
      <c r="B214" s="6">
        <v>44996</v>
      </c>
      <c r="C214" s="5" t="s">
        <v>452</v>
      </c>
      <c r="D214" s="5" t="s">
        <v>59</v>
      </c>
      <c r="E214" s="5" t="s">
        <v>37</v>
      </c>
      <c r="F214" s="5" t="s">
        <v>38</v>
      </c>
      <c r="G214" s="5" t="s">
        <v>124</v>
      </c>
      <c r="H214" s="5" t="s">
        <v>76</v>
      </c>
      <c r="I214" s="5" t="s">
        <v>125</v>
      </c>
      <c r="J214" s="5">
        <v>76477</v>
      </c>
      <c r="K214" s="7">
        <v>82608.646304519789</v>
      </c>
      <c r="L214" s="5">
        <v>3</v>
      </c>
      <c r="M214" s="5">
        <v>20</v>
      </c>
      <c r="N214" s="8">
        <f t="shared" si="0"/>
        <v>198260.75113084749</v>
      </c>
      <c r="O214" s="5">
        <f t="shared" si="1"/>
        <v>229431</v>
      </c>
      <c r="P214" s="5">
        <f t="shared" si="2"/>
        <v>-31170.248869152507</v>
      </c>
      <c r="Q214" s="5" t="s">
        <v>83</v>
      </c>
      <c r="R214" s="5" t="s">
        <v>32</v>
      </c>
      <c r="S214" s="6">
        <v>45002</v>
      </c>
      <c r="T214" s="5">
        <v>1</v>
      </c>
      <c r="U214" s="5">
        <v>4</v>
      </c>
      <c r="V214" s="5" t="s">
        <v>33</v>
      </c>
      <c r="W214" s="5">
        <f t="shared" si="3"/>
        <v>0</v>
      </c>
    </row>
    <row r="215" spans="1:23" ht="15.75" customHeight="1" x14ac:dyDescent="0.25">
      <c r="A215" s="5" t="s">
        <v>453</v>
      </c>
      <c r="B215" s="6">
        <v>44997</v>
      </c>
      <c r="C215" s="5" t="s">
        <v>109</v>
      </c>
      <c r="D215" s="5" t="s">
        <v>42</v>
      </c>
      <c r="E215" s="5" t="s">
        <v>69</v>
      </c>
      <c r="F215" s="5" t="s">
        <v>55</v>
      </c>
      <c r="G215" s="5" t="s">
        <v>92</v>
      </c>
      <c r="H215" s="5" t="s">
        <v>44</v>
      </c>
      <c r="I215" s="5" t="s">
        <v>45</v>
      </c>
      <c r="J215" s="5">
        <v>860</v>
      </c>
      <c r="K215" s="7">
        <v>1229.5086205758</v>
      </c>
      <c r="L215" s="5">
        <v>2</v>
      </c>
      <c r="M215" s="5">
        <v>10</v>
      </c>
      <c r="N215" s="8">
        <f t="shared" si="0"/>
        <v>2213.11551703644</v>
      </c>
      <c r="O215" s="5">
        <f t="shared" si="1"/>
        <v>1720</v>
      </c>
      <c r="P215" s="5">
        <f t="shared" si="2"/>
        <v>493.11551703644</v>
      </c>
      <c r="Q215" s="5" t="s">
        <v>31</v>
      </c>
      <c r="R215" s="5" t="s">
        <v>32</v>
      </c>
      <c r="S215" s="6">
        <v>45006</v>
      </c>
      <c r="T215" s="5">
        <v>5</v>
      </c>
      <c r="U215" s="5">
        <v>3</v>
      </c>
      <c r="V215" s="5" t="s">
        <v>33</v>
      </c>
      <c r="W215" s="5">
        <f t="shared" si="3"/>
        <v>0</v>
      </c>
    </row>
    <row r="216" spans="1:23" ht="15.75" customHeight="1" x14ac:dyDescent="0.25">
      <c r="A216" s="5" t="s">
        <v>454</v>
      </c>
      <c r="B216" s="6">
        <v>44997</v>
      </c>
      <c r="C216" s="5" t="s">
        <v>48</v>
      </c>
      <c r="D216" s="5" t="s">
        <v>150</v>
      </c>
      <c r="E216" s="5" t="s">
        <v>49</v>
      </c>
      <c r="F216" s="5" t="s">
        <v>50</v>
      </c>
      <c r="G216" s="5" t="s">
        <v>92</v>
      </c>
      <c r="H216" s="5" t="s">
        <v>44</v>
      </c>
      <c r="I216" s="5" t="s">
        <v>45</v>
      </c>
      <c r="J216" s="5">
        <v>1410</v>
      </c>
      <c r="K216" s="7">
        <v>1464.9859560508417</v>
      </c>
      <c r="L216" s="5">
        <v>1</v>
      </c>
      <c r="M216" s="5">
        <v>10</v>
      </c>
      <c r="N216" s="8">
        <f t="shared" si="0"/>
        <v>1318.4873604457575</v>
      </c>
      <c r="O216" s="5">
        <f t="shared" si="1"/>
        <v>1410</v>
      </c>
      <c r="P216" s="5">
        <f t="shared" si="2"/>
        <v>-91.512639554242469</v>
      </c>
      <c r="Q216" s="5" t="s">
        <v>46</v>
      </c>
      <c r="R216" s="5" t="s">
        <v>56</v>
      </c>
      <c r="T216" s="5">
        <v>8</v>
      </c>
      <c r="U216" s="5">
        <v>2</v>
      </c>
      <c r="W216" s="5">
        <f t="shared" si="3"/>
        <v>0</v>
      </c>
    </row>
    <row r="217" spans="1:23" ht="15.75" customHeight="1" x14ac:dyDescent="0.25">
      <c r="A217" s="5" t="s">
        <v>455</v>
      </c>
      <c r="B217" s="6">
        <v>44997</v>
      </c>
      <c r="C217" s="5" t="s">
        <v>263</v>
      </c>
      <c r="D217" s="5" t="s">
        <v>184</v>
      </c>
      <c r="E217" s="5" t="s">
        <v>60</v>
      </c>
      <c r="F217" s="5" t="s">
        <v>61</v>
      </c>
      <c r="G217" s="5" t="s">
        <v>124</v>
      </c>
      <c r="H217" s="5" t="s">
        <v>76</v>
      </c>
      <c r="I217" s="5" t="s">
        <v>125</v>
      </c>
      <c r="J217" s="5">
        <v>51804</v>
      </c>
      <c r="K217" s="7">
        <v>77973.341064298394</v>
      </c>
      <c r="L217" s="5">
        <v>1</v>
      </c>
      <c r="M217" s="5">
        <v>5</v>
      </c>
      <c r="N217" s="8">
        <f t="shared" si="0"/>
        <v>74074.674011083465</v>
      </c>
      <c r="O217" s="5">
        <f t="shared" si="1"/>
        <v>51804</v>
      </c>
      <c r="P217" s="5">
        <f t="shared" si="2"/>
        <v>22270.674011083465</v>
      </c>
      <c r="Q217" s="5" t="s">
        <v>31</v>
      </c>
      <c r="R217" s="5" t="s">
        <v>32</v>
      </c>
      <c r="S217" s="6">
        <v>45007</v>
      </c>
      <c r="T217" s="5">
        <v>6</v>
      </c>
      <c r="U217" s="5">
        <v>2</v>
      </c>
      <c r="V217" s="5" t="s">
        <v>33</v>
      </c>
      <c r="W217" s="5">
        <f t="shared" si="3"/>
        <v>0</v>
      </c>
    </row>
    <row r="218" spans="1:23" ht="15.75" customHeight="1" x14ac:dyDescent="0.25">
      <c r="A218" s="5" t="s">
        <v>456</v>
      </c>
      <c r="B218" s="6">
        <v>44997</v>
      </c>
      <c r="C218" s="5" t="s">
        <v>457</v>
      </c>
      <c r="D218" s="5" t="s">
        <v>86</v>
      </c>
      <c r="E218" s="5" t="s">
        <v>54</v>
      </c>
      <c r="F218" s="5" t="s">
        <v>55</v>
      </c>
      <c r="G218" s="5" t="s">
        <v>139</v>
      </c>
      <c r="H218" s="5" t="s">
        <v>76</v>
      </c>
      <c r="I218" s="5" t="s">
        <v>140</v>
      </c>
      <c r="J218" s="5">
        <v>47478</v>
      </c>
      <c r="K218" s="7">
        <v>53895.72308733112</v>
      </c>
      <c r="L218" s="5">
        <v>1</v>
      </c>
      <c r="M218" s="5">
        <v>5</v>
      </c>
      <c r="N218" s="8">
        <f t="shared" si="0"/>
        <v>51200.936932964563</v>
      </c>
      <c r="O218" s="5">
        <f t="shared" si="1"/>
        <v>47478</v>
      </c>
      <c r="P218" s="5">
        <f t="shared" si="2"/>
        <v>3722.9369329645633</v>
      </c>
      <c r="Q218" s="5" t="s">
        <v>83</v>
      </c>
      <c r="R218" s="5" t="s">
        <v>32</v>
      </c>
      <c r="S218" s="6">
        <v>45007</v>
      </c>
      <c r="T218" s="5">
        <v>4</v>
      </c>
      <c r="U218" s="5">
        <v>2</v>
      </c>
      <c r="V218" s="5" t="s">
        <v>33</v>
      </c>
      <c r="W218" s="5">
        <f t="shared" si="3"/>
        <v>0</v>
      </c>
    </row>
    <row r="219" spans="1:23" ht="15.75" customHeight="1" x14ac:dyDescent="0.25">
      <c r="A219" s="5" t="s">
        <v>458</v>
      </c>
      <c r="B219" s="6">
        <v>44997</v>
      </c>
      <c r="C219" s="5" t="s">
        <v>459</v>
      </c>
      <c r="D219" s="5" t="s">
        <v>64</v>
      </c>
      <c r="E219" s="5" t="s">
        <v>49</v>
      </c>
      <c r="F219" s="5" t="s">
        <v>50</v>
      </c>
      <c r="G219" s="5" t="s">
        <v>75</v>
      </c>
      <c r="H219" s="5" t="s">
        <v>76</v>
      </c>
      <c r="I219" s="5" t="s">
        <v>77</v>
      </c>
      <c r="J219" s="5">
        <v>1998</v>
      </c>
      <c r="K219" s="7">
        <v>2801.7766645147999</v>
      </c>
      <c r="L219" s="5">
        <v>2</v>
      </c>
      <c r="M219" s="5">
        <v>5</v>
      </c>
      <c r="N219" s="8">
        <f t="shared" si="0"/>
        <v>5323.3756625781198</v>
      </c>
      <c r="O219" s="5">
        <f t="shared" si="1"/>
        <v>3996</v>
      </c>
      <c r="P219" s="5">
        <f t="shared" si="2"/>
        <v>1327.3756625781198</v>
      </c>
      <c r="Q219" s="5" t="s">
        <v>46</v>
      </c>
      <c r="R219" s="5" t="s">
        <v>32</v>
      </c>
      <c r="S219" s="6">
        <v>45003</v>
      </c>
      <c r="T219" s="5">
        <v>1</v>
      </c>
      <c r="U219" s="5">
        <v>4</v>
      </c>
      <c r="V219" s="5" t="s">
        <v>33</v>
      </c>
      <c r="W219" s="5">
        <f t="shared" si="3"/>
        <v>0</v>
      </c>
    </row>
    <row r="220" spans="1:23" ht="15.75" customHeight="1" x14ac:dyDescent="0.25">
      <c r="A220" s="5" t="s">
        <v>460</v>
      </c>
      <c r="B220" s="6">
        <v>44997</v>
      </c>
      <c r="C220" s="5" t="s">
        <v>461</v>
      </c>
      <c r="D220" s="5" t="s">
        <v>86</v>
      </c>
      <c r="E220" s="5" t="s">
        <v>112</v>
      </c>
      <c r="F220" s="5" t="s">
        <v>113</v>
      </c>
      <c r="G220" s="5" t="s">
        <v>75</v>
      </c>
      <c r="H220" s="5" t="s">
        <v>76</v>
      </c>
      <c r="I220" s="5" t="s">
        <v>77</v>
      </c>
      <c r="J220" s="5">
        <v>1187</v>
      </c>
      <c r="K220" s="7">
        <v>1535.8026226173442</v>
      </c>
      <c r="L220" s="5">
        <v>4</v>
      </c>
      <c r="M220" s="5">
        <v>20</v>
      </c>
      <c r="N220" s="8">
        <f t="shared" si="0"/>
        <v>4914.5683923755023</v>
      </c>
      <c r="O220" s="5">
        <f t="shared" si="1"/>
        <v>4748</v>
      </c>
      <c r="P220" s="5">
        <f t="shared" si="2"/>
        <v>166.5683923755023</v>
      </c>
      <c r="Q220" s="5" t="s">
        <v>46</v>
      </c>
      <c r="R220" s="5" t="s">
        <v>32</v>
      </c>
      <c r="S220" s="6">
        <v>45002</v>
      </c>
      <c r="T220" s="5">
        <v>2</v>
      </c>
      <c r="U220" s="5">
        <v>5</v>
      </c>
      <c r="V220" s="5" t="s">
        <v>33</v>
      </c>
      <c r="W220" s="5">
        <f t="shared" si="3"/>
        <v>0</v>
      </c>
    </row>
    <row r="221" spans="1:23" ht="15.75" customHeight="1" x14ac:dyDescent="0.25">
      <c r="A221" s="5" t="s">
        <v>462</v>
      </c>
      <c r="B221" s="6">
        <v>44998</v>
      </c>
      <c r="C221" s="5" t="s">
        <v>203</v>
      </c>
      <c r="D221" s="5" t="s">
        <v>138</v>
      </c>
      <c r="E221" s="5" t="s">
        <v>49</v>
      </c>
      <c r="F221" s="5" t="s">
        <v>50</v>
      </c>
      <c r="G221" s="5" t="s">
        <v>106</v>
      </c>
      <c r="H221" s="5" t="s">
        <v>98</v>
      </c>
      <c r="I221" s="5" t="s">
        <v>107</v>
      </c>
      <c r="J221" s="5">
        <v>708</v>
      </c>
      <c r="K221" s="7">
        <v>1055.3458638580867</v>
      </c>
      <c r="L221" s="5">
        <v>5</v>
      </c>
      <c r="M221" s="5">
        <v>15</v>
      </c>
      <c r="N221" s="8">
        <f t="shared" si="0"/>
        <v>4485.2199213968688</v>
      </c>
      <c r="O221" s="5">
        <f t="shared" si="1"/>
        <v>3540</v>
      </c>
      <c r="P221" s="5">
        <f t="shared" si="2"/>
        <v>945.21992139686881</v>
      </c>
      <c r="Q221" s="5" t="s">
        <v>83</v>
      </c>
      <c r="R221" s="5" t="s">
        <v>32</v>
      </c>
      <c r="S221" s="6">
        <v>45005</v>
      </c>
      <c r="T221" s="5">
        <v>4</v>
      </c>
      <c r="U221" s="5">
        <v>4</v>
      </c>
      <c r="V221" s="5" t="s">
        <v>33</v>
      </c>
      <c r="W221" s="5">
        <f t="shared" si="3"/>
        <v>0</v>
      </c>
    </row>
    <row r="222" spans="1:23" ht="15.75" customHeight="1" x14ac:dyDescent="0.25">
      <c r="A222" s="5" t="s">
        <v>463</v>
      </c>
      <c r="B222" s="6">
        <v>44998</v>
      </c>
      <c r="C222" s="5" t="s">
        <v>79</v>
      </c>
      <c r="D222" s="5" t="s">
        <v>181</v>
      </c>
      <c r="E222" s="5" t="s">
        <v>26</v>
      </c>
      <c r="F222" s="5" t="s">
        <v>27</v>
      </c>
      <c r="G222" s="5" t="s">
        <v>28</v>
      </c>
      <c r="H222" s="5" t="s">
        <v>29</v>
      </c>
      <c r="I222" s="5" t="s">
        <v>30</v>
      </c>
      <c r="J222" s="5">
        <v>6306</v>
      </c>
      <c r="K222" s="7">
        <v>7596.3227898495797</v>
      </c>
      <c r="L222" s="5">
        <v>5</v>
      </c>
      <c r="M222" s="5">
        <v>20</v>
      </c>
      <c r="N222" s="8">
        <f t="shared" si="0"/>
        <v>30385.291159398319</v>
      </c>
      <c r="O222" s="5">
        <f t="shared" si="1"/>
        <v>31530</v>
      </c>
      <c r="P222" s="5">
        <f t="shared" si="2"/>
        <v>-1144.708840601681</v>
      </c>
      <c r="Q222" s="5" t="s">
        <v>31</v>
      </c>
      <c r="R222" s="5" t="s">
        <v>32</v>
      </c>
      <c r="S222" s="6">
        <v>45013</v>
      </c>
      <c r="T222" s="5">
        <v>8</v>
      </c>
      <c r="U222" s="5">
        <v>3</v>
      </c>
      <c r="V222" s="5" t="s">
        <v>33</v>
      </c>
      <c r="W222" s="5">
        <f t="shared" si="3"/>
        <v>0</v>
      </c>
    </row>
    <row r="223" spans="1:23" ht="15.75" customHeight="1" x14ac:dyDescent="0.25">
      <c r="A223" s="5" t="s">
        <v>464</v>
      </c>
      <c r="B223" s="6">
        <v>44998</v>
      </c>
      <c r="C223" s="5" t="s">
        <v>306</v>
      </c>
      <c r="D223" s="5" t="s">
        <v>116</v>
      </c>
      <c r="E223" s="5" t="s">
        <v>112</v>
      </c>
      <c r="F223" s="5" t="s">
        <v>113</v>
      </c>
      <c r="G223" s="5" t="s">
        <v>43</v>
      </c>
      <c r="H223" s="5" t="s">
        <v>44</v>
      </c>
      <c r="I223" s="5" t="s">
        <v>45</v>
      </c>
      <c r="J223" s="5">
        <v>523</v>
      </c>
      <c r="K223" s="7">
        <v>938.21366451128233</v>
      </c>
      <c r="L223" s="5">
        <v>3</v>
      </c>
      <c r="M223" s="5">
        <v>15</v>
      </c>
      <c r="N223" s="8">
        <f t="shared" si="0"/>
        <v>2392.4448445037697</v>
      </c>
      <c r="O223" s="5">
        <f t="shared" si="1"/>
        <v>1569</v>
      </c>
      <c r="P223" s="5">
        <f t="shared" si="2"/>
        <v>823.44484450376967</v>
      </c>
      <c r="Q223" s="5" t="s">
        <v>83</v>
      </c>
      <c r="R223" s="5" t="s">
        <v>32</v>
      </c>
      <c r="S223" s="6">
        <v>45005</v>
      </c>
      <c r="T223" s="5">
        <v>4</v>
      </c>
      <c r="U223" s="5">
        <v>4</v>
      </c>
      <c r="V223" s="5" t="s">
        <v>33</v>
      </c>
      <c r="W223" s="5">
        <f t="shared" si="3"/>
        <v>0</v>
      </c>
    </row>
    <row r="224" spans="1:23" ht="15.75" customHeight="1" x14ac:dyDescent="0.25">
      <c r="A224" s="5" t="s">
        <v>465</v>
      </c>
      <c r="B224" s="6">
        <v>44998</v>
      </c>
      <c r="C224" s="5" t="s">
        <v>466</v>
      </c>
      <c r="D224" s="5" t="s">
        <v>25</v>
      </c>
      <c r="E224" s="5" t="s">
        <v>60</v>
      </c>
      <c r="F224" s="5" t="s">
        <v>61</v>
      </c>
      <c r="G224" s="5" t="s">
        <v>97</v>
      </c>
      <c r="H224" s="5" t="s">
        <v>98</v>
      </c>
      <c r="I224" s="5" t="s">
        <v>99</v>
      </c>
      <c r="J224" s="5">
        <v>487</v>
      </c>
      <c r="K224" s="7">
        <v>827.43193831717019</v>
      </c>
      <c r="L224" s="5">
        <v>1</v>
      </c>
      <c r="M224" s="5">
        <v>20</v>
      </c>
      <c r="N224" s="8">
        <f t="shared" si="0"/>
        <v>661.94555065373618</v>
      </c>
      <c r="O224" s="5">
        <f t="shared" si="1"/>
        <v>487</v>
      </c>
      <c r="P224" s="5">
        <f t="shared" si="2"/>
        <v>174.94555065373618</v>
      </c>
      <c r="Q224" s="5" t="s">
        <v>31</v>
      </c>
      <c r="R224" s="5" t="s">
        <v>56</v>
      </c>
      <c r="T224" s="5">
        <v>10</v>
      </c>
      <c r="U224" s="5">
        <v>1</v>
      </c>
      <c r="W224" s="5">
        <f t="shared" si="3"/>
        <v>0</v>
      </c>
    </row>
    <row r="225" spans="1:23" ht="15.75" customHeight="1" x14ac:dyDescent="0.25">
      <c r="A225" s="5" t="s">
        <v>467</v>
      </c>
      <c r="B225" s="6">
        <v>44998</v>
      </c>
      <c r="C225" s="5" t="s">
        <v>111</v>
      </c>
      <c r="D225" s="5" t="s">
        <v>59</v>
      </c>
      <c r="E225" s="5" t="s">
        <v>26</v>
      </c>
      <c r="F225" s="5" t="s">
        <v>27</v>
      </c>
      <c r="G225" s="5" t="s">
        <v>87</v>
      </c>
      <c r="H225" s="5" t="s">
        <v>29</v>
      </c>
      <c r="I225" s="5" t="s">
        <v>88</v>
      </c>
      <c r="J225" s="5">
        <v>35222</v>
      </c>
      <c r="K225" s="7">
        <v>55055.745772421658</v>
      </c>
      <c r="L225" s="5">
        <v>3</v>
      </c>
      <c r="M225" s="5">
        <v>15</v>
      </c>
      <c r="N225" s="8">
        <f t="shared" si="0"/>
        <v>140392.15171967522</v>
      </c>
      <c r="O225" s="5">
        <f t="shared" si="1"/>
        <v>105666</v>
      </c>
      <c r="P225" s="5">
        <f t="shared" si="2"/>
        <v>34726.151719675225</v>
      </c>
      <c r="Q225" s="5" t="s">
        <v>31</v>
      </c>
      <c r="R225" s="5" t="s">
        <v>32</v>
      </c>
      <c r="S225" s="6">
        <v>45012</v>
      </c>
      <c r="T225" s="5">
        <v>7</v>
      </c>
      <c r="U225" s="5">
        <v>4</v>
      </c>
      <c r="V225" s="5" t="s">
        <v>89</v>
      </c>
      <c r="W225" s="5">
        <f t="shared" si="3"/>
        <v>1</v>
      </c>
    </row>
    <row r="226" spans="1:23" ht="15.75" customHeight="1" x14ac:dyDescent="0.25">
      <c r="A226" s="5" t="s">
        <v>468</v>
      </c>
      <c r="B226" s="6">
        <v>44999</v>
      </c>
      <c r="C226" s="5" t="s">
        <v>301</v>
      </c>
      <c r="D226" s="5" t="s">
        <v>148</v>
      </c>
      <c r="E226" s="5" t="s">
        <v>54</v>
      </c>
      <c r="F226" s="5" t="s">
        <v>55</v>
      </c>
      <c r="G226" s="5" t="s">
        <v>75</v>
      </c>
      <c r="H226" s="5" t="s">
        <v>76</v>
      </c>
      <c r="I226" s="5" t="s">
        <v>77</v>
      </c>
      <c r="J226" s="5">
        <v>885</v>
      </c>
      <c r="K226" s="7">
        <v>968.71984253043138</v>
      </c>
      <c r="L226" s="5">
        <v>1</v>
      </c>
      <c r="M226" s="5">
        <v>15</v>
      </c>
      <c r="N226" s="8">
        <f t="shared" si="0"/>
        <v>823.41186615086667</v>
      </c>
      <c r="O226" s="5">
        <f t="shared" si="1"/>
        <v>885</v>
      </c>
      <c r="P226" s="5">
        <f t="shared" si="2"/>
        <v>-61.588133849133328</v>
      </c>
      <c r="Q226" s="5" t="s">
        <v>46</v>
      </c>
      <c r="R226" s="5" t="s">
        <v>32</v>
      </c>
      <c r="S226" s="6">
        <v>45006</v>
      </c>
      <c r="T226" s="5">
        <v>1</v>
      </c>
      <c r="U226" s="5">
        <v>5</v>
      </c>
      <c r="V226" s="5" t="s">
        <v>33</v>
      </c>
      <c r="W226" s="5">
        <f t="shared" si="3"/>
        <v>0</v>
      </c>
    </row>
    <row r="227" spans="1:23" ht="15.75" customHeight="1" x14ac:dyDescent="0.25">
      <c r="A227" s="5" t="s">
        <v>469</v>
      </c>
      <c r="B227" s="6">
        <v>44999</v>
      </c>
      <c r="C227" s="5" t="s">
        <v>336</v>
      </c>
      <c r="D227" s="5" t="s">
        <v>135</v>
      </c>
      <c r="E227" s="5" t="s">
        <v>37</v>
      </c>
      <c r="F227" s="5" t="s">
        <v>38</v>
      </c>
      <c r="G227" s="5" t="s">
        <v>92</v>
      </c>
      <c r="H227" s="5" t="s">
        <v>44</v>
      </c>
      <c r="I227" s="5" t="s">
        <v>45</v>
      </c>
      <c r="J227" s="5">
        <v>1442</v>
      </c>
      <c r="K227" s="7">
        <v>1899.3128752014275</v>
      </c>
      <c r="L227" s="5">
        <v>2</v>
      </c>
      <c r="M227" s="5">
        <v>0</v>
      </c>
      <c r="N227" s="8">
        <f t="shared" si="0"/>
        <v>3798.6257504028549</v>
      </c>
      <c r="O227" s="5">
        <f t="shared" si="1"/>
        <v>2884</v>
      </c>
      <c r="P227" s="5">
        <f t="shared" si="2"/>
        <v>914.62575040285492</v>
      </c>
      <c r="Q227" s="5" t="s">
        <v>46</v>
      </c>
      <c r="R227" s="5" t="s">
        <v>32</v>
      </c>
      <c r="S227" s="6">
        <v>45005</v>
      </c>
      <c r="T227" s="5">
        <v>3</v>
      </c>
      <c r="U227" s="5">
        <v>3</v>
      </c>
      <c r="V227" s="5" t="s">
        <v>33</v>
      </c>
      <c r="W227" s="5">
        <f t="shared" si="3"/>
        <v>0</v>
      </c>
    </row>
    <row r="228" spans="1:23" ht="15.75" customHeight="1" x14ac:dyDescent="0.25">
      <c r="A228" s="5" t="s">
        <v>470</v>
      </c>
      <c r="B228" s="6">
        <v>44999</v>
      </c>
      <c r="C228" s="5" t="s">
        <v>471</v>
      </c>
      <c r="D228" s="5" t="s">
        <v>181</v>
      </c>
      <c r="E228" s="5" t="s">
        <v>69</v>
      </c>
      <c r="F228" s="5" t="s">
        <v>55</v>
      </c>
      <c r="G228" s="5" t="s">
        <v>87</v>
      </c>
      <c r="H228" s="5" t="s">
        <v>29</v>
      </c>
      <c r="I228" s="5" t="s">
        <v>88</v>
      </c>
      <c r="J228" s="5">
        <v>51729</v>
      </c>
      <c r="K228" s="7">
        <v>62113.103508774446</v>
      </c>
      <c r="L228" s="5">
        <v>1</v>
      </c>
      <c r="M228" s="5">
        <v>10</v>
      </c>
      <c r="N228" s="8">
        <f t="shared" si="0"/>
        <v>55901.793157897002</v>
      </c>
      <c r="O228" s="5">
        <f t="shared" si="1"/>
        <v>51729</v>
      </c>
      <c r="P228" s="5">
        <f t="shared" si="2"/>
        <v>4172.7931578970019</v>
      </c>
      <c r="Q228" s="5" t="s">
        <v>83</v>
      </c>
      <c r="R228" s="5" t="s">
        <v>32</v>
      </c>
      <c r="S228" s="6">
        <v>45007</v>
      </c>
      <c r="T228" s="5">
        <v>1</v>
      </c>
      <c r="U228" s="5">
        <v>5</v>
      </c>
      <c r="V228" s="5" t="s">
        <v>33</v>
      </c>
      <c r="W228" s="5">
        <f t="shared" si="3"/>
        <v>0</v>
      </c>
    </row>
    <row r="229" spans="1:23" ht="15.75" customHeight="1" x14ac:dyDescent="0.25">
      <c r="A229" s="5" t="s">
        <v>472</v>
      </c>
      <c r="B229" s="6">
        <v>44999</v>
      </c>
      <c r="C229" s="5" t="s">
        <v>180</v>
      </c>
      <c r="D229" s="5" t="s">
        <v>59</v>
      </c>
      <c r="E229" s="5" t="s">
        <v>112</v>
      </c>
      <c r="F229" s="5" t="s">
        <v>113</v>
      </c>
      <c r="G229" s="5" t="s">
        <v>139</v>
      </c>
      <c r="H229" s="5" t="s">
        <v>76</v>
      </c>
      <c r="I229" s="5" t="s">
        <v>140</v>
      </c>
      <c r="J229" s="5">
        <v>33072</v>
      </c>
      <c r="K229" s="7">
        <v>49171.723593234994</v>
      </c>
      <c r="L229" s="5">
        <v>1</v>
      </c>
      <c r="M229" s="5">
        <v>0</v>
      </c>
      <c r="N229" s="8">
        <f t="shared" si="0"/>
        <v>49171.723593234994</v>
      </c>
      <c r="O229" s="5">
        <f t="shared" si="1"/>
        <v>33072</v>
      </c>
      <c r="P229" s="5">
        <f t="shared" si="2"/>
        <v>16099.723593234994</v>
      </c>
      <c r="Q229" s="5" t="s">
        <v>39</v>
      </c>
      <c r="R229" s="5" t="s">
        <v>32</v>
      </c>
      <c r="S229" s="6">
        <v>45012</v>
      </c>
      <c r="T229" s="5">
        <v>6</v>
      </c>
      <c r="U229" s="5">
        <v>3</v>
      </c>
      <c r="V229" s="5" t="s">
        <v>33</v>
      </c>
      <c r="W229" s="5">
        <f t="shared" si="3"/>
        <v>0</v>
      </c>
    </row>
    <row r="230" spans="1:23" ht="15.75" customHeight="1" x14ac:dyDescent="0.25">
      <c r="A230" s="5" t="s">
        <v>473</v>
      </c>
      <c r="B230" s="6">
        <v>45000</v>
      </c>
      <c r="C230" s="5" t="s">
        <v>474</v>
      </c>
      <c r="D230" s="5" t="s">
        <v>150</v>
      </c>
      <c r="E230" s="5" t="s">
        <v>69</v>
      </c>
      <c r="F230" s="5" t="s">
        <v>55</v>
      </c>
      <c r="G230" s="5" t="s">
        <v>75</v>
      </c>
      <c r="H230" s="5" t="s">
        <v>76</v>
      </c>
      <c r="I230" s="5" t="s">
        <v>77</v>
      </c>
      <c r="J230" s="5">
        <v>1832</v>
      </c>
      <c r="K230" s="7">
        <v>2287.1704800764128</v>
      </c>
      <c r="L230" s="5">
        <v>2</v>
      </c>
      <c r="M230" s="5">
        <v>15</v>
      </c>
      <c r="N230" s="8">
        <f t="shared" si="0"/>
        <v>3888.1898161299018</v>
      </c>
      <c r="O230" s="5">
        <f t="shared" si="1"/>
        <v>3664</v>
      </c>
      <c r="P230" s="5">
        <f t="shared" si="2"/>
        <v>224.18981612990183</v>
      </c>
      <c r="Q230" s="5" t="s">
        <v>46</v>
      </c>
      <c r="R230" s="5" t="s">
        <v>56</v>
      </c>
      <c r="T230" s="5">
        <v>10</v>
      </c>
      <c r="U230" s="5">
        <v>1</v>
      </c>
      <c r="W230" s="5">
        <f t="shared" si="3"/>
        <v>0</v>
      </c>
    </row>
    <row r="231" spans="1:23" ht="15.75" customHeight="1" x14ac:dyDescent="0.25">
      <c r="A231" s="5" t="s">
        <v>475</v>
      </c>
      <c r="B231" s="6">
        <v>45000</v>
      </c>
      <c r="C231" s="5" t="s">
        <v>476</v>
      </c>
      <c r="D231" s="5" t="s">
        <v>135</v>
      </c>
      <c r="E231" s="5" t="s">
        <v>69</v>
      </c>
      <c r="F231" s="5" t="s">
        <v>55</v>
      </c>
      <c r="G231" s="5" t="s">
        <v>124</v>
      </c>
      <c r="H231" s="5" t="s">
        <v>76</v>
      </c>
      <c r="I231" s="5" t="s">
        <v>125</v>
      </c>
      <c r="J231" s="5">
        <v>74120</v>
      </c>
      <c r="K231" s="7">
        <v>117863.49701731667</v>
      </c>
      <c r="L231" s="5">
        <v>4</v>
      </c>
      <c r="M231" s="5">
        <v>10</v>
      </c>
      <c r="N231" s="8">
        <f t="shared" si="0"/>
        <v>424308.58926233998</v>
      </c>
      <c r="O231" s="5">
        <f t="shared" si="1"/>
        <v>296480</v>
      </c>
      <c r="P231" s="5">
        <f t="shared" si="2"/>
        <v>127828.58926233998</v>
      </c>
      <c r="Q231" s="5" t="s">
        <v>46</v>
      </c>
      <c r="R231" s="5" t="s">
        <v>56</v>
      </c>
      <c r="T231" s="5">
        <v>9</v>
      </c>
      <c r="U231" s="5">
        <v>1</v>
      </c>
      <c r="W231" s="5">
        <f t="shared" si="3"/>
        <v>0</v>
      </c>
    </row>
    <row r="232" spans="1:23" ht="15.75" customHeight="1" x14ac:dyDescent="0.25">
      <c r="A232" s="5" t="s">
        <v>477</v>
      </c>
      <c r="B232" s="6">
        <v>45000</v>
      </c>
      <c r="C232" s="5" t="s">
        <v>478</v>
      </c>
      <c r="D232" s="5" t="s">
        <v>188</v>
      </c>
      <c r="E232" s="5" t="s">
        <v>80</v>
      </c>
      <c r="F232" s="5" t="s">
        <v>80</v>
      </c>
      <c r="G232" s="5" t="s">
        <v>28</v>
      </c>
      <c r="H232" s="5" t="s">
        <v>29</v>
      </c>
      <c r="I232" s="5" t="s">
        <v>30</v>
      </c>
      <c r="J232" s="5">
        <v>3685</v>
      </c>
      <c r="K232" s="7">
        <v>4706.6654063913766</v>
      </c>
      <c r="L232" s="5">
        <v>1</v>
      </c>
      <c r="M232" s="5">
        <v>20</v>
      </c>
      <c r="N232" s="8">
        <f t="shared" si="0"/>
        <v>3765.3323251131014</v>
      </c>
      <c r="O232" s="5">
        <f t="shared" si="1"/>
        <v>3685</v>
      </c>
      <c r="P232" s="5">
        <f t="shared" si="2"/>
        <v>80.332325113101433</v>
      </c>
      <c r="Q232" s="5" t="s">
        <v>83</v>
      </c>
      <c r="R232" s="5" t="s">
        <v>56</v>
      </c>
      <c r="T232" s="5">
        <v>9</v>
      </c>
      <c r="U232" s="5">
        <v>1</v>
      </c>
      <c r="W232" s="5">
        <f t="shared" si="3"/>
        <v>0</v>
      </c>
    </row>
    <row r="233" spans="1:23" ht="15.75" customHeight="1" x14ac:dyDescent="0.25">
      <c r="A233" s="5" t="s">
        <v>479</v>
      </c>
      <c r="B233" s="6">
        <v>45000</v>
      </c>
      <c r="C233" s="5" t="s">
        <v>480</v>
      </c>
      <c r="D233" s="5" t="s">
        <v>36</v>
      </c>
      <c r="E233" s="5" t="s">
        <v>69</v>
      </c>
      <c r="F233" s="5" t="s">
        <v>55</v>
      </c>
      <c r="G233" s="5" t="s">
        <v>81</v>
      </c>
      <c r="H233" s="5" t="s">
        <v>44</v>
      </c>
      <c r="I233" s="5" t="s">
        <v>82</v>
      </c>
      <c r="J233" s="5">
        <v>2293</v>
      </c>
      <c r="K233" s="7">
        <v>3644.670558915479</v>
      </c>
      <c r="L233" s="5">
        <v>3</v>
      </c>
      <c r="M233" s="5">
        <v>0</v>
      </c>
      <c r="N233" s="8">
        <f t="shared" si="0"/>
        <v>10934.011676746437</v>
      </c>
      <c r="O233" s="5">
        <f t="shared" si="1"/>
        <v>6879</v>
      </c>
      <c r="P233" s="5">
        <f t="shared" si="2"/>
        <v>4055.0116767464369</v>
      </c>
      <c r="Q233" s="5" t="s">
        <v>39</v>
      </c>
      <c r="R233" s="5" t="s">
        <v>56</v>
      </c>
      <c r="T233" s="5">
        <v>9</v>
      </c>
      <c r="U233" s="5">
        <v>1</v>
      </c>
      <c r="W233" s="5">
        <f t="shared" si="3"/>
        <v>0</v>
      </c>
    </row>
    <row r="234" spans="1:23" ht="15.75" customHeight="1" x14ac:dyDescent="0.25">
      <c r="A234" s="5" t="s">
        <v>481</v>
      </c>
      <c r="B234" s="6">
        <v>45000</v>
      </c>
      <c r="C234" s="5" t="s">
        <v>482</v>
      </c>
      <c r="D234" s="5" t="s">
        <v>59</v>
      </c>
      <c r="E234" s="5" t="s">
        <v>69</v>
      </c>
      <c r="F234" s="5" t="s">
        <v>55</v>
      </c>
      <c r="G234" s="5" t="s">
        <v>28</v>
      </c>
      <c r="H234" s="5" t="s">
        <v>29</v>
      </c>
      <c r="I234" s="5" t="s">
        <v>30</v>
      </c>
      <c r="J234" s="5">
        <v>6961</v>
      </c>
      <c r="K234" s="7">
        <v>10350.482804299936</v>
      </c>
      <c r="L234" s="5">
        <v>4</v>
      </c>
      <c r="M234" s="5">
        <v>0</v>
      </c>
      <c r="N234" s="8">
        <f t="shared" si="0"/>
        <v>41401.931217199744</v>
      </c>
      <c r="O234" s="5">
        <f t="shared" si="1"/>
        <v>27844</v>
      </c>
      <c r="P234" s="5">
        <f t="shared" si="2"/>
        <v>13557.931217199744</v>
      </c>
      <c r="Q234" s="5" t="s">
        <v>83</v>
      </c>
      <c r="R234" s="5" t="s">
        <v>32</v>
      </c>
      <c r="S234" s="6">
        <v>45010</v>
      </c>
      <c r="T234" s="5">
        <v>5</v>
      </c>
      <c r="U234" s="5">
        <v>2</v>
      </c>
      <c r="V234" s="5" t="s">
        <v>33</v>
      </c>
      <c r="W234" s="5">
        <f t="shared" si="3"/>
        <v>0</v>
      </c>
    </row>
    <row r="235" spans="1:23" ht="15.75" customHeight="1" x14ac:dyDescent="0.25">
      <c r="A235" s="5" t="s">
        <v>483</v>
      </c>
      <c r="B235" s="6">
        <v>45000</v>
      </c>
      <c r="C235" s="5" t="s">
        <v>299</v>
      </c>
      <c r="D235" s="5" t="s">
        <v>181</v>
      </c>
      <c r="E235" s="5" t="s">
        <v>54</v>
      </c>
      <c r="F235" s="5" t="s">
        <v>55</v>
      </c>
      <c r="G235" s="5" t="s">
        <v>92</v>
      </c>
      <c r="H235" s="5" t="s">
        <v>44</v>
      </c>
      <c r="I235" s="5" t="s">
        <v>45</v>
      </c>
      <c r="J235" s="5">
        <v>850</v>
      </c>
      <c r="K235" s="7">
        <v>1491.0955131934077</v>
      </c>
      <c r="L235" s="5">
        <v>2</v>
      </c>
      <c r="M235" s="5">
        <v>0</v>
      </c>
      <c r="N235" s="8">
        <f t="shared" si="0"/>
        <v>2982.1910263868153</v>
      </c>
      <c r="O235" s="5">
        <f t="shared" si="1"/>
        <v>1700</v>
      </c>
      <c r="P235" s="5">
        <f t="shared" si="2"/>
        <v>1282.1910263868153</v>
      </c>
      <c r="Q235" s="5" t="s">
        <v>46</v>
      </c>
      <c r="R235" s="5" t="s">
        <v>32</v>
      </c>
      <c r="S235" s="6">
        <v>45010</v>
      </c>
      <c r="T235" s="5">
        <v>3</v>
      </c>
      <c r="U235" s="5">
        <v>4</v>
      </c>
      <c r="V235" s="5" t="s">
        <v>33</v>
      </c>
      <c r="W235" s="5">
        <f t="shared" si="3"/>
        <v>0</v>
      </c>
    </row>
    <row r="236" spans="1:23" ht="15.75" customHeight="1" x14ac:dyDescent="0.25">
      <c r="A236" s="5" t="s">
        <v>484</v>
      </c>
      <c r="B236" s="6">
        <v>45000</v>
      </c>
      <c r="C236" s="5" t="s">
        <v>485</v>
      </c>
      <c r="D236" s="5" t="s">
        <v>102</v>
      </c>
      <c r="E236" s="5" t="s">
        <v>80</v>
      </c>
      <c r="F236" s="5" t="s">
        <v>80</v>
      </c>
      <c r="G236" s="5" t="s">
        <v>92</v>
      </c>
      <c r="H236" s="5" t="s">
        <v>44</v>
      </c>
      <c r="I236" s="5" t="s">
        <v>45</v>
      </c>
      <c r="J236" s="5">
        <v>816</v>
      </c>
      <c r="K236" s="7">
        <v>1014.6755183207433</v>
      </c>
      <c r="L236" s="5">
        <v>1</v>
      </c>
      <c r="M236" s="5">
        <v>0</v>
      </c>
      <c r="N236" s="8">
        <f t="shared" si="0"/>
        <v>1014.6755183207433</v>
      </c>
      <c r="O236" s="5">
        <f t="shared" si="1"/>
        <v>816</v>
      </c>
      <c r="P236" s="5">
        <f t="shared" si="2"/>
        <v>198.67551832074332</v>
      </c>
      <c r="Q236" s="5" t="s">
        <v>31</v>
      </c>
      <c r="R236" s="5" t="s">
        <v>32</v>
      </c>
      <c r="S236" s="6">
        <v>45007</v>
      </c>
      <c r="T236" s="5">
        <v>1</v>
      </c>
      <c r="U236" s="5">
        <v>5</v>
      </c>
      <c r="V236" s="5" t="s">
        <v>33</v>
      </c>
      <c r="W236" s="5">
        <f t="shared" si="3"/>
        <v>0</v>
      </c>
    </row>
    <row r="237" spans="1:23" ht="15.75" customHeight="1" x14ac:dyDescent="0.25">
      <c r="A237" s="5" t="s">
        <v>486</v>
      </c>
      <c r="B237" s="6">
        <v>45001</v>
      </c>
      <c r="C237" s="5" t="s">
        <v>487</v>
      </c>
      <c r="D237" s="5" t="s">
        <v>188</v>
      </c>
      <c r="E237" s="5" t="s">
        <v>37</v>
      </c>
      <c r="F237" s="5" t="s">
        <v>38</v>
      </c>
      <c r="G237" s="5" t="s">
        <v>92</v>
      </c>
      <c r="H237" s="5" t="s">
        <v>44</v>
      </c>
      <c r="I237" s="5" t="s">
        <v>45</v>
      </c>
      <c r="J237" s="5">
        <v>1450</v>
      </c>
      <c r="K237" s="7">
        <v>2060.2525819617299</v>
      </c>
      <c r="L237" s="5">
        <v>1</v>
      </c>
      <c r="M237" s="5">
        <v>15</v>
      </c>
      <c r="N237" s="8">
        <f t="shared" si="0"/>
        <v>1751.2146946674704</v>
      </c>
      <c r="O237" s="5">
        <f t="shared" si="1"/>
        <v>1450</v>
      </c>
      <c r="P237" s="5">
        <f t="shared" si="2"/>
        <v>301.21469466747044</v>
      </c>
      <c r="Q237" s="5" t="s">
        <v>83</v>
      </c>
      <c r="R237" s="5" t="s">
        <v>56</v>
      </c>
      <c r="T237" s="5">
        <v>7</v>
      </c>
      <c r="U237" s="5">
        <v>4</v>
      </c>
      <c r="W237" s="5">
        <f t="shared" si="3"/>
        <v>0</v>
      </c>
    </row>
    <row r="238" spans="1:23" ht="15.75" customHeight="1" x14ac:dyDescent="0.25">
      <c r="A238" s="5" t="s">
        <v>488</v>
      </c>
      <c r="B238" s="6">
        <v>45001</v>
      </c>
      <c r="C238" s="5" t="s">
        <v>233</v>
      </c>
      <c r="D238" s="5" t="s">
        <v>86</v>
      </c>
      <c r="E238" s="5" t="s">
        <v>80</v>
      </c>
      <c r="F238" s="5" t="s">
        <v>80</v>
      </c>
      <c r="G238" s="5" t="s">
        <v>106</v>
      </c>
      <c r="H238" s="5" t="s">
        <v>98</v>
      </c>
      <c r="I238" s="5" t="s">
        <v>107</v>
      </c>
      <c r="J238" s="5">
        <v>576</v>
      </c>
      <c r="K238" s="7">
        <v>713.11783164893734</v>
      </c>
      <c r="L238" s="5">
        <v>5</v>
      </c>
      <c r="M238" s="5">
        <v>0</v>
      </c>
      <c r="N238" s="8">
        <f t="shared" si="0"/>
        <v>3565.5891582446866</v>
      </c>
      <c r="O238" s="5">
        <f t="shared" si="1"/>
        <v>2880</v>
      </c>
      <c r="P238" s="5">
        <f t="shared" si="2"/>
        <v>685.58915824468659</v>
      </c>
      <c r="Q238" s="5" t="s">
        <v>83</v>
      </c>
      <c r="R238" s="5" t="s">
        <v>32</v>
      </c>
      <c r="S238" s="6">
        <v>45008</v>
      </c>
      <c r="T238" s="5">
        <v>2</v>
      </c>
      <c r="U238" s="5">
        <v>5</v>
      </c>
      <c r="V238" s="5" t="s">
        <v>33</v>
      </c>
      <c r="W238" s="5">
        <f t="shared" si="3"/>
        <v>0</v>
      </c>
    </row>
    <row r="239" spans="1:23" ht="15.75" customHeight="1" x14ac:dyDescent="0.25">
      <c r="A239" s="5" t="s">
        <v>489</v>
      </c>
      <c r="B239" s="6">
        <v>45001</v>
      </c>
      <c r="C239" s="5" t="s">
        <v>490</v>
      </c>
      <c r="D239" s="5" t="s">
        <v>135</v>
      </c>
      <c r="E239" s="5" t="s">
        <v>80</v>
      </c>
      <c r="F239" s="5" t="s">
        <v>80</v>
      </c>
      <c r="G239" s="5" t="s">
        <v>87</v>
      </c>
      <c r="H239" s="5" t="s">
        <v>29</v>
      </c>
      <c r="I239" s="5" t="s">
        <v>88</v>
      </c>
      <c r="J239" s="5">
        <v>51707</v>
      </c>
      <c r="K239" s="7">
        <v>90370.402491188928</v>
      </c>
      <c r="L239" s="5">
        <v>3</v>
      </c>
      <c r="M239" s="5">
        <v>0</v>
      </c>
      <c r="N239" s="8">
        <f t="shared" si="0"/>
        <v>271111.20747356676</v>
      </c>
      <c r="O239" s="5">
        <f t="shared" si="1"/>
        <v>155121</v>
      </c>
      <c r="P239" s="5">
        <f t="shared" si="2"/>
        <v>115990.20747356676</v>
      </c>
      <c r="Q239" s="5" t="s">
        <v>31</v>
      </c>
      <c r="R239" s="5" t="s">
        <v>32</v>
      </c>
      <c r="S239" s="6">
        <v>45011</v>
      </c>
      <c r="T239" s="5">
        <v>4</v>
      </c>
      <c r="U239" s="5">
        <v>3</v>
      </c>
      <c r="V239" s="5" t="s">
        <v>33</v>
      </c>
      <c r="W239" s="5">
        <f t="shared" si="3"/>
        <v>0</v>
      </c>
    </row>
    <row r="240" spans="1:23" ht="15.75" customHeight="1" x14ac:dyDescent="0.25">
      <c r="A240" s="5" t="s">
        <v>491</v>
      </c>
      <c r="B240" s="6">
        <v>45001</v>
      </c>
      <c r="C240" s="5" t="s">
        <v>480</v>
      </c>
      <c r="D240" s="5" t="s">
        <v>148</v>
      </c>
      <c r="E240" s="5" t="s">
        <v>69</v>
      </c>
      <c r="F240" s="5" t="s">
        <v>55</v>
      </c>
      <c r="G240" s="5" t="s">
        <v>124</v>
      </c>
      <c r="H240" s="5" t="s">
        <v>76</v>
      </c>
      <c r="I240" s="5" t="s">
        <v>125</v>
      </c>
      <c r="J240" s="5">
        <v>52185</v>
      </c>
      <c r="K240" s="7">
        <v>66139.411891089418</v>
      </c>
      <c r="L240" s="5">
        <v>1</v>
      </c>
      <c r="M240" s="5">
        <v>0</v>
      </c>
      <c r="N240" s="8">
        <f t="shared" si="0"/>
        <v>66139.411891089418</v>
      </c>
      <c r="O240" s="5">
        <f t="shared" si="1"/>
        <v>52185</v>
      </c>
      <c r="P240" s="5">
        <f t="shared" si="2"/>
        <v>13954.411891089418</v>
      </c>
      <c r="Q240" s="5" t="s">
        <v>83</v>
      </c>
      <c r="R240" s="5" t="s">
        <v>56</v>
      </c>
      <c r="T240" s="5">
        <v>10</v>
      </c>
      <c r="U240" s="5">
        <v>1</v>
      </c>
      <c r="W240" s="5">
        <f t="shared" si="3"/>
        <v>0</v>
      </c>
    </row>
    <row r="241" spans="1:23" ht="15.75" customHeight="1" x14ac:dyDescent="0.25">
      <c r="A241" s="5" t="s">
        <v>492</v>
      </c>
      <c r="B241" s="6">
        <v>45001</v>
      </c>
      <c r="C241" s="5" t="s">
        <v>459</v>
      </c>
      <c r="D241" s="5" t="s">
        <v>135</v>
      </c>
      <c r="E241" s="5" t="s">
        <v>26</v>
      </c>
      <c r="F241" s="5" t="s">
        <v>27</v>
      </c>
      <c r="G241" s="5" t="s">
        <v>119</v>
      </c>
      <c r="H241" s="5" t="s">
        <v>76</v>
      </c>
      <c r="I241" s="5" t="s">
        <v>120</v>
      </c>
      <c r="J241" s="5">
        <v>69472</v>
      </c>
      <c r="K241" s="7">
        <v>81831.963672991013</v>
      </c>
      <c r="L241" s="5">
        <v>1</v>
      </c>
      <c r="M241" s="5">
        <v>10</v>
      </c>
      <c r="N241" s="8">
        <f t="shared" si="0"/>
        <v>73648.767305691916</v>
      </c>
      <c r="O241" s="5">
        <f t="shared" si="1"/>
        <v>69472</v>
      </c>
      <c r="P241" s="5">
        <f t="shared" si="2"/>
        <v>4176.7673056919157</v>
      </c>
      <c r="Q241" s="5" t="s">
        <v>39</v>
      </c>
      <c r="R241" s="5" t="s">
        <v>56</v>
      </c>
      <c r="T241" s="5">
        <v>8</v>
      </c>
      <c r="U241" s="5">
        <v>4</v>
      </c>
      <c r="W241" s="5">
        <f t="shared" si="3"/>
        <v>0</v>
      </c>
    </row>
    <row r="242" spans="1:23" ht="15.75" customHeight="1" x14ac:dyDescent="0.25">
      <c r="A242" s="5" t="s">
        <v>493</v>
      </c>
      <c r="B242" s="6">
        <v>45002</v>
      </c>
      <c r="C242" s="5" t="s">
        <v>494</v>
      </c>
      <c r="D242" s="5" t="s">
        <v>59</v>
      </c>
      <c r="E242" s="5" t="s">
        <v>69</v>
      </c>
      <c r="F242" s="5" t="s">
        <v>55</v>
      </c>
      <c r="G242" s="5" t="s">
        <v>139</v>
      </c>
      <c r="H242" s="5" t="s">
        <v>76</v>
      </c>
      <c r="I242" s="5" t="s">
        <v>140</v>
      </c>
      <c r="J242" s="5">
        <v>35094</v>
      </c>
      <c r="K242" s="7">
        <v>51869.028136194553</v>
      </c>
      <c r="L242" s="5">
        <v>5</v>
      </c>
      <c r="M242" s="5">
        <v>15</v>
      </c>
      <c r="N242" s="8">
        <f t="shared" si="0"/>
        <v>220443.36957882685</v>
      </c>
      <c r="O242" s="5">
        <f t="shared" si="1"/>
        <v>175470</v>
      </c>
      <c r="P242" s="5">
        <f t="shared" si="2"/>
        <v>44973.369578826852</v>
      </c>
      <c r="Q242" s="5" t="s">
        <v>46</v>
      </c>
      <c r="R242" s="5" t="s">
        <v>32</v>
      </c>
      <c r="S242" s="6">
        <v>45012</v>
      </c>
      <c r="T242" s="5">
        <v>4</v>
      </c>
      <c r="U242" s="5">
        <v>4</v>
      </c>
      <c r="V242" s="5" t="s">
        <v>33</v>
      </c>
      <c r="W242" s="5">
        <f t="shared" si="3"/>
        <v>0</v>
      </c>
    </row>
    <row r="243" spans="1:23" ht="15.75" customHeight="1" x14ac:dyDescent="0.25">
      <c r="A243" s="5" t="s">
        <v>495</v>
      </c>
      <c r="B243" s="6">
        <v>45002</v>
      </c>
      <c r="C243" s="5" t="s">
        <v>496</v>
      </c>
      <c r="D243" s="5" t="s">
        <v>135</v>
      </c>
      <c r="E243" s="5" t="s">
        <v>112</v>
      </c>
      <c r="F243" s="5" t="s">
        <v>113</v>
      </c>
      <c r="G243" s="5" t="s">
        <v>43</v>
      </c>
      <c r="H243" s="5" t="s">
        <v>44</v>
      </c>
      <c r="I243" s="5" t="s">
        <v>45</v>
      </c>
      <c r="J243" s="5">
        <v>480</v>
      </c>
      <c r="K243" s="7">
        <v>536.2141785675758</v>
      </c>
      <c r="L243" s="5">
        <v>2</v>
      </c>
      <c r="M243" s="5">
        <v>0</v>
      </c>
      <c r="N243" s="8">
        <f t="shared" si="0"/>
        <v>1072.4283571351516</v>
      </c>
      <c r="O243" s="5">
        <f t="shared" si="1"/>
        <v>960</v>
      </c>
      <c r="P243" s="5">
        <f t="shared" si="2"/>
        <v>112.4283571351516</v>
      </c>
      <c r="Q243" s="5" t="s">
        <v>31</v>
      </c>
      <c r="R243" s="5" t="s">
        <v>32</v>
      </c>
      <c r="S243" s="6">
        <v>45010</v>
      </c>
      <c r="T243" s="5">
        <v>3</v>
      </c>
      <c r="U243" s="5">
        <v>2</v>
      </c>
      <c r="V243" s="5" t="s">
        <v>33</v>
      </c>
      <c r="W243" s="5">
        <f t="shared" si="3"/>
        <v>0</v>
      </c>
    </row>
    <row r="244" spans="1:23" ht="15.75" customHeight="1" x14ac:dyDescent="0.25">
      <c r="A244" s="5" t="s">
        <v>497</v>
      </c>
      <c r="B244" s="6">
        <v>45003</v>
      </c>
      <c r="C244" s="5" t="s">
        <v>104</v>
      </c>
      <c r="D244" s="5" t="s">
        <v>74</v>
      </c>
      <c r="E244" s="5" t="s">
        <v>26</v>
      </c>
      <c r="F244" s="5" t="s">
        <v>27</v>
      </c>
      <c r="G244" s="5" t="s">
        <v>124</v>
      </c>
      <c r="H244" s="5" t="s">
        <v>76</v>
      </c>
      <c r="I244" s="5" t="s">
        <v>125</v>
      </c>
      <c r="J244" s="5">
        <v>66519</v>
      </c>
      <c r="K244" s="7">
        <v>109841.41710085505</v>
      </c>
      <c r="L244" s="5">
        <v>3</v>
      </c>
      <c r="M244" s="5">
        <v>0</v>
      </c>
      <c r="N244" s="8">
        <f t="shared" si="0"/>
        <v>329524.25130256516</v>
      </c>
      <c r="O244" s="5">
        <f t="shared" si="1"/>
        <v>199557</v>
      </c>
      <c r="P244" s="5">
        <f t="shared" si="2"/>
        <v>129967.25130256516</v>
      </c>
      <c r="Q244" s="5" t="s">
        <v>83</v>
      </c>
      <c r="R244" s="5" t="s">
        <v>32</v>
      </c>
      <c r="S244" s="6">
        <v>45007</v>
      </c>
      <c r="T244" s="5">
        <v>1</v>
      </c>
      <c r="U244" s="5">
        <v>4</v>
      </c>
      <c r="V244" s="5" t="s">
        <v>33</v>
      </c>
      <c r="W244" s="5">
        <f t="shared" si="3"/>
        <v>0</v>
      </c>
    </row>
    <row r="245" spans="1:23" ht="15.75" customHeight="1" x14ac:dyDescent="0.25">
      <c r="A245" s="5" t="s">
        <v>498</v>
      </c>
      <c r="B245" s="6">
        <v>45003</v>
      </c>
      <c r="C245" s="5" t="s">
        <v>41</v>
      </c>
      <c r="D245" s="5" t="s">
        <v>146</v>
      </c>
      <c r="E245" s="5" t="s">
        <v>49</v>
      </c>
      <c r="F245" s="5" t="s">
        <v>50</v>
      </c>
      <c r="G245" s="5" t="s">
        <v>139</v>
      </c>
      <c r="H245" s="5" t="s">
        <v>76</v>
      </c>
      <c r="I245" s="5" t="s">
        <v>140</v>
      </c>
      <c r="J245" s="5">
        <v>41870</v>
      </c>
      <c r="K245" s="7">
        <v>58576.824827329081</v>
      </c>
      <c r="L245" s="5">
        <v>3</v>
      </c>
      <c r="M245" s="5">
        <v>0</v>
      </c>
      <c r="N245" s="8">
        <f t="shared" si="0"/>
        <v>175730.47448198724</v>
      </c>
      <c r="O245" s="5">
        <f t="shared" si="1"/>
        <v>125610</v>
      </c>
      <c r="P245" s="5">
        <f t="shared" si="2"/>
        <v>50120.474481987243</v>
      </c>
      <c r="Q245" s="5" t="s">
        <v>31</v>
      </c>
      <c r="R245" s="5" t="s">
        <v>32</v>
      </c>
      <c r="S245" s="6">
        <v>45016</v>
      </c>
      <c r="T245" s="5">
        <v>8</v>
      </c>
      <c r="U245" s="5">
        <v>2</v>
      </c>
      <c r="V245" s="5" t="s">
        <v>33</v>
      </c>
      <c r="W245" s="5">
        <f t="shared" si="3"/>
        <v>0</v>
      </c>
    </row>
    <row r="246" spans="1:23" ht="15.75" customHeight="1" x14ac:dyDescent="0.25">
      <c r="A246" s="5" t="s">
        <v>499</v>
      </c>
      <c r="B246" s="6">
        <v>45004</v>
      </c>
      <c r="C246" s="5" t="s">
        <v>500</v>
      </c>
      <c r="D246" s="5" t="s">
        <v>64</v>
      </c>
      <c r="E246" s="5" t="s">
        <v>26</v>
      </c>
      <c r="F246" s="5" t="s">
        <v>27</v>
      </c>
      <c r="G246" s="5" t="s">
        <v>75</v>
      </c>
      <c r="H246" s="5" t="s">
        <v>76</v>
      </c>
      <c r="I246" s="5" t="s">
        <v>77</v>
      </c>
      <c r="J246" s="5">
        <v>857</v>
      </c>
      <c r="K246" s="7">
        <v>1434.1205943868072</v>
      </c>
      <c r="L246" s="5">
        <v>3</v>
      </c>
      <c r="M246" s="5">
        <v>20</v>
      </c>
      <c r="N246" s="8">
        <f t="shared" si="0"/>
        <v>3441.8894265283375</v>
      </c>
      <c r="O246" s="5">
        <f t="shared" si="1"/>
        <v>2571</v>
      </c>
      <c r="P246" s="5">
        <f t="shared" si="2"/>
        <v>870.88942652833748</v>
      </c>
      <c r="Q246" s="5" t="s">
        <v>46</v>
      </c>
      <c r="R246" s="5" t="s">
        <v>32</v>
      </c>
      <c r="S246" s="6">
        <v>45009</v>
      </c>
      <c r="T246" s="5">
        <v>1</v>
      </c>
      <c r="U246" s="5">
        <v>5</v>
      </c>
      <c r="V246" s="5" t="s">
        <v>33</v>
      </c>
      <c r="W246" s="5">
        <f t="shared" si="3"/>
        <v>0</v>
      </c>
    </row>
    <row r="247" spans="1:23" ht="15.75" customHeight="1" x14ac:dyDescent="0.25">
      <c r="A247" s="5" t="s">
        <v>501</v>
      </c>
      <c r="B247" s="6">
        <v>45004</v>
      </c>
      <c r="C247" s="5" t="s">
        <v>502</v>
      </c>
      <c r="D247" s="5" t="s">
        <v>181</v>
      </c>
      <c r="E247" s="5" t="s">
        <v>37</v>
      </c>
      <c r="F247" s="5" t="s">
        <v>38</v>
      </c>
      <c r="G247" s="5" t="s">
        <v>119</v>
      </c>
      <c r="H247" s="5" t="s">
        <v>76</v>
      </c>
      <c r="I247" s="5" t="s">
        <v>120</v>
      </c>
      <c r="J247" s="5">
        <v>50308</v>
      </c>
      <c r="K247" s="7">
        <v>87778.549558582206</v>
      </c>
      <c r="L247" s="5">
        <v>2</v>
      </c>
      <c r="M247" s="5">
        <v>15</v>
      </c>
      <c r="N247" s="8">
        <f t="shared" si="0"/>
        <v>149223.53424958975</v>
      </c>
      <c r="O247" s="5">
        <f t="shared" si="1"/>
        <v>100616</v>
      </c>
      <c r="P247" s="5">
        <f t="shared" si="2"/>
        <v>48607.534249589749</v>
      </c>
      <c r="Q247" s="5" t="s">
        <v>83</v>
      </c>
      <c r="R247" s="5" t="s">
        <v>32</v>
      </c>
      <c r="S247" s="6">
        <v>45019</v>
      </c>
      <c r="T247" s="5">
        <v>8</v>
      </c>
      <c r="U247" s="5">
        <v>3</v>
      </c>
      <c r="V247" s="5" t="s">
        <v>33</v>
      </c>
      <c r="W247" s="5">
        <f t="shared" si="3"/>
        <v>0</v>
      </c>
    </row>
    <row r="248" spans="1:23" ht="15.75" customHeight="1" x14ac:dyDescent="0.25">
      <c r="A248" s="5" t="s">
        <v>503</v>
      </c>
      <c r="B248" s="6">
        <v>45005</v>
      </c>
      <c r="C248" s="5" t="s">
        <v>504</v>
      </c>
      <c r="D248" s="5" t="s">
        <v>150</v>
      </c>
      <c r="E248" s="5" t="s">
        <v>37</v>
      </c>
      <c r="F248" s="5" t="s">
        <v>38</v>
      </c>
      <c r="G248" s="5" t="s">
        <v>70</v>
      </c>
      <c r="H248" s="5" t="s">
        <v>44</v>
      </c>
      <c r="I248" s="5" t="s">
        <v>71</v>
      </c>
      <c r="J248" s="5">
        <v>1548</v>
      </c>
      <c r="K248" s="7">
        <v>2650.6304204863272</v>
      </c>
      <c r="L248" s="5">
        <v>5</v>
      </c>
      <c r="M248" s="5">
        <v>5</v>
      </c>
      <c r="N248" s="8">
        <f t="shared" si="0"/>
        <v>12590.494497310054</v>
      </c>
      <c r="O248" s="5">
        <f t="shared" si="1"/>
        <v>7740</v>
      </c>
      <c r="P248" s="5">
        <f t="shared" si="2"/>
        <v>4850.4944973100537</v>
      </c>
      <c r="Q248" s="5" t="s">
        <v>39</v>
      </c>
      <c r="R248" s="5" t="s">
        <v>32</v>
      </c>
      <c r="S248" s="6">
        <v>45011</v>
      </c>
      <c r="T248" s="5">
        <v>1</v>
      </c>
      <c r="U248" s="5">
        <v>5</v>
      </c>
      <c r="V248" s="5" t="s">
        <v>33</v>
      </c>
      <c r="W248" s="5">
        <f t="shared" si="3"/>
        <v>0</v>
      </c>
    </row>
    <row r="249" spans="1:23" ht="15.75" customHeight="1" x14ac:dyDescent="0.25">
      <c r="A249" s="5" t="s">
        <v>505</v>
      </c>
      <c r="B249" s="6">
        <v>45005</v>
      </c>
      <c r="C249" s="5" t="s">
        <v>506</v>
      </c>
      <c r="D249" s="5" t="s">
        <v>53</v>
      </c>
      <c r="E249" s="5" t="s">
        <v>69</v>
      </c>
      <c r="F249" s="5" t="s">
        <v>55</v>
      </c>
      <c r="G249" s="5" t="s">
        <v>75</v>
      </c>
      <c r="H249" s="5" t="s">
        <v>76</v>
      </c>
      <c r="I249" s="5" t="s">
        <v>77</v>
      </c>
      <c r="J249" s="5">
        <v>1731</v>
      </c>
      <c r="K249" s="7">
        <v>3016.7349737794389</v>
      </c>
      <c r="L249" s="5">
        <v>2</v>
      </c>
      <c r="M249" s="5">
        <v>10</v>
      </c>
      <c r="N249" s="8">
        <f t="shared" si="0"/>
        <v>5430.1229528029899</v>
      </c>
      <c r="O249" s="5">
        <f t="shared" si="1"/>
        <v>3462</v>
      </c>
      <c r="P249" s="5">
        <f t="shared" si="2"/>
        <v>1968.1229528029899</v>
      </c>
      <c r="Q249" s="5" t="s">
        <v>83</v>
      </c>
      <c r="R249" s="5" t="s">
        <v>32</v>
      </c>
      <c r="S249" s="6">
        <v>45011</v>
      </c>
      <c r="T249" s="5">
        <v>2</v>
      </c>
      <c r="U249" s="5">
        <v>4</v>
      </c>
      <c r="V249" s="5" t="s">
        <v>33</v>
      </c>
      <c r="W249" s="5">
        <f t="shared" si="3"/>
        <v>0</v>
      </c>
    </row>
    <row r="250" spans="1:23" ht="15.75" customHeight="1" x14ac:dyDescent="0.25">
      <c r="A250" s="5" t="s">
        <v>507</v>
      </c>
      <c r="B250" s="6">
        <v>45005</v>
      </c>
      <c r="C250" s="5" t="s">
        <v>439</v>
      </c>
      <c r="D250" s="5" t="s">
        <v>138</v>
      </c>
      <c r="E250" s="5" t="s">
        <v>54</v>
      </c>
      <c r="F250" s="5" t="s">
        <v>55</v>
      </c>
      <c r="G250" s="5" t="s">
        <v>43</v>
      </c>
      <c r="H250" s="5" t="s">
        <v>44</v>
      </c>
      <c r="I250" s="5" t="s">
        <v>45</v>
      </c>
      <c r="J250" s="5">
        <v>410</v>
      </c>
      <c r="K250" s="7">
        <v>701.30579036210349</v>
      </c>
      <c r="L250" s="5">
        <v>3</v>
      </c>
      <c r="M250" s="5">
        <v>0</v>
      </c>
      <c r="N250" s="8">
        <f t="shared" si="0"/>
        <v>2103.9173710863106</v>
      </c>
      <c r="O250" s="5">
        <f t="shared" si="1"/>
        <v>1230</v>
      </c>
      <c r="P250" s="5">
        <f t="shared" si="2"/>
        <v>873.9173710863106</v>
      </c>
      <c r="Q250" s="5" t="s">
        <v>83</v>
      </c>
      <c r="R250" s="5" t="s">
        <v>56</v>
      </c>
      <c r="T250" s="5">
        <v>8</v>
      </c>
      <c r="U250" s="5">
        <v>4</v>
      </c>
      <c r="W250" s="5">
        <f t="shared" si="3"/>
        <v>0</v>
      </c>
    </row>
    <row r="251" spans="1:23" ht="15.75" customHeight="1" x14ac:dyDescent="0.25">
      <c r="A251" s="5" t="s">
        <v>508</v>
      </c>
      <c r="B251" s="6">
        <v>45006</v>
      </c>
      <c r="C251" s="5" t="s">
        <v>509</v>
      </c>
      <c r="D251" s="5" t="s">
        <v>53</v>
      </c>
      <c r="E251" s="5" t="s">
        <v>26</v>
      </c>
      <c r="F251" s="5" t="s">
        <v>27</v>
      </c>
      <c r="G251" s="5" t="s">
        <v>106</v>
      </c>
      <c r="H251" s="5" t="s">
        <v>98</v>
      </c>
      <c r="I251" s="5" t="s">
        <v>107</v>
      </c>
      <c r="J251" s="5">
        <v>810</v>
      </c>
      <c r="K251" s="7">
        <v>811.01729568867484</v>
      </c>
      <c r="L251" s="5">
        <v>2</v>
      </c>
      <c r="M251" s="5">
        <v>5</v>
      </c>
      <c r="N251" s="8">
        <f t="shared" si="0"/>
        <v>1540.9328618084821</v>
      </c>
      <c r="O251" s="5">
        <f t="shared" si="1"/>
        <v>1620</v>
      </c>
      <c r="P251" s="5">
        <f t="shared" si="2"/>
        <v>-79.06713819151787</v>
      </c>
      <c r="Q251" s="5" t="s">
        <v>31</v>
      </c>
      <c r="R251" s="5" t="s">
        <v>32</v>
      </c>
      <c r="S251" s="6">
        <v>45012</v>
      </c>
      <c r="T251" s="5">
        <v>2</v>
      </c>
      <c r="U251" s="5">
        <v>5</v>
      </c>
      <c r="V251" s="5" t="s">
        <v>33</v>
      </c>
      <c r="W251" s="5">
        <f t="shared" si="3"/>
        <v>0</v>
      </c>
    </row>
    <row r="252" spans="1:23" ht="15.75" customHeight="1" x14ac:dyDescent="0.25">
      <c r="A252" s="5" t="s">
        <v>510</v>
      </c>
      <c r="B252" s="6">
        <v>45006</v>
      </c>
      <c r="C252" s="5" t="s">
        <v>511</v>
      </c>
      <c r="D252" s="5" t="s">
        <v>146</v>
      </c>
      <c r="E252" s="5" t="s">
        <v>60</v>
      </c>
      <c r="F252" s="5" t="s">
        <v>61</v>
      </c>
      <c r="G252" s="5" t="s">
        <v>119</v>
      </c>
      <c r="H252" s="5" t="s">
        <v>76</v>
      </c>
      <c r="I252" s="5" t="s">
        <v>120</v>
      </c>
      <c r="J252" s="5">
        <v>26200</v>
      </c>
      <c r="K252" s="7">
        <v>31560.415241546685</v>
      </c>
      <c r="L252" s="5">
        <v>2</v>
      </c>
      <c r="M252" s="5">
        <v>15</v>
      </c>
      <c r="N252" s="8">
        <f t="shared" si="0"/>
        <v>53652.70591062936</v>
      </c>
      <c r="O252" s="5">
        <f t="shared" si="1"/>
        <v>52400</v>
      </c>
      <c r="P252" s="5">
        <f t="shared" si="2"/>
        <v>1252.70591062936</v>
      </c>
      <c r="Q252" s="5" t="s">
        <v>46</v>
      </c>
      <c r="R252" s="5" t="s">
        <v>56</v>
      </c>
      <c r="T252" s="5">
        <v>10</v>
      </c>
      <c r="U252" s="5">
        <v>1</v>
      </c>
      <c r="W252" s="5">
        <f t="shared" si="3"/>
        <v>0</v>
      </c>
    </row>
    <row r="253" spans="1:23" ht="15.75" customHeight="1" x14ac:dyDescent="0.25">
      <c r="A253" s="5" t="s">
        <v>512</v>
      </c>
      <c r="B253" s="6">
        <v>45006</v>
      </c>
      <c r="C253" s="5" t="s">
        <v>145</v>
      </c>
      <c r="D253" s="5" t="s">
        <v>135</v>
      </c>
      <c r="E253" s="5" t="s">
        <v>80</v>
      </c>
      <c r="F253" s="5" t="s">
        <v>80</v>
      </c>
      <c r="G253" s="5" t="s">
        <v>87</v>
      </c>
      <c r="H253" s="5" t="s">
        <v>29</v>
      </c>
      <c r="I253" s="5" t="s">
        <v>88</v>
      </c>
      <c r="J253" s="5">
        <v>55708</v>
      </c>
      <c r="K253" s="7">
        <v>67125.803066450477</v>
      </c>
      <c r="L253" s="5">
        <v>2</v>
      </c>
      <c r="M253" s="5">
        <v>5</v>
      </c>
      <c r="N253" s="8">
        <f t="shared" si="0"/>
        <v>127539.02582625589</v>
      </c>
      <c r="O253" s="5">
        <f t="shared" si="1"/>
        <v>111416</v>
      </c>
      <c r="P253" s="5">
        <f t="shared" si="2"/>
        <v>16123.025826255893</v>
      </c>
      <c r="Q253" s="5" t="s">
        <v>46</v>
      </c>
      <c r="R253" s="5" t="s">
        <v>56</v>
      </c>
      <c r="T253" s="5">
        <v>9</v>
      </c>
      <c r="U253" s="5">
        <v>1</v>
      </c>
      <c r="W253" s="5">
        <f t="shared" si="3"/>
        <v>0</v>
      </c>
    </row>
    <row r="254" spans="1:23" ht="15.75" customHeight="1" x14ac:dyDescent="0.25">
      <c r="A254" s="5" t="s">
        <v>513</v>
      </c>
      <c r="B254" s="6">
        <v>45007</v>
      </c>
      <c r="C254" s="5" t="s">
        <v>387</v>
      </c>
      <c r="D254" s="5" t="s">
        <v>184</v>
      </c>
      <c r="E254" s="5" t="s">
        <v>37</v>
      </c>
      <c r="F254" s="5" t="s">
        <v>38</v>
      </c>
      <c r="G254" s="5" t="s">
        <v>28</v>
      </c>
      <c r="H254" s="5" t="s">
        <v>29</v>
      </c>
      <c r="I254" s="5" t="s">
        <v>30</v>
      </c>
      <c r="J254" s="5">
        <v>6037</v>
      </c>
      <c r="K254" s="7">
        <v>9149.2283763689684</v>
      </c>
      <c r="L254" s="5">
        <v>1</v>
      </c>
      <c r="M254" s="5">
        <v>0</v>
      </c>
      <c r="N254" s="8">
        <f t="shared" si="0"/>
        <v>9149.2283763689684</v>
      </c>
      <c r="O254" s="5">
        <f t="shared" si="1"/>
        <v>6037</v>
      </c>
      <c r="P254" s="5">
        <f t="shared" si="2"/>
        <v>3112.2283763689684</v>
      </c>
      <c r="Q254" s="5" t="s">
        <v>46</v>
      </c>
      <c r="R254" s="5" t="s">
        <v>56</v>
      </c>
      <c r="T254" s="5">
        <v>10</v>
      </c>
      <c r="U254" s="5">
        <v>1</v>
      </c>
      <c r="W254" s="5">
        <f t="shared" si="3"/>
        <v>0</v>
      </c>
    </row>
    <row r="255" spans="1:23" ht="15.75" customHeight="1" x14ac:dyDescent="0.25">
      <c r="A255" s="5" t="s">
        <v>514</v>
      </c>
      <c r="B255" s="6">
        <v>45007</v>
      </c>
      <c r="C255" s="5" t="s">
        <v>515</v>
      </c>
      <c r="D255" s="5" t="s">
        <v>184</v>
      </c>
      <c r="E255" s="5" t="s">
        <v>49</v>
      </c>
      <c r="F255" s="5" t="s">
        <v>50</v>
      </c>
      <c r="G255" s="5" t="s">
        <v>75</v>
      </c>
      <c r="H255" s="5" t="s">
        <v>76</v>
      </c>
      <c r="I255" s="5" t="s">
        <v>77</v>
      </c>
      <c r="J255" s="5">
        <v>507</v>
      </c>
      <c r="K255" s="7">
        <v>698.43012883772712</v>
      </c>
      <c r="L255" s="5">
        <v>3</v>
      </c>
      <c r="M255" s="5">
        <v>20</v>
      </c>
      <c r="N255" s="8">
        <f t="shared" si="0"/>
        <v>1676.2323092105451</v>
      </c>
      <c r="O255" s="5">
        <f t="shared" si="1"/>
        <v>1521</v>
      </c>
      <c r="P255" s="5">
        <f t="shared" si="2"/>
        <v>155.23230921054505</v>
      </c>
      <c r="Q255" s="5" t="s">
        <v>83</v>
      </c>
      <c r="R255" s="5" t="s">
        <v>32</v>
      </c>
      <c r="S255" s="6">
        <v>45013</v>
      </c>
      <c r="T255" s="5">
        <v>1</v>
      </c>
      <c r="U255" s="5">
        <v>5</v>
      </c>
      <c r="V255" s="5" t="s">
        <v>33</v>
      </c>
      <c r="W255" s="5">
        <f t="shared" si="3"/>
        <v>0</v>
      </c>
    </row>
    <row r="256" spans="1:23" ht="15.75" customHeight="1" x14ac:dyDescent="0.25">
      <c r="A256" s="5" t="s">
        <v>516</v>
      </c>
      <c r="B256" s="6">
        <v>45007</v>
      </c>
      <c r="C256" s="5" t="s">
        <v>35</v>
      </c>
      <c r="D256" s="5" t="s">
        <v>184</v>
      </c>
      <c r="E256" s="5" t="s">
        <v>80</v>
      </c>
      <c r="F256" s="5" t="s">
        <v>80</v>
      </c>
      <c r="G256" s="5" t="s">
        <v>92</v>
      </c>
      <c r="H256" s="5" t="s">
        <v>44</v>
      </c>
      <c r="I256" s="5" t="s">
        <v>45</v>
      </c>
      <c r="J256" s="5">
        <v>1437</v>
      </c>
      <c r="K256" s="7">
        <v>1805.5733822164932</v>
      </c>
      <c r="L256" s="5">
        <v>4</v>
      </c>
      <c r="M256" s="5">
        <v>15</v>
      </c>
      <c r="N256" s="8">
        <f t="shared" si="0"/>
        <v>6138.9494995360765</v>
      </c>
      <c r="O256" s="5">
        <f t="shared" si="1"/>
        <v>5748</v>
      </c>
      <c r="P256" s="5">
        <f t="shared" si="2"/>
        <v>390.94949953607647</v>
      </c>
      <c r="Q256" s="5" t="s">
        <v>83</v>
      </c>
      <c r="R256" s="5" t="s">
        <v>32</v>
      </c>
      <c r="S256" s="6">
        <v>45015</v>
      </c>
      <c r="T256" s="5">
        <v>1</v>
      </c>
      <c r="U256" s="5">
        <v>5</v>
      </c>
      <c r="V256" s="5" t="s">
        <v>33</v>
      </c>
      <c r="W256" s="5">
        <f t="shared" si="3"/>
        <v>0</v>
      </c>
    </row>
    <row r="257" spans="1:23" ht="15.75" customHeight="1" x14ac:dyDescent="0.25">
      <c r="A257" s="5" t="s">
        <v>517</v>
      </c>
      <c r="B257" s="6">
        <v>45007</v>
      </c>
      <c r="C257" s="5" t="s">
        <v>66</v>
      </c>
      <c r="D257" s="5" t="s">
        <v>53</v>
      </c>
      <c r="E257" s="5" t="s">
        <v>37</v>
      </c>
      <c r="F257" s="5" t="s">
        <v>38</v>
      </c>
      <c r="G257" s="5" t="s">
        <v>70</v>
      </c>
      <c r="H257" s="5" t="s">
        <v>44</v>
      </c>
      <c r="I257" s="5" t="s">
        <v>71</v>
      </c>
      <c r="J257" s="5">
        <v>1568</v>
      </c>
      <c r="K257" s="7">
        <v>2337.5615525572925</v>
      </c>
      <c r="L257" s="5">
        <v>1</v>
      </c>
      <c r="M257" s="5">
        <v>0</v>
      </c>
      <c r="N257" s="8">
        <f t="shared" si="0"/>
        <v>2337.5615525572925</v>
      </c>
      <c r="O257" s="5">
        <f t="shared" si="1"/>
        <v>1568</v>
      </c>
      <c r="P257" s="5">
        <f t="shared" si="2"/>
        <v>769.56155255729254</v>
      </c>
      <c r="Q257" s="5" t="s">
        <v>46</v>
      </c>
      <c r="R257" s="5" t="s">
        <v>56</v>
      </c>
      <c r="T257" s="5">
        <v>8</v>
      </c>
      <c r="U257" s="5">
        <v>3</v>
      </c>
      <c r="W257" s="5">
        <f t="shared" si="3"/>
        <v>0</v>
      </c>
    </row>
    <row r="258" spans="1:23" ht="15.75" customHeight="1" x14ac:dyDescent="0.25">
      <c r="A258" s="5" t="s">
        <v>518</v>
      </c>
      <c r="B258" s="6">
        <v>45007</v>
      </c>
      <c r="C258" s="5" t="s">
        <v>406</v>
      </c>
      <c r="D258" s="5" t="s">
        <v>64</v>
      </c>
      <c r="E258" s="5" t="s">
        <v>54</v>
      </c>
      <c r="F258" s="5" t="s">
        <v>55</v>
      </c>
      <c r="G258" s="5" t="s">
        <v>43</v>
      </c>
      <c r="H258" s="5" t="s">
        <v>44</v>
      </c>
      <c r="I258" s="5" t="s">
        <v>45</v>
      </c>
      <c r="J258" s="5">
        <v>584</v>
      </c>
      <c r="K258" s="7">
        <v>826.96894670032304</v>
      </c>
      <c r="L258" s="5">
        <v>5</v>
      </c>
      <c r="M258" s="5">
        <v>0</v>
      </c>
      <c r="N258" s="8">
        <f t="shared" si="0"/>
        <v>4134.8447335016153</v>
      </c>
      <c r="O258" s="5">
        <f t="shared" si="1"/>
        <v>2920</v>
      </c>
      <c r="P258" s="5">
        <f t="shared" si="2"/>
        <v>1214.8447335016153</v>
      </c>
      <c r="Q258" s="5" t="s">
        <v>39</v>
      </c>
      <c r="R258" s="5" t="s">
        <v>32</v>
      </c>
      <c r="S258" s="6">
        <v>45015</v>
      </c>
      <c r="T258" s="5">
        <v>5</v>
      </c>
      <c r="U258" s="5">
        <v>3</v>
      </c>
      <c r="V258" s="5" t="s">
        <v>33</v>
      </c>
      <c r="W258" s="5">
        <f t="shared" si="3"/>
        <v>0</v>
      </c>
    </row>
    <row r="259" spans="1:23" ht="15.75" customHeight="1" x14ac:dyDescent="0.25">
      <c r="A259" s="5" t="s">
        <v>519</v>
      </c>
      <c r="B259" s="6">
        <v>45008</v>
      </c>
      <c r="C259" s="5" t="s">
        <v>207</v>
      </c>
      <c r="D259" s="5" t="s">
        <v>59</v>
      </c>
      <c r="E259" s="5" t="s">
        <v>112</v>
      </c>
      <c r="F259" s="5" t="s">
        <v>113</v>
      </c>
      <c r="G259" s="5" t="s">
        <v>81</v>
      </c>
      <c r="H259" s="5" t="s">
        <v>44</v>
      </c>
      <c r="I259" s="5" t="s">
        <v>82</v>
      </c>
      <c r="J259" s="5">
        <v>2147</v>
      </c>
      <c r="K259" s="7">
        <v>2646.4636951374123</v>
      </c>
      <c r="L259" s="5">
        <v>2</v>
      </c>
      <c r="M259" s="5">
        <v>0</v>
      </c>
      <c r="N259" s="8">
        <f t="shared" si="0"/>
        <v>5292.9273902748246</v>
      </c>
      <c r="O259" s="5">
        <f t="shared" si="1"/>
        <v>4294</v>
      </c>
      <c r="P259" s="5">
        <f t="shared" si="2"/>
        <v>998.92739027482457</v>
      </c>
      <c r="Q259" s="5" t="s">
        <v>46</v>
      </c>
      <c r="R259" s="5" t="s">
        <v>32</v>
      </c>
      <c r="S259" s="6">
        <v>45014</v>
      </c>
      <c r="T259" s="5">
        <v>1</v>
      </c>
      <c r="U259" s="5">
        <v>4</v>
      </c>
      <c r="V259" s="5" t="s">
        <v>33</v>
      </c>
      <c r="W259" s="5">
        <f t="shared" si="3"/>
        <v>0</v>
      </c>
    </row>
    <row r="260" spans="1:23" ht="15.75" customHeight="1" x14ac:dyDescent="0.25">
      <c r="A260" s="5" t="s">
        <v>520</v>
      </c>
      <c r="B260" s="6">
        <v>45008</v>
      </c>
      <c r="C260" s="5" t="s">
        <v>521</v>
      </c>
      <c r="D260" s="5" t="s">
        <v>53</v>
      </c>
      <c r="E260" s="5" t="s">
        <v>37</v>
      </c>
      <c r="F260" s="5" t="s">
        <v>38</v>
      </c>
      <c r="G260" s="5" t="s">
        <v>75</v>
      </c>
      <c r="H260" s="5" t="s">
        <v>76</v>
      </c>
      <c r="I260" s="5" t="s">
        <v>77</v>
      </c>
      <c r="J260" s="5">
        <v>740</v>
      </c>
      <c r="K260" s="7">
        <v>1075.7251424969859</v>
      </c>
      <c r="L260" s="5">
        <v>1</v>
      </c>
      <c r="M260" s="5">
        <v>10</v>
      </c>
      <c r="N260" s="8">
        <f t="shared" si="0"/>
        <v>968.15262824728734</v>
      </c>
      <c r="O260" s="5">
        <f t="shared" si="1"/>
        <v>740</v>
      </c>
      <c r="P260" s="5">
        <f t="shared" si="2"/>
        <v>228.15262824728734</v>
      </c>
      <c r="Q260" s="5" t="s">
        <v>39</v>
      </c>
      <c r="R260" s="5" t="s">
        <v>56</v>
      </c>
      <c r="T260" s="5">
        <v>7</v>
      </c>
      <c r="U260" s="5">
        <v>3</v>
      </c>
      <c r="W260" s="5">
        <f t="shared" si="3"/>
        <v>0</v>
      </c>
    </row>
    <row r="261" spans="1:23" ht="15.75" customHeight="1" x14ac:dyDescent="0.25">
      <c r="A261" s="5" t="s">
        <v>522</v>
      </c>
      <c r="B261" s="6">
        <v>45008</v>
      </c>
      <c r="C261" s="5" t="s">
        <v>376</v>
      </c>
      <c r="D261" s="5" t="s">
        <v>181</v>
      </c>
      <c r="E261" s="5" t="s">
        <v>80</v>
      </c>
      <c r="F261" s="5" t="s">
        <v>80</v>
      </c>
      <c r="G261" s="5" t="s">
        <v>28</v>
      </c>
      <c r="H261" s="5" t="s">
        <v>29</v>
      </c>
      <c r="I261" s="5" t="s">
        <v>30</v>
      </c>
      <c r="J261" s="5">
        <v>3317</v>
      </c>
      <c r="K261" s="7">
        <v>4138.5993927462514</v>
      </c>
      <c r="L261" s="5">
        <v>1</v>
      </c>
      <c r="M261" s="5">
        <v>0</v>
      </c>
      <c r="N261" s="8">
        <f t="shared" si="0"/>
        <v>4138.5993927462514</v>
      </c>
      <c r="O261" s="5">
        <f t="shared" si="1"/>
        <v>3317</v>
      </c>
      <c r="P261" s="5">
        <f t="shared" si="2"/>
        <v>821.5993927462514</v>
      </c>
      <c r="Q261" s="5" t="s">
        <v>39</v>
      </c>
      <c r="R261" s="5" t="s">
        <v>32</v>
      </c>
      <c r="S261" s="6">
        <v>45021</v>
      </c>
      <c r="T261" s="5">
        <v>6</v>
      </c>
      <c r="U261" s="5">
        <v>2</v>
      </c>
      <c r="V261" s="5" t="s">
        <v>33</v>
      </c>
      <c r="W261" s="5">
        <f t="shared" si="3"/>
        <v>0</v>
      </c>
    </row>
    <row r="262" spans="1:23" ht="15.75" customHeight="1" x14ac:dyDescent="0.25">
      <c r="A262" s="5" t="s">
        <v>523</v>
      </c>
      <c r="B262" s="6">
        <v>45008</v>
      </c>
      <c r="C262" s="5" t="s">
        <v>524</v>
      </c>
      <c r="D262" s="5" t="s">
        <v>138</v>
      </c>
      <c r="E262" s="5" t="s">
        <v>69</v>
      </c>
      <c r="F262" s="5" t="s">
        <v>55</v>
      </c>
      <c r="G262" s="5" t="s">
        <v>87</v>
      </c>
      <c r="H262" s="5" t="s">
        <v>29</v>
      </c>
      <c r="I262" s="5" t="s">
        <v>88</v>
      </c>
      <c r="J262" s="5">
        <v>29210</v>
      </c>
      <c r="K262" s="7">
        <v>31007.458570474213</v>
      </c>
      <c r="L262" s="5">
        <v>2</v>
      </c>
      <c r="M262" s="5">
        <v>5</v>
      </c>
      <c r="N262" s="8">
        <f t="shared" si="0"/>
        <v>58914.171283901</v>
      </c>
      <c r="O262" s="5">
        <f t="shared" si="1"/>
        <v>58420</v>
      </c>
      <c r="P262" s="5">
        <f t="shared" si="2"/>
        <v>494.1712839009997</v>
      </c>
      <c r="Q262" s="5" t="s">
        <v>39</v>
      </c>
      <c r="R262" s="5" t="s">
        <v>32</v>
      </c>
      <c r="S262" s="6">
        <v>45016</v>
      </c>
      <c r="T262" s="5">
        <v>4</v>
      </c>
      <c r="U262" s="5">
        <v>2</v>
      </c>
      <c r="V262" s="5" t="s">
        <v>33</v>
      </c>
      <c r="W262" s="5">
        <f t="shared" si="3"/>
        <v>0</v>
      </c>
    </row>
    <row r="263" spans="1:23" ht="15.75" customHeight="1" x14ac:dyDescent="0.25">
      <c r="A263" s="5" t="s">
        <v>525</v>
      </c>
      <c r="B263" s="6">
        <v>45009</v>
      </c>
      <c r="C263" s="5" t="s">
        <v>526</v>
      </c>
      <c r="D263" s="5" t="s">
        <v>64</v>
      </c>
      <c r="E263" s="5" t="s">
        <v>54</v>
      </c>
      <c r="F263" s="5" t="s">
        <v>55</v>
      </c>
      <c r="G263" s="5" t="s">
        <v>106</v>
      </c>
      <c r="H263" s="5" t="s">
        <v>98</v>
      </c>
      <c r="I263" s="5" t="s">
        <v>107</v>
      </c>
      <c r="J263" s="5">
        <v>654</v>
      </c>
      <c r="K263" s="7">
        <v>1103.7972510329425</v>
      </c>
      <c r="L263" s="5">
        <v>2</v>
      </c>
      <c r="M263" s="5">
        <v>20</v>
      </c>
      <c r="N263" s="8">
        <f t="shared" si="0"/>
        <v>1766.0756016527082</v>
      </c>
      <c r="O263" s="5">
        <f t="shared" si="1"/>
        <v>1308</v>
      </c>
      <c r="P263" s="5">
        <f t="shared" si="2"/>
        <v>458.0756016527082</v>
      </c>
      <c r="Q263" s="5" t="s">
        <v>39</v>
      </c>
      <c r="R263" s="5" t="s">
        <v>32</v>
      </c>
      <c r="S263" s="6">
        <v>45019</v>
      </c>
      <c r="T263" s="5">
        <v>6</v>
      </c>
      <c r="U263" s="5">
        <v>4</v>
      </c>
      <c r="V263" s="5" t="s">
        <v>89</v>
      </c>
      <c r="W263" s="5">
        <f t="shared" si="3"/>
        <v>1</v>
      </c>
    </row>
    <row r="264" spans="1:23" ht="15.75" customHeight="1" x14ac:dyDescent="0.25">
      <c r="A264" s="5" t="s">
        <v>527</v>
      </c>
      <c r="B264" s="6">
        <v>45009</v>
      </c>
      <c r="C264" s="5" t="s">
        <v>143</v>
      </c>
      <c r="D264" s="5" t="s">
        <v>208</v>
      </c>
      <c r="E264" s="5" t="s">
        <v>60</v>
      </c>
      <c r="F264" s="5" t="s">
        <v>61</v>
      </c>
      <c r="G264" s="5" t="s">
        <v>70</v>
      </c>
      <c r="H264" s="5" t="s">
        <v>44</v>
      </c>
      <c r="I264" s="5" t="s">
        <v>71</v>
      </c>
      <c r="J264" s="5">
        <v>1774</v>
      </c>
      <c r="K264" s="7">
        <v>2450.8526949143115</v>
      </c>
      <c r="L264" s="5">
        <v>5</v>
      </c>
      <c r="M264" s="5">
        <v>10</v>
      </c>
      <c r="N264" s="8">
        <f t="shared" si="0"/>
        <v>11028.837127114402</v>
      </c>
      <c r="O264" s="5">
        <f t="shared" si="1"/>
        <v>8870</v>
      </c>
      <c r="P264" s="5">
        <f t="shared" si="2"/>
        <v>2158.8371271144024</v>
      </c>
      <c r="Q264" s="5" t="s">
        <v>83</v>
      </c>
      <c r="R264" s="5" t="s">
        <v>56</v>
      </c>
      <c r="T264" s="5">
        <v>10</v>
      </c>
      <c r="U264" s="5">
        <v>1</v>
      </c>
      <c r="W264" s="5">
        <f t="shared" si="3"/>
        <v>0</v>
      </c>
    </row>
    <row r="265" spans="1:23" ht="15.75" customHeight="1" x14ac:dyDescent="0.25">
      <c r="A265" s="5" t="s">
        <v>528</v>
      </c>
      <c r="B265" s="6">
        <v>45009</v>
      </c>
      <c r="C265" s="5" t="s">
        <v>176</v>
      </c>
      <c r="D265" s="5" t="s">
        <v>105</v>
      </c>
      <c r="E265" s="5" t="s">
        <v>26</v>
      </c>
      <c r="F265" s="5" t="s">
        <v>27</v>
      </c>
      <c r="G265" s="5" t="s">
        <v>43</v>
      </c>
      <c r="H265" s="5" t="s">
        <v>44</v>
      </c>
      <c r="I265" s="5" t="s">
        <v>45</v>
      </c>
      <c r="J265" s="5">
        <v>554</v>
      </c>
      <c r="K265" s="7">
        <v>818.37303066096365</v>
      </c>
      <c r="L265" s="5">
        <v>5</v>
      </c>
      <c r="M265" s="5">
        <v>15</v>
      </c>
      <c r="N265" s="8">
        <f t="shared" si="0"/>
        <v>3478.0853803090954</v>
      </c>
      <c r="O265" s="5">
        <f t="shared" si="1"/>
        <v>2770</v>
      </c>
      <c r="P265" s="5">
        <f t="shared" si="2"/>
        <v>708.0853803090954</v>
      </c>
      <c r="Q265" s="5" t="s">
        <v>39</v>
      </c>
      <c r="R265" s="5" t="s">
        <v>32</v>
      </c>
      <c r="S265" s="6">
        <v>45019</v>
      </c>
      <c r="T265" s="5">
        <v>5</v>
      </c>
      <c r="U265" s="5">
        <v>3</v>
      </c>
      <c r="V265" s="5" t="s">
        <v>33</v>
      </c>
      <c r="W265" s="5">
        <f t="shared" si="3"/>
        <v>0</v>
      </c>
    </row>
    <row r="266" spans="1:23" ht="15.75" customHeight="1" x14ac:dyDescent="0.25">
      <c r="A266" s="5" t="s">
        <v>529</v>
      </c>
      <c r="B266" s="6">
        <v>45010</v>
      </c>
      <c r="C266" s="5" t="s">
        <v>109</v>
      </c>
      <c r="D266" s="5" t="s">
        <v>25</v>
      </c>
      <c r="E266" s="5" t="s">
        <v>112</v>
      </c>
      <c r="F266" s="5" t="s">
        <v>113</v>
      </c>
      <c r="G266" s="5" t="s">
        <v>119</v>
      </c>
      <c r="H266" s="5" t="s">
        <v>76</v>
      </c>
      <c r="I266" s="5" t="s">
        <v>120</v>
      </c>
      <c r="J266" s="5">
        <v>35363</v>
      </c>
      <c r="K266" s="7">
        <v>39494.582115325669</v>
      </c>
      <c r="L266" s="5">
        <v>1</v>
      </c>
      <c r="M266" s="5">
        <v>10</v>
      </c>
      <c r="N266" s="8">
        <f t="shared" si="0"/>
        <v>35545.123903793101</v>
      </c>
      <c r="O266" s="5">
        <f t="shared" si="1"/>
        <v>35363</v>
      </c>
      <c r="P266" s="5">
        <f t="shared" si="2"/>
        <v>182.12390379310091</v>
      </c>
      <c r="Q266" s="5" t="s">
        <v>46</v>
      </c>
      <c r="R266" s="5" t="s">
        <v>56</v>
      </c>
      <c r="T266" s="5">
        <v>10</v>
      </c>
      <c r="U266" s="5">
        <v>1</v>
      </c>
      <c r="W266" s="5">
        <f t="shared" si="3"/>
        <v>0</v>
      </c>
    </row>
    <row r="267" spans="1:23" ht="15.75" customHeight="1" x14ac:dyDescent="0.25">
      <c r="A267" s="5" t="s">
        <v>530</v>
      </c>
      <c r="B267" s="6">
        <v>45010</v>
      </c>
      <c r="C267" s="5" t="s">
        <v>496</v>
      </c>
      <c r="D267" s="5" t="s">
        <v>150</v>
      </c>
      <c r="E267" s="5" t="s">
        <v>60</v>
      </c>
      <c r="F267" s="5" t="s">
        <v>61</v>
      </c>
      <c r="G267" s="5" t="s">
        <v>139</v>
      </c>
      <c r="H267" s="5" t="s">
        <v>76</v>
      </c>
      <c r="I267" s="5" t="s">
        <v>140</v>
      </c>
      <c r="J267" s="5">
        <v>38160</v>
      </c>
      <c r="K267" s="7">
        <v>50715.016535861359</v>
      </c>
      <c r="L267" s="5">
        <v>5</v>
      </c>
      <c r="M267" s="5">
        <v>15</v>
      </c>
      <c r="N267" s="8">
        <f t="shared" si="0"/>
        <v>215538.82027741076</v>
      </c>
      <c r="O267" s="5">
        <f t="shared" si="1"/>
        <v>190800</v>
      </c>
      <c r="P267" s="5">
        <f t="shared" si="2"/>
        <v>24738.820277410763</v>
      </c>
      <c r="Q267" s="5" t="s">
        <v>31</v>
      </c>
      <c r="R267" s="5" t="s">
        <v>56</v>
      </c>
      <c r="T267" s="5">
        <v>8</v>
      </c>
      <c r="U267" s="5">
        <v>4</v>
      </c>
      <c r="W267" s="5">
        <f t="shared" si="3"/>
        <v>0</v>
      </c>
    </row>
    <row r="268" spans="1:23" ht="15.75" customHeight="1" x14ac:dyDescent="0.25">
      <c r="A268" s="5" t="s">
        <v>531</v>
      </c>
      <c r="B268" s="6">
        <v>45010</v>
      </c>
      <c r="C268" s="5" t="s">
        <v>532</v>
      </c>
      <c r="D268" s="5" t="s">
        <v>150</v>
      </c>
      <c r="E268" s="5" t="s">
        <v>26</v>
      </c>
      <c r="F268" s="5" t="s">
        <v>27</v>
      </c>
      <c r="G268" s="5" t="s">
        <v>28</v>
      </c>
      <c r="H268" s="5" t="s">
        <v>29</v>
      </c>
      <c r="I268" s="5" t="s">
        <v>30</v>
      </c>
      <c r="J268" s="5">
        <v>4683</v>
      </c>
      <c r="K268" s="7">
        <v>4899.5077069293993</v>
      </c>
      <c r="L268" s="5">
        <v>4</v>
      </c>
      <c r="M268" s="5">
        <v>0</v>
      </c>
      <c r="N268" s="8">
        <f t="shared" si="0"/>
        <v>19598.030827717597</v>
      </c>
      <c r="O268" s="5">
        <f t="shared" si="1"/>
        <v>18732</v>
      </c>
      <c r="P268" s="5">
        <f t="shared" si="2"/>
        <v>866.03082771759728</v>
      </c>
      <c r="Q268" s="5" t="s">
        <v>31</v>
      </c>
      <c r="R268" s="5" t="s">
        <v>32</v>
      </c>
      <c r="S268" s="6">
        <v>45017</v>
      </c>
      <c r="T268" s="5">
        <v>3</v>
      </c>
      <c r="U268" s="5">
        <v>4</v>
      </c>
      <c r="V268" s="5" t="s">
        <v>33</v>
      </c>
      <c r="W268" s="5">
        <f t="shared" si="3"/>
        <v>0</v>
      </c>
    </row>
    <row r="269" spans="1:23" ht="15.75" customHeight="1" x14ac:dyDescent="0.25">
      <c r="A269" s="5" t="s">
        <v>533</v>
      </c>
      <c r="B269" s="6">
        <v>45011</v>
      </c>
      <c r="C269" s="5" t="s">
        <v>534</v>
      </c>
      <c r="D269" s="5" t="s">
        <v>116</v>
      </c>
      <c r="E269" s="5" t="s">
        <v>37</v>
      </c>
      <c r="F269" s="5" t="s">
        <v>38</v>
      </c>
      <c r="G269" s="5" t="s">
        <v>97</v>
      </c>
      <c r="H269" s="5" t="s">
        <v>98</v>
      </c>
      <c r="I269" s="5" t="s">
        <v>99</v>
      </c>
      <c r="J269" s="5">
        <v>583</v>
      </c>
      <c r="K269" s="7">
        <v>981.13013884248119</v>
      </c>
      <c r="L269" s="5">
        <v>1</v>
      </c>
      <c r="M269" s="5">
        <v>20</v>
      </c>
      <c r="N269" s="8">
        <f t="shared" si="0"/>
        <v>784.90411107398495</v>
      </c>
      <c r="O269" s="5">
        <f t="shared" si="1"/>
        <v>583</v>
      </c>
      <c r="P269" s="5">
        <f t="shared" si="2"/>
        <v>201.90411107398495</v>
      </c>
      <c r="Q269" s="5" t="s">
        <v>83</v>
      </c>
      <c r="R269" s="5" t="s">
        <v>32</v>
      </c>
      <c r="S269" s="6">
        <v>45020</v>
      </c>
      <c r="T269" s="5">
        <v>4</v>
      </c>
      <c r="U269" s="5">
        <v>2</v>
      </c>
      <c r="V269" s="5" t="s">
        <v>33</v>
      </c>
      <c r="W269" s="5">
        <f t="shared" si="3"/>
        <v>0</v>
      </c>
    </row>
    <row r="270" spans="1:23" ht="15.75" customHeight="1" x14ac:dyDescent="0.25">
      <c r="A270" s="5" t="s">
        <v>535</v>
      </c>
      <c r="B270" s="6">
        <v>45011</v>
      </c>
      <c r="C270" s="5" t="s">
        <v>536</v>
      </c>
      <c r="D270" s="5" t="s">
        <v>59</v>
      </c>
      <c r="E270" s="5" t="s">
        <v>37</v>
      </c>
      <c r="F270" s="5" t="s">
        <v>38</v>
      </c>
      <c r="G270" s="5" t="s">
        <v>43</v>
      </c>
      <c r="H270" s="5" t="s">
        <v>44</v>
      </c>
      <c r="I270" s="5" t="s">
        <v>45</v>
      </c>
      <c r="J270" s="5">
        <v>351</v>
      </c>
      <c r="K270" s="7">
        <v>407.55455250853061</v>
      </c>
      <c r="L270" s="5">
        <v>1</v>
      </c>
      <c r="M270" s="5">
        <v>5</v>
      </c>
      <c r="N270" s="8">
        <f t="shared" si="0"/>
        <v>387.17682488310408</v>
      </c>
      <c r="O270" s="5">
        <f t="shared" si="1"/>
        <v>351</v>
      </c>
      <c r="P270" s="5">
        <f t="shared" si="2"/>
        <v>36.176824883104075</v>
      </c>
      <c r="Q270" s="5" t="s">
        <v>83</v>
      </c>
      <c r="R270" s="5" t="s">
        <v>56</v>
      </c>
      <c r="T270" s="5">
        <v>10</v>
      </c>
      <c r="U270" s="5">
        <v>1</v>
      </c>
      <c r="W270" s="5">
        <f t="shared" si="3"/>
        <v>0</v>
      </c>
    </row>
    <row r="271" spans="1:23" ht="15.75" customHeight="1" x14ac:dyDescent="0.25">
      <c r="A271" s="5" t="s">
        <v>537</v>
      </c>
      <c r="B271" s="6">
        <v>45011</v>
      </c>
      <c r="C271" s="5" t="s">
        <v>35</v>
      </c>
      <c r="D271" s="5" t="s">
        <v>184</v>
      </c>
      <c r="E271" s="5" t="s">
        <v>69</v>
      </c>
      <c r="F271" s="5" t="s">
        <v>55</v>
      </c>
      <c r="G271" s="5" t="s">
        <v>43</v>
      </c>
      <c r="H271" s="5" t="s">
        <v>44</v>
      </c>
      <c r="I271" s="5" t="s">
        <v>45</v>
      </c>
      <c r="J271" s="5">
        <v>643</v>
      </c>
      <c r="K271" s="7">
        <v>789.09557699982213</v>
      </c>
      <c r="L271" s="5">
        <v>1</v>
      </c>
      <c r="M271" s="5">
        <v>0</v>
      </c>
      <c r="N271" s="8">
        <f t="shared" si="0"/>
        <v>789.09557699982213</v>
      </c>
      <c r="O271" s="5">
        <f t="shared" si="1"/>
        <v>643</v>
      </c>
      <c r="P271" s="5">
        <f t="shared" si="2"/>
        <v>146.09557699982213</v>
      </c>
      <c r="Q271" s="5" t="s">
        <v>46</v>
      </c>
      <c r="R271" s="5" t="s">
        <v>32</v>
      </c>
      <c r="S271" s="6">
        <v>45017</v>
      </c>
      <c r="T271" s="5">
        <v>2</v>
      </c>
      <c r="U271" s="5">
        <v>4</v>
      </c>
      <c r="V271" s="5" t="s">
        <v>33</v>
      </c>
      <c r="W271" s="5">
        <f t="shared" si="3"/>
        <v>0</v>
      </c>
    </row>
    <row r="272" spans="1:23" ht="15.75" customHeight="1" x14ac:dyDescent="0.25">
      <c r="A272" s="5" t="s">
        <v>538</v>
      </c>
      <c r="B272" s="6">
        <v>45011</v>
      </c>
      <c r="C272" s="5" t="s">
        <v>539</v>
      </c>
      <c r="D272" s="5" t="s">
        <v>102</v>
      </c>
      <c r="E272" s="5" t="s">
        <v>80</v>
      </c>
      <c r="F272" s="5" t="s">
        <v>80</v>
      </c>
      <c r="G272" s="5" t="s">
        <v>87</v>
      </c>
      <c r="H272" s="5" t="s">
        <v>29</v>
      </c>
      <c r="I272" s="5" t="s">
        <v>88</v>
      </c>
      <c r="J272" s="5">
        <v>29646</v>
      </c>
      <c r="K272" s="7">
        <v>45263.705026562136</v>
      </c>
      <c r="L272" s="5">
        <v>4</v>
      </c>
      <c r="M272" s="5">
        <v>20</v>
      </c>
      <c r="N272" s="8">
        <f t="shared" si="0"/>
        <v>144843.85608499884</v>
      </c>
      <c r="O272" s="5">
        <f t="shared" si="1"/>
        <v>118584</v>
      </c>
      <c r="P272" s="5">
        <f t="shared" si="2"/>
        <v>26259.856084998843</v>
      </c>
      <c r="Q272" s="5" t="s">
        <v>83</v>
      </c>
      <c r="R272" s="5" t="s">
        <v>32</v>
      </c>
      <c r="S272" s="6">
        <v>45020</v>
      </c>
      <c r="T272" s="5">
        <v>4</v>
      </c>
      <c r="U272" s="5">
        <v>2</v>
      </c>
      <c r="V272" s="5" t="s">
        <v>33</v>
      </c>
      <c r="W272" s="5">
        <f t="shared" si="3"/>
        <v>0</v>
      </c>
    </row>
    <row r="273" spans="1:23" ht="15.75" customHeight="1" x14ac:dyDescent="0.25">
      <c r="A273" s="5" t="s">
        <v>540</v>
      </c>
      <c r="B273" s="6">
        <v>45012</v>
      </c>
      <c r="C273" s="5" t="s">
        <v>334</v>
      </c>
      <c r="D273" s="5" t="s">
        <v>148</v>
      </c>
      <c r="E273" s="5" t="s">
        <v>54</v>
      </c>
      <c r="F273" s="5" t="s">
        <v>55</v>
      </c>
      <c r="G273" s="5" t="s">
        <v>75</v>
      </c>
      <c r="H273" s="5" t="s">
        <v>76</v>
      </c>
      <c r="I273" s="5" t="s">
        <v>77</v>
      </c>
      <c r="J273" s="5">
        <v>611</v>
      </c>
      <c r="K273" s="7">
        <v>1084.1463054246096</v>
      </c>
      <c r="L273" s="5">
        <v>5</v>
      </c>
      <c r="M273" s="5">
        <v>20</v>
      </c>
      <c r="N273" s="8">
        <f t="shared" si="0"/>
        <v>4336.5852216984385</v>
      </c>
      <c r="O273" s="5">
        <f t="shared" si="1"/>
        <v>3055</v>
      </c>
      <c r="P273" s="5">
        <f t="shared" si="2"/>
        <v>1281.5852216984385</v>
      </c>
      <c r="Q273" s="5" t="s">
        <v>46</v>
      </c>
      <c r="R273" s="5" t="s">
        <v>32</v>
      </c>
      <c r="S273" s="6">
        <v>45017</v>
      </c>
      <c r="T273" s="5">
        <v>2</v>
      </c>
      <c r="U273" s="5">
        <v>4</v>
      </c>
      <c r="V273" s="5" t="s">
        <v>33</v>
      </c>
      <c r="W273" s="5">
        <f t="shared" si="3"/>
        <v>0</v>
      </c>
    </row>
    <row r="274" spans="1:23" ht="15.75" customHeight="1" x14ac:dyDescent="0.25">
      <c r="A274" s="5" t="s">
        <v>541</v>
      </c>
      <c r="B274" s="6">
        <v>45012</v>
      </c>
      <c r="C274" s="5" t="s">
        <v>542</v>
      </c>
      <c r="D274" s="5" t="s">
        <v>184</v>
      </c>
      <c r="E274" s="5" t="s">
        <v>60</v>
      </c>
      <c r="F274" s="5" t="s">
        <v>61</v>
      </c>
      <c r="G274" s="5" t="s">
        <v>97</v>
      </c>
      <c r="H274" s="5" t="s">
        <v>98</v>
      </c>
      <c r="I274" s="5" t="s">
        <v>99</v>
      </c>
      <c r="J274" s="5">
        <v>485</v>
      </c>
      <c r="K274" s="7">
        <v>809.91798132643919</v>
      </c>
      <c r="L274" s="5">
        <v>1</v>
      </c>
      <c r="M274" s="5">
        <v>15</v>
      </c>
      <c r="N274" s="8">
        <f t="shared" si="0"/>
        <v>688.43028412747333</v>
      </c>
      <c r="O274" s="5">
        <f t="shared" si="1"/>
        <v>485</v>
      </c>
      <c r="P274" s="5">
        <f t="shared" si="2"/>
        <v>203.43028412747333</v>
      </c>
      <c r="Q274" s="5" t="s">
        <v>46</v>
      </c>
      <c r="R274" s="5" t="s">
        <v>32</v>
      </c>
      <c r="S274" s="6">
        <v>45021</v>
      </c>
      <c r="T274" s="5">
        <v>5</v>
      </c>
      <c r="U274" s="5">
        <v>2</v>
      </c>
      <c r="V274" s="5" t="s">
        <v>33</v>
      </c>
      <c r="W274" s="5">
        <f t="shared" si="3"/>
        <v>0</v>
      </c>
    </row>
    <row r="275" spans="1:23" ht="15.75" customHeight="1" x14ac:dyDescent="0.25">
      <c r="A275" s="5" t="s">
        <v>543</v>
      </c>
      <c r="B275" s="6">
        <v>45013</v>
      </c>
      <c r="C275" s="5" t="s">
        <v>101</v>
      </c>
      <c r="D275" s="5" t="s">
        <v>42</v>
      </c>
      <c r="E275" s="5" t="s">
        <v>54</v>
      </c>
      <c r="F275" s="5" t="s">
        <v>55</v>
      </c>
      <c r="G275" s="5" t="s">
        <v>97</v>
      </c>
      <c r="H275" s="5" t="s">
        <v>98</v>
      </c>
      <c r="I275" s="5" t="s">
        <v>99</v>
      </c>
      <c r="J275" s="5">
        <v>252</v>
      </c>
      <c r="K275" s="7">
        <v>368.43849749459952</v>
      </c>
      <c r="L275" s="5">
        <v>3</v>
      </c>
      <c r="M275" s="5">
        <v>15</v>
      </c>
      <c r="N275" s="8">
        <f t="shared" si="0"/>
        <v>939.51816861122882</v>
      </c>
      <c r="O275" s="5">
        <f t="shared" si="1"/>
        <v>756</v>
      </c>
      <c r="P275" s="5">
        <f t="shared" si="2"/>
        <v>183.51816861122882</v>
      </c>
      <c r="Q275" s="5" t="s">
        <v>83</v>
      </c>
      <c r="R275" s="5" t="s">
        <v>56</v>
      </c>
      <c r="T275" s="5">
        <v>9</v>
      </c>
      <c r="U275" s="5">
        <v>1</v>
      </c>
      <c r="W275" s="5">
        <f t="shared" si="3"/>
        <v>0</v>
      </c>
    </row>
    <row r="276" spans="1:23" ht="15.75" customHeight="1" x14ac:dyDescent="0.25">
      <c r="A276" s="5" t="s">
        <v>544</v>
      </c>
      <c r="B276" s="6">
        <v>45013</v>
      </c>
      <c r="C276" s="5" t="s">
        <v>526</v>
      </c>
      <c r="D276" s="5" t="s">
        <v>208</v>
      </c>
      <c r="E276" s="5" t="s">
        <v>54</v>
      </c>
      <c r="F276" s="5" t="s">
        <v>55</v>
      </c>
      <c r="G276" s="5" t="s">
        <v>92</v>
      </c>
      <c r="H276" s="5" t="s">
        <v>44</v>
      </c>
      <c r="I276" s="5" t="s">
        <v>45</v>
      </c>
      <c r="J276" s="5">
        <v>1494</v>
      </c>
      <c r="K276" s="7">
        <v>2042.5392352023493</v>
      </c>
      <c r="L276" s="5">
        <v>2</v>
      </c>
      <c r="M276" s="5">
        <v>5</v>
      </c>
      <c r="N276" s="8">
        <f t="shared" si="0"/>
        <v>3880.8245468844634</v>
      </c>
      <c r="O276" s="5">
        <f t="shared" si="1"/>
        <v>2988</v>
      </c>
      <c r="P276" s="5">
        <f t="shared" si="2"/>
        <v>892.82454688446342</v>
      </c>
      <c r="Q276" s="5" t="s">
        <v>83</v>
      </c>
      <c r="R276" s="5" t="s">
        <v>32</v>
      </c>
      <c r="S276" s="6">
        <v>45026</v>
      </c>
      <c r="T276" s="5">
        <v>6</v>
      </c>
      <c r="U276" s="5">
        <v>2</v>
      </c>
      <c r="V276" s="5" t="s">
        <v>33</v>
      </c>
      <c r="W276" s="5">
        <f t="shared" si="3"/>
        <v>0</v>
      </c>
    </row>
    <row r="277" spans="1:23" ht="15.75" customHeight="1" x14ac:dyDescent="0.25">
      <c r="A277" s="5" t="s">
        <v>545</v>
      </c>
      <c r="B277" s="6">
        <v>45014</v>
      </c>
      <c r="C277" s="5" t="s">
        <v>361</v>
      </c>
      <c r="D277" s="5" t="s">
        <v>64</v>
      </c>
      <c r="E277" s="5" t="s">
        <v>49</v>
      </c>
      <c r="F277" s="5" t="s">
        <v>50</v>
      </c>
      <c r="G277" s="5" t="s">
        <v>28</v>
      </c>
      <c r="H277" s="5" t="s">
        <v>29</v>
      </c>
      <c r="I277" s="5" t="s">
        <v>30</v>
      </c>
      <c r="J277" s="5">
        <v>3026</v>
      </c>
      <c r="K277" s="7">
        <v>3739.8020743684724</v>
      </c>
      <c r="L277" s="5">
        <v>3</v>
      </c>
      <c r="M277" s="5">
        <v>15</v>
      </c>
      <c r="N277" s="8">
        <f t="shared" si="0"/>
        <v>9536.4952896396044</v>
      </c>
      <c r="O277" s="5">
        <f t="shared" si="1"/>
        <v>9078</v>
      </c>
      <c r="P277" s="5">
        <f t="shared" si="2"/>
        <v>458.49528963960438</v>
      </c>
      <c r="Q277" s="5" t="s">
        <v>83</v>
      </c>
      <c r="R277" s="5" t="s">
        <v>32</v>
      </c>
      <c r="S277" s="6">
        <v>45025</v>
      </c>
      <c r="T277" s="5">
        <v>4</v>
      </c>
      <c r="U277" s="5">
        <v>2</v>
      </c>
      <c r="V277" s="5" t="s">
        <v>33</v>
      </c>
      <c r="W277" s="5">
        <f t="shared" si="3"/>
        <v>0</v>
      </c>
    </row>
    <row r="278" spans="1:23" ht="15.75" customHeight="1" x14ac:dyDescent="0.25">
      <c r="A278" s="5" t="s">
        <v>546</v>
      </c>
      <c r="B278" s="6">
        <v>45015</v>
      </c>
      <c r="C278" s="5" t="s">
        <v>547</v>
      </c>
      <c r="D278" s="5" t="s">
        <v>86</v>
      </c>
      <c r="E278" s="5" t="s">
        <v>54</v>
      </c>
      <c r="F278" s="5" t="s">
        <v>55</v>
      </c>
      <c r="G278" s="5" t="s">
        <v>75</v>
      </c>
      <c r="H278" s="5" t="s">
        <v>76</v>
      </c>
      <c r="I278" s="5" t="s">
        <v>77</v>
      </c>
      <c r="J278" s="5">
        <v>878</v>
      </c>
      <c r="K278" s="7">
        <v>1428.4816293207314</v>
      </c>
      <c r="L278" s="5">
        <v>5</v>
      </c>
      <c r="M278" s="5">
        <v>20</v>
      </c>
      <c r="N278" s="8">
        <f t="shared" si="0"/>
        <v>5713.9265172829255</v>
      </c>
      <c r="O278" s="5">
        <f t="shared" si="1"/>
        <v>4390</v>
      </c>
      <c r="P278" s="5">
        <f t="shared" si="2"/>
        <v>1323.9265172829255</v>
      </c>
      <c r="Q278" s="5" t="s">
        <v>46</v>
      </c>
      <c r="R278" s="5" t="s">
        <v>32</v>
      </c>
      <c r="S278" s="6">
        <v>45024</v>
      </c>
      <c r="T278" s="5">
        <v>5</v>
      </c>
      <c r="U278" s="5">
        <v>3</v>
      </c>
      <c r="V278" s="5" t="s">
        <v>33</v>
      </c>
      <c r="W278" s="5">
        <f t="shared" si="3"/>
        <v>0</v>
      </c>
    </row>
    <row r="279" spans="1:23" ht="15.75" customHeight="1" x14ac:dyDescent="0.25">
      <c r="A279" s="5" t="s">
        <v>548</v>
      </c>
      <c r="B279" s="6">
        <v>45015</v>
      </c>
      <c r="C279" s="5" t="s">
        <v>324</v>
      </c>
      <c r="D279" s="5" t="s">
        <v>148</v>
      </c>
      <c r="E279" s="5" t="s">
        <v>37</v>
      </c>
      <c r="F279" s="5" t="s">
        <v>38</v>
      </c>
      <c r="G279" s="5" t="s">
        <v>87</v>
      </c>
      <c r="H279" s="5" t="s">
        <v>29</v>
      </c>
      <c r="I279" s="5" t="s">
        <v>88</v>
      </c>
      <c r="J279" s="5">
        <v>40880</v>
      </c>
      <c r="K279" s="7">
        <v>66925.014786963351</v>
      </c>
      <c r="L279" s="5">
        <v>1</v>
      </c>
      <c r="M279" s="5">
        <v>20</v>
      </c>
      <c r="N279" s="8">
        <f t="shared" si="0"/>
        <v>53540.011829570685</v>
      </c>
      <c r="O279" s="5">
        <f t="shared" si="1"/>
        <v>40880</v>
      </c>
      <c r="P279" s="5">
        <f t="shared" si="2"/>
        <v>12660.011829570685</v>
      </c>
      <c r="Q279" s="5" t="s">
        <v>83</v>
      </c>
      <c r="R279" s="5" t="s">
        <v>32</v>
      </c>
      <c r="S279" s="6">
        <v>45024</v>
      </c>
      <c r="T279" s="5">
        <v>6</v>
      </c>
      <c r="U279" s="5">
        <v>3</v>
      </c>
      <c r="V279" s="5" t="s">
        <v>33</v>
      </c>
      <c r="W279" s="5">
        <f t="shared" si="3"/>
        <v>0</v>
      </c>
    </row>
    <row r="280" spans="1:23" ht="15.75" customHeight="1" x14ac:dyDescent="0.25">
      <c r="A280" s="5" t="s">
        <v>549</v>
      </c>
      <c r="B280" s="6">
        <v>45015</v>
      </c>
      <c r="C280" s="5" t="s">
        <v>201</v>
      </c>
      <c r="D280" s="5" t="s">
        <v>74</v>
      </c>
      <c r="E280" s="5" t="s">
        <v>60</v>
      </c>
      <c r="F280" s="5" t="s">
        <v>61</v>
      </c>
      <c r="G280" s="5" t="s">
        <v>28</v>
      </c>
      <c r="H280" s="5" t="s">
        <v>29</v>
      </c>
      <c r="I280" s="5" t="s">
        <v>30</v>
      </c>
      <c r="J280" s="5">
        <v>6965</v>
      </c>
      <c r="K280" s="7">
        <v>11136.886605194008</v>
      </c>
      <c r="L280" s="5">
        <v>4</v>
      </c>
      <c r="M280" s="5">
        <v>15</v>
      </c>
      <c r="N280" s="8">
        <f t="shared" si="0"/>
        <v>37865.414457659623</v>
      </c>
      <c r="O280" s="5">
        <f t="shared" si="1"/>
        <v>27860</v>
      </c>
      <c r="P280" s="5">
        <f t="shared" si="2"/>
        <v>10005.414457659623</v>
      </c>
      <c r="Q280" s="5" t="s">
        <v>31</v>
      </c>
      <c r="R280" s="5" t="s">
        <v>56</v>
      </c>
      <c r="T280" s="5">
        <v>7</v>
      </c>
      <c r="U280" s="5">
        <v>2</v>
      </c>
      <c r="W280" s="5">
        <f t="shared" si="3"/>
        <v>0</v>
      </c>
    </row>
    <row r="281" spans="1:23" ht="15.75" customHeight="1" x14ac:dyDescent="0.25">
      <c r="A281" s="5" t="s">
        <v>550</v>
      </c>
      <c r="B281" s="6">
        <v>45016</v>
      </c>
      <c r="C281" s="5" t="s">
        <v>85</v>
      </c>
      <c r="D281" s="5" t="s">
        <v>116</v>
      </c>
      <c r="E281" s="5" t="s">
        <v>49</v>
      </c>
      <c r="F281" s="5" t="s">
        <v>50</v>
      </c>
      <c r="G281" s="5" t="s">
        <v>81</v>
      </c>
      <c r="H281" s="5" t="s">
        <v>44</v>
      </c>
      <c r="I281" s="5" t="s">
        <v>82</v>
      </c>
      <c r="J281" s="5">
        <v>1343</v>
      </c>
      <c r="K281" s="7">
        <v>1854.852457946992</v>
      </c>
      <c r="L281" s="5">
        <v>4</v>
      </c>
      <c r="M281" s="5">
        <v>20</v>
      </c>
      <c r="N281" s="8">
        <f t="shared" si="0"/>
        <v>5935.5278654303747</v>
      </c>
      <c r="O281" s="5">
        <f t="shared" si="1"/>
        <v>5372</v>
      </c>
      <c r="P281" s="5">
        <f t="shared" si="2"/>
        <v>563.52786543037473</v>
      </c>
      <c r="Q281" s="5" t="s">
        <v>83</v>
      </c>
      <c r="R281" s="5" t="s">
        <v>56</v>
      </c>
      <c r="T281" s="5">
        <v>9</v>
      </c>
      <c r="U281" s="5">
        <v>1</v>
      </c>
      <c r="W281" s="5">
        <f t="shared" si="3"/>
        <v>0</v>
      </c>
    </row>
    <row r="282" spans="1:23" ht="15.75" customHeight="1" x14ac:dyDescent="0.25">
      <c r="A282" s="5" t="s">
        <v>551</v>
      </c>
      <c r="B282" s="6">
        <v>45016</v>
      </c>
      <c r="C282" s="5" t="s">
        <v>552</v>
      </c>
      <c r="D282" s="5" t="s">
        <v>208</v>
      </c>
      <c r="E282" s="5" t="s">
        <v>37</v>
      </c>
      <c r="F282" s="5" t="s">
        <v>38</v>
      </c>
      <c r="G282" s="5" t="s">
        <v>81</v>
      </c>
      <c r="H282" s="5" t="s">
        <v>44</v>
      </c>
      <c r="I282" s="5" t="s">
        <v>82</v>
      </c>
      <c r="J282" s="5">
        <v>1325</v>
      </c>
      <c r="K282" s="7">
        <v>1334.6337580381537</v>
      </c>
      <c r="L282" s="5">
        <v>3</v>
      </c>
      <c r="M282" s="5">
        <v>20</v>
      </c>
      <c r="N282" s="8">
        <f t="shared" si="0"/>
        <v>3203.1210192915692</v>
      </c>
      <c r="O282" s="5">
        <f t="shared" si="1"/>
        <v>3975</v>
      </c>
      <c r="P282" s="5">
        <f t="shared" si="2"/>
        <v>-771.87898070843084</v>
      </c>
      <c r="Q282" s="5" t="s">
        <v>83</v>
      </c>
      <c r="R282" s="5" t="s">
        <v>32</v>
      </c>
      <c r="S282" s="6">
        <v>45026</v>
      </c>
      <c r="T282" s="5">
        <v>7</v>
      </c>
      <c r="U282" s="5">
        <v>4</v>
      </c>
      <c r="V282" s="5" t="s">
        <v>89</v>
      </c>
      <c r="W282" s="5">
        <f t="shared" si="3"/>
        <v>1</v>
      </c>
    </row>
    <row r="283" spans="1:23" ht="15.75" customHeight="1" x14ac:dyDescent="0.25">
      <c r="A283" s="5" t="s">
        <v>553</v>
      </c>
      <c r="B283" s="6">
        <v>45016</v>
      </c>
      <c r="C283" s="5" t="s">
        <v>404</v>
      </c>
      <c r="D283" s="5" t="s">
        <v>138</v>
      </c>
      <c r="E283" s="5" t="s">
        <v>26</v>
      </c>
      <c r="F283" s="5" t="s">
        <v>27</v>
      </c>
      <c r="G283" s="5" t="s">
        <v>124</v>
      </c>
      <c r="H283" s="5" t="s">
        <v>76</v>
      </c>
      <c r="I283" s="5" t="s">
        <v>125</v>
      </c>
      <c r="J283" s="5">
        <v>73640</v>
      </c>
      <c r="K283" s="7">
        <v>132436.12942094725</v>
      </c>
      <c r="L283" s="5">
        <v>3</v>
      </c>
      <c r="M283" s="5">
        <v>10</v>
      </c>
      <c r="N283" s="8">
        <f t="shared" si="0"/>
        <v>357577.54943655757</v>
      </c>
      <c r="O283" s="5">
        <f t="shared" si="1"/>
        <v>220920</v>
      </c>
      <c r="P283" s="5">
        <f t="shared" si="2"/>
        <v>136657.54943655757</v>
      </c>
      <c r="Q283" s="5" t="s">
        <v>83</v>
      </c>
      <c r="R283" s="5" t="s">
        <v>56</v>
      </c>
      <c r="T283" s="5">
        <v>7</v>
      </c>
      <c r="U283" s="5">
        <v>2</v>
      </c>
      <c r="W283" s="5">
        <f t="shared" si="3"/>
        <v>0</v>
      </c>
    </row>
    <row r="284" spans="1:23" ht="15.75" customHeight="1" x14ac:dyDescent="0.25">
      <c r="A284" s="5" t="s">
        <v>554</v>
      </c>
      <c r="B284" s="6">
        <v>45017</v>
      </c>
      <c r="C284" s="5" t="s">
        <v>555</v>
      </c>
      <c r="D284" s="5" t="s">
        <v>188</v>
      </c>
      <c r="E284" s="5" t="s">
        <v>80</v>
      </c>
      <c r="F284" s="5" t="s">
        <v>80</v>
      </c>
      <c r="G284" s="5" t="s">
        <v>92</v>
      </c>
      <c r="H284" s="5" t="s">
        <v>44</v>
      </c>
      <c r="I284" s="5" t="s">
        <v>45</v>
      </c>
      <c r="J284" s="5">
        <v>1453</v>
      </c>
      <c r="K284" s="7">
        <v>2460.905615714023</v>
      </c>
      <c r="L284" s="5">
        <v>4</v>
      </c>
      <c r="M284" s="5">
        <v>10</v>
      </c>
      <c r="N284" s="8">
        <f t="shared" si="0"/>
        <v>8859.260216570483</v>
      </c>
      <c r="O284" s="5">
        <f t="shared" si="1"/>
        <v>5812</v>
      </c>
      <c r="P284" s="5">
        <f t="shared" si="2"/>
        <v>3047.260216570483</v>
      </c>
      <c r="Q284" s="5" t="s">
        <v>39</v>
      </c>
      <c r="R284" s="5" t="s">
        <v>32</v>
      </c>
      <c r="S284" s="6">
        <v>45028</v>
      </c>
      <c r="T284" s="5">
        <v>4</v>
      </c>
      <c r="U284" s="5">
        <v>3</v>
      </c>
      <c r="V284" s="5" t="s">
        <v>33</v>
      </c>
      <c r="W284" s="5">
        <f t="shared" si="3"/>
        <v>0</v>
      </c>
    </row>
    <row r="285" spans="1:23" ht="15.75" customHeight="1" x14ac:dyDescent="0.25">
      <c r="A285" s="5" t="s">
        <v>556</v>
      </c>
      <c r="B285" s="6">
        <v>45017</v>
      </c>
      <c r="C285" s="5" t="s">
        <v>265</v>
      </c>
      <c r="D285" s="5" t="s">
        <v>86</v>
      </c>
      <c r="E285" s="5" t="s">
        <v>112</v>
      </c>
      <c r="F285" s="5" t="s">
        <v>113</v>
      </c>
      <c r="G285" s="5" t="s">
        <v>87</v>
      </c>
      <c r="H285" s="5" t="s">
        <v>29</v>
      </c>
      <c r="I285" s="5" t="s">
        <v>88</v>
      </c>
      <c r="J285" s="5">
        <v>49974</v>
      </c>
      <c r="K285" s="7">
        <v>72678.39132907032</v>
      </c>
      <c r="L285" s="5">
        <v>2</v>
      </c>
      <c r="M285" s="5">
        <v>15</v>
      </c>
      <c r="N285" s="8">
        <f t="shared" si="0"/>
        <v>123553.26525941954</v>
      </c>
      <c r="O285" s="5">
        <f t="shared" si="1"/>
        <v>99948</v>
      </c>
      <c r="P285" s="5">
        <f t="shared" si="2"/>
        <v>23605.265259419539</v>
      </c>
      <c r="Q285" s="5" t="s">
        <v>39</v>
      </c>
      <c r="R285" s="5" t="s">
        <v>32</v>
      </c>
      <c r="S285" s="6">
        <v>45026</v>
      </c>
      <c r="T285" s="5">
        <v>6</v>
      </c>
      <c r="U285" s="5">
        <v>4</v>
      </c>
      <c r="V285" s="5" t="s">
        <v>89</v>
      </c>
      <c r="W285" s="5">
        <f t="shared" si="3"/>
        <v>1</v>
      </c>
    </row>
    <row r="286" spans="1:23" ht="15.75" customHeight="1" x14ac:dyDescent="0.25">
      <c r="A286" s="5" t="s">
        <v>557</v>
      </c>
      <c r="B286" s="6">
        <v>45018</v>
      </c>
      <c r="C286" s="5" t="s">
        <v>101</v>
      </c>
      <c r="D286" s="5" t="s">
        <v>188</v>
      </c>
      <c r="E286" s="5" t="s">
        <v>26</v>
      </c>
      <c r="F286" s="5" t="s">
        <v>27</v>
      </c>
      <c r="G286" s="5" t="s">
        <v>92</v>
      </c>
      <c r="H286" s="5" t="s">
        <v>44</v>
      </c>
      <c r="I286" s="5" t="s">
        <v>45</v>
      </c>
      <c r="J286" s="5">
        <v>845</v>
      </c>
      <c r="K286" s="7">
        <v>923.23203957670898</v>
      </c>
      <c r="L286" s="5">
        <v>1</v>
      </c>
      <c r="M286" s="5">
        <v>0</v>
      </c>
      <c r="N286" s="8">
        <f t="shared" si="0"/>
        <v>923.23203957670898</v>
      </c>
      <c r="O286" s="5">
        <f t="shared" si="1"/>
        <v>845</v>
      </c>
      <c r="P286" s="5">
        <f t="shared" si="2"/>
        <v>78.232039576708985</v>
      </c>
      <c r="Q286" s="5" t="s">
        <v>46</v>
      </c>
      <c r="R286" s="5" t="s">
        <v>32</v>
      </c>
      <c r="S286" s="6">
        <v>45033</v>
      </c>
      <c r="T286" s="5">
        <v>8</v>
      </c>
      <c r="U286" s="5">
        <v>3</v>
      </c>
      <c r="V286" s="5" t="s">
        <v>33</v>
      </c>
      <c r="W286" s="5">
        <f t="shared" si="3"/>
        <v>0</v>
      </c>
    </row>
    <row r="287" spans="1:23" ht="15.75" customHeight="1" x14ac:dyDescent="0.25">
      <c r="A287" s="5" t="s">
        <v>558</v>
      </c>
      <c r="B287" s="6">
        <v>45018</v>
      </c>
      <c r="C287" s="5" t="s">
        <v>506</v>
      </c>
      <c r="D287" s="5" t="s">
        <v>181</v>
      </c>
      <c r="E287" s="5" t="s">
        <v>112</v>
      </c>
      <c r="F287" s="5" t="s">
        <v>113</v>
      </c>
      <c r="G287" s="5" t="s">
        <v>97</v>
      </c>
      <c r="H287" s="5" t="s">
        <v>98</v>
      </c>
      <c r="I287" s="5" t="s">
        <v>99</v>
      </c>
      <c r="J287" s="5">
        <v>566</v>
      </c>
      <c r="K287" s="7">
        <v>860.53680766650757</v>
      </c>
      <c r="L287" s="5">
        <v>2</v>
      </c>
      <c r="M287" s="5">
        <v>0</v>
      </c>
      <c r="N287" s="8">
        <f t="shared" si="0"/>
        <v>1721.0736153330151</v>
      </c>
      <c r="O287" s="5">
        <f t="shared" si="1"/>
        <v>1132</v>
      </c>
      <c r="P287" s="5">
        <f t="shared" si="2"/>
        <v>589.07361533301514</v>
      </c>
      <c r="Q287" s="5" t="s">
        <v>83</v>
      </c>
      <c r="R287" s="5" t="s">
        <v>32</v>
      </c>
      <c r="S287" s="6">
        <v>45027</v>
      </c>
      <c r="T287" s="5">
        <v>5</v>
      </c>
      <c r="U287" s="5">
        <v>4</v>
      </c>
      <c r="V287" s="5" t="s">
        <v>33</v>
      </c>
      <c r="W287" s="5">
        <f t="shared" si="3"/>
        <v>0</v>
      </c>
    </row>
    <row r="288" spans="1:23" ht="15.75" customHeight="1" x14ac:dyDescent="0.25">
      <c r="A288" s="5" t="s">
        <v>559</v>
      </c>
      <c r="B288" s="6">
        <v>45018</v>
      </c>
      <c r="C288" s="5" t="s">
        <v>560</v>
      </c>
      <c r="D288" s="5" t="s">
        <v>181</v>
      </c>
      <c r="E288" s="5" t="s">
        <v>112</v>
      </c>
      <c r="F288" s="5" t="s">
        <v>113</v>
      </c>
      <c r="G288" s="5" t="s">
        <v>139</v>
      </c>
      <c r="H288" s="5" t="s">
        <v>76</v>
      </c>
      <c r="I288" s="5" t="s">
        <v>140</v>
      </c>
      <c r="J288" s="5">
        <v>34081</v>
      </c>
      <c r="K288" s="7">
        <v>46809.091706345847</v>
      </c>
      <c r="L288" s="5">
        <v>2</v>
      </c>
      <c r="M288" s="5">
        <v>0</v>
      </c>
      <c r="N288" s="8">
        <f t="shared" si="0"/>
        <v>93618.183412691695</v>
      </c>
      <c r="O288" s="5">
        <f t="shared" si="1"/>
        <v>68162</v>
      </c>
      <c r="P288" s="5">
        <f t="shared" si="2"/>
        <v>25456.183412691695</v>
      </c>
      <c r="Q288" s="5" t="s">
        <v>31</v>
      </c>
      <c r="R288" s="5" t="s">
        <v>56</v>
      </c>
      <c r="T288" s="5">
        <v>10</v>
      </c>
      <c r="U288" s="5">
        <v>1</v>
      </c>
      <c r="W288" s="5">
        <f t="shared" si="3"/>
        <v>0</v>
      </c>
    </row>
    <row r="289" spans="1:23" ht="15.75" customHeight="1" x14ac:dyDescent="0.25">
      <c r="A289" s="5" t="s">
        <v>561</v>
      </c>
      <c r="B289" s="6">
        <v>45019</v>
      </c>
      <c r="C289" s="5" t="s">
        <v>562</v>
      </c>
      <c r="D289" s="5" t="s">
        <v>184</v>
      </c>
      <c r="E289" s="5" t="s">
        <v>60</v>
      </c>
      <c r="F289" s="5" t="s">
        <v>61</v>
      </c>
      <c r="G289" s="5" t="s">
        <v>75</v>
      </c>
      <c r="H289" s="5" t="s">
        <v>76</v>
      </c>
      <c r="I289" s="5" t="s">
        <v>77</v>
      </c>
      <c r="J289" s="5">
        <v>1603</v>
      </c>
      <c r="K289" s="7">
        <v>2085.2398939108684</v>
      </c>
      <c r="L289" s="5">
        <v>2</v>
      </c>
      <c r="M289" s="5">
        <v>0</v>
      </c>
      <c r="N289" s="8">
        <f t="shared" si="0"/>
        <v>4170.4797878217369</v>
      </c>
      <c r="O289" s="5">
        <f t="shared" si="1"/>
        <v>3206</v>
      </c>
      <c r="P289" s="5">
        <f t="shared" si="2"/>
        <v>964.47978782173686</v>
      </c>
      <c r="Q289" s="5" t="s">
        <v>46</v>
      </c>
      <c r="R289" s="5" t="s">
        <v>56</v>
      </c>
      <c r="T289" s="5">
        <v>9</v>
      </c>
      <c r="U289" s="5">
        <v>1</v>
      </c>
      <c r="W289" s="5">
        <f t="shared" si="3"/>
        <v>0</v>
      </c>
    </row>
    <row r="290" spans="1:23" ht="15.75" customHeight="1" x14ac:dyDescent="0.25">
      <c r="A290" s="5" t="s">
        <v>563</v>
      </c>
      <c r="B290" s="6">
        <v>45020</v>
      </c>
      <c r="C290" s="5" t="s">
        <v>321</v>
      </c>
      <c r="D290" s="5" t="s">
        <v>148</v>
      </c>
      <c r="E290" s="5" t="s">
        <v>49</v>
      </c>
      <c r="F290" s="5" t="s">
        <v>50</v>
      </c>
      <c r="G290" s="5" t="s">
        <v>124</v>
      </c>
      <c r="H290" s="5" t="s">
        <v>76</v>
      </c>
      <c r="I290" s="5" t="s">
        <v>125</v>
      </c>
      <c r="J290" s="5">
        <v>58281</v>
      </c>
      <c r="K290" s="7">
        <v>77194.904657467821</v>
      </c>
      <c r="L290" s="5">
        <v>4</v>
      </c>
      <c r="M290" s="5">
        <v>5</v>
      </c>
      <c r="N290" s="8">
        <f t="shared" si="0"/>
        <v>293340.63769837772</v>
      </c>
      <c r="O290" s="5">
        <f t="shared" si="1"/>
        <v>233124</v>
      </c>
      <c r="P290" s="5">
        <f t="shared" si="2"/>
        <v>60216.637698377715</v>
      </c>
      <c r="Q290" s="5" t="s">
        <v>83</v>
      </c>
      <c r="R290" s="5" t="s">
        <v>32</v>
      </c>
      <c r="S290" s="6">
        <v>45033</v>
      </c>
      <c r="T290" s="5">
        <v>7</v>
      </c>
      <c r="U290" s="5">
        <v>4</v>
      </c>
      <c r="V290" s="5" t="s">
        <v>89</v>
      </c>
      <c r="W290" s="5">
        <f t="shared" si="3"/>
        <v>1</v>
      </c>
    </row>
    <row r="291" spans="1:23" ht="15.75" customHeight="1" x14ac:dyDescent="0.25">
      <c r="A291" s="5" t="s">
        <v>564</v>
      </c>
      <c r="B291" s="6">
        <v>45021</v>
      </c>
      <c r="C291" s="5" t="s">
        <v>301</v>
      </c>
      <c r="D291" s="5" t="s">
        <v>36</v>
      </c>
      <c r="E291" s="5" t="s">
        <v>80</v>
      </c>
      <c r="F291" s="5" t="s">
        <v>80</v>
      </c>
      <c r="G291" s="5" t="s">
        <v>139</v>
      </c>
      <c r="H291" s="5" t="s">
        <v>76</v>
      </c>
      <c r="I291" s="5" t="s">
        <v>140</v>
      </c>
      <c r="J291" s="5">
        <v>49827</v>
      </c>
      <c r="K291" s="7">
        <v>84601.106048896094</v>
      </c>
      <c r="L291" s="5">
        <v>4</v>
      </c>
      <c r="M291" s="5">
        <v>0</v>
      </c>
      <c r="N291" s="8">
        <f t="shared" si="0"/>
        <v>338404.42419558438</v>
      </c>
      <c r="O291" s="5">
        <f t="shared" si="1"/>
        <v>199308</v>
      </c>
      <c r="P291" s="5">
        <f t="shared" si="2"/>
        <v>139096.42419558438</v>
      </c>
      <c r="Q291" s="5" t="s">
        <v>31</v>
      </c>
      <c r="R291" s="5" t="s">
        <v>32</v>
      </c>
      <c r="S291" s="6">
        <v>45032</v>
      </c>
      <c r="T291" s="5">
        <v>5</v>
      </c>
      <c r="U291" s="5">
        <v>4</v>
      </c>
      <c r="V291" s="5" t="s">
        <v>33</v>
      </c>
      <c r="W291" s="5">
        <f t="shared" si="3"/>
        <v>0</v>
      </c>
    </row>
    <row r="292" spans="1:23" ht="15.75" customHeight="1" x14ac:dyDescent="0.25">
      <c r="A292" s="5" t="s">
        <v>565</v>
      </c>
      <c r="B292" s="6">
        <v>45022</v>
      </c>
      <c r="C292" s="5" t="s">
        <v>566</v>
      </c>
      <c r="D292" s="5" t="s">
        <v>102</v>
      </c>
      <c r="E292" s="5" t="s">
        <v>49</v>
      </c>
      <c r="F292" s="5" t="s">
        <v>50</v>
      </c>
      <c r="G292" s="5" t="s">
        <v>28</v>
      </c>
      <c r="H292" s="5" t="s">
        <v>29</v>
      </c>
      <c r="I292" s="5" t="s">
        <v>30</v>
      </c>
      <c r="J292" s="5">
        <v>3008</v>
      </c>
      <c r="K292" s="7">
        <v>4417.941908354971</v>
      </c>
      <c r="L292" s="5">
        <v>1</v>
      </c>
      <c r="M292" s="5">
        <v>20</v>
      </c>
      <c r="N292" s="8">
        <f t="shared" si="0"/>
        <v>3534.3535266839772</v>
      </c>
      <c r="O292" s="5">
        <f t="shared" si="1"/>
        <v>3008</v>
      </c>
      <c r="P292" s="5">
        <f t="shared" si="2"/>
        <v>526.35352668397718</v>
      </c>
      <c r="Q292" s="5" t="s">
        <v>39</v>
      </c>
      <c r="R292" s="5" t="s">
        <v>56</v>
      </c>
      <c r="T292" s="5">
        <v>10</v>
      </c>
      <c r="U292" s="5">
        <v>1</v>
      </c>
      <c r="W292" s="5">
        <f t="shared" si="3"/>
        <v>0</v>
      </c>
    </row>
    <row r="293" spans="1:23" ht="15.75" customHeight="1" x14ac:dyDescent="0.25">
      <c r="A293" s="5" t="s">
        <v>567</v>
      </c>
      <c r="B293" s="6">
        <v>45022</v>
      </c>
      <c r="C293" s="5" t="s">
        <v>568</v>
      </c>
      <c r="D293" s="5" t="s">
        <v>42</v>
      </c>
      <c r="E293" s="5" t="s">
        <v>112</v>
      </c>
      <c r="F293" s="5" t="s">
        <v>113</v>
      </c>
      <c r="G293" s="5" t="s">
        <v>75</v>
      </c>
      <c r="H293" s="5" t="s">
        <v>76</v>
      </c>
      <c r="I293" s="5" t="s">
        <v>77</v>
      </c>
      <c r="J293" s="5">
        <v>1403</v>
      </c>
      <c r="K293" s="7">
        <v>2130.8351671217638</v>
      </c>
      <c r="L293" s="5">
        <v>2</v>
      </c>
      <c r="M293" s="5">
        <v>5</v>
      </c>
      <c r="N293" s="8">
        <f t="shared" si="0"/>
        <v>4048.5868175313508</v>
      </c>
      <c r="O293" s="5">
        <f t="shared" si="1"/>
        <v>2806</v>
      </c>
      <c r="P293" s="5">
        <f t="shared" si="2"/>
        <v>1242.5868175313508</v>
      </c>
      <c r="Q293" s="5" t="s">
        <v>31</v>
      </c>
      <c r="R293" s="5" t="s">
        <v>32</v>
      </c>
      <c r="S293" s="6">
        <v>45030</v>
      </c>
      <c r="T293" s="5">
        <v>3</v>
      </c>
      <c r="U293" s="5">
        <v>4</v>
      </c>
      <c r="V293" s="5" t="s">
        <v>33</v>
      </c>
      <c r="W293" s="5">
        <f t="shared" si="3"/>
        <v>0</v>
      </c>
    </row>
    <row r="294" spans="1:23" ht="15.75" customHeight="1" x14ac:dyDescent="0.25">
      <c r="A294" s="5" t="s">
        <v>569</v>
      </c>
      <c r="B294" s="6">
        <v>45022</v>
      </c>
      <c r="C294" s="5" t="s">
        <v>539</v>
      </c>
      <c r="D294" s="5" t="s">
        <v>64</v>
      </c>
      <c r="E294" s="5" t="s">
        <v>26</v>
      </c>
      <c r="F294" s="5" t="s">
        <v>27</v>
      </c>
      <c r="G294" s="5" t="s">
        <v>87</v>
      </c>
      <c r="H294" s="5" t="s">
        <v>29</v>
      </c>
      <c r="I294" s="5" t="s">
        <v>88</v>
      </c>
      <c r="J294" s="5">
        <v>55151</v>
      </c>
      <c r="K294" s="7">
        <v>86616.273372357624</v>
      </c>
      <c r="L294" s="5">
        <v>3</v>
      </c>
      <c r="M294" s="5">
        <v>10</v>
      </c>
      <c r="N294" s="8">
        <f t="shared" si="0"/>
        <v>233863.93810536558</v>
      </c>
      <c r="O294" s="5">
        <f t="shared" si="1"/>
        <v>165453</v>
      </c>
      <c r="P294" s="5">
        <f t="shared" si="2"/>
        <v>68410.938105365582</v>
      </c>
      <c r="Q294" s="5" t="s">
        <v>46</v>
      </c>
      <c r="R294" s="5" t="s">
        <v>56</v>
      </c>
      <c r="T294" s="5">
        <v>9</v>
      </c>
      <c r="U294" s="5">
        <v>1</v>
      </c>
      <c r="W294" s="5">
        <f t="shared" si="3"/>
        <v>0</v>
      </c>
    </row>
    <row r="295" spans="1:23" ht="15.75" customHeight="1" x14ac:dyDescent="0.25">
      <c r="A295" s="5" t="s">
        <v>570</v>
      </c>
      <c r="B295" s="6">
        <v>45023</v>
      </c>
      <c r="C295" s="5" t="s">
        <v>571</v>
      </c>
      <c r="D295" s="5" t="s">
        <v>135</v>
      </c>
      <c r="E295" s="5" t="s">
        <v>26</v>
      </c>
      <c r="F295" s="5" t="s">
        <v>27</v>
      </c>
      <c r="G295" s="5" t="s">
        <v>124</v>
      </c>
      <c r="H295" s="5" t="s">
        <v>76</v>
      </c>
      <c r="I295" s="5" t="s">
        <v>125</v>
      </c>
      <c r="J295" s="5">
        <v>84512</v>
      </c>
      <c r="K295" s="7">
        <v>150867.80380037872</v>
      </c>
      <c r="L295" s="5">
        <v>1</v>
      </c>
      <c r="M295" s="5">
        <v>10</v>
      </c>
      <c r="N295" s="8">
        <f t="shared" si="0"/>
        <v>135781.02342034085</v>
      </c>
      <c r="O295" s="5">
        <f t="shared" si="1"/>
        <v>84512</v>
      </c>
      <c r="P295" s="5">
        <f t="shared" si="2"/>
        <v>51269.023420340847</v>
      </c>
      <c r="Q295" s="5" t="s">
        <v>83</v>
      </c>
      <c r="R295" s="5" t="s">
        <v>32</v>
      </c>
      <c r="S295" s="6">
        <v>45035</v>
      </c>
      <c r="T295" s="5">
        <v>5</v>
      </c>
      <c r="U295" s="5">
        <v>4</v>
      </c>
      <c r="V295" s="5" t="s">
        <v>33</v>
      </c>
      <c r="W295" s="5">
        <f t="shared" si="3"/>
        <v>0</v>
      </c>
    </row>
    <row r="296" spans="1:23" ht="15.75" customHeight="1" x14ac:dyDescent="0.25">
      <c r="A296" s="5" t="s">
        <v>572</v>
      </c>
      <c r="B296" s="6">
        <v>45023</v>
      </c>
      <c r="C296" s="5" t="s">
        <v>272</v>
      </c>
      <c r="D296" s="5" t="s">
        <v>148</v>
      </c>
      <c r="E296" s="5" t="s">
        <v>69</v>
      </c>
      <c r="F296" s="5" t="s">
        <v>55</v>
      </c>
      <c r="G296" s="5" t="s">
        <v>81</v>
      </c>
      <c r="H296" s="5" t="s">
        <v>44</v>
      </c>
      <c r="I296" s="5" t="s">
        <v>82</v>
      </c>
      <c r="J296" s="5">
        <v>2366</v>
      </c>
      <c r="K296" s="7">
        <v>4000.3013991622083</v>
      </c>
      <c r="L296" s="5">
        <v>5</v>
      </c>
      <c r="M296" s="5">
        <v>10</v>
      </c>
      <c r="N296" s="8">
        <f t="shared" si="0"/>
        <v>18001.356296229937</v>
      </c>
      <c r="O296" s="5">
        <f t="shared" si="1"/>
        <v>11830</v>
      </c>
      <c r="P296" s="5">
        <f t="shared" si="2"/>
        <v>6171.3562962299366</v>
      </c>
      <c r="Q296" s="5" t="s">
        <v>31</v>
      </c>
      <c r="R296" s="5" t="s">
        <v>56</v>
      </c>
      <c r="T296" s="5">
        <v>7</v>
      </c>
      <c r="U296" s="5">
        <v>3</v>
      </c>
      <c r="W296" s="5">
        <f t="shared" si="3"/>
        <v>0</v>
      </c>
    </row>
    <row r="297" spans="1:23" ht="15.75" customHeight="1" x14ac:dyDescent="0.25">
      <c r="A297" s="5" t="s">
        <v>573</v>
      </c>
      <c r="B297" s="6">
        <v>45023</v>
      </c>
      <c r="C297" s="5" t="s">
        <v>574</v>
      </c>
      <c r="D297" s="5" t="s">
        <v>74</v>
      </c>
      <c r="E297" s="5" t="s">
        <v>54</v>
      </c>
      <c r="F297" s="5" t="s">
        <v>55</v>
      </c>
      <c r="G297" s="5" t="s">
        <v>70</v>
      </c>
      <c r="H297" s="5" t="s">
        <v>44</v>
      </c>
      <c r="I297" s="5" t="s">
        <v>71</v>
      </c>
      <c r="J297" s="5">
        <v>631</v>
      </c>
      <c r="K297" s="7">
        <v>1020.022016815927</v>
      </c>
      <c r="L297" s="5">
        <v>1</v>
      </c>
      <c r="M297" s="5">
        <v>0</v>
      </c>
      <c r="N297" s="8">
        <f t="shared" si="0"/>
        <v>1020.022016815927</v>
      </c>
      <c r="O297" s="5">
        <f t="shared" si="1"/>
        <v>631</v>
      </c>
      <c r="P297" s="5">
        <f t="shared" si="2"/>
        <v>389.02201681592703</v>
      </c>
      <c r="Q297" s="5" t="s">
        <v>39</v>
      </c>
      <c r="R297" s="5" t="s">
        <v>32</v>
      </c>
      <c r="S297" s="6">
        <v>45032</v>
      </c>
      <c r="T297" s="5">
        <v>6</v>
      </c>
      <c r="U297" s="5">
        <v>2</v>
      </c>
      <c r="V297" s="5" t="s">
        <v>33</v>
      </c>
      <c r="W297" s="5">
        <f t="shared" si="3"/>
        <v>0</v>
      </c>
    </row>
    <row r="298" spans="1:23" ht="15.75" customHeight="1" x14ac:dyDescent="0.25">
      <c r="A298" s="5" t="s">
        <v>575</v>
      </c>
      <c r="B298" s="6">
        <v>45024</v>
      </c>
      <c r="C298" s="5" t="s">
        <v>127</v>
      </c>
      <c r="D298" s="5" t="s">
        <v>208</v>
      </c>
      <c r="E298" s="5" t="s">
        <v>54</v>
      </c>
      <c r="F298" s="5" t="s">
        <v>55</v>
      </c>
      <c r="G298" s="5" t="s">
        <v>119</v>
      </c>
      <c r="H298" s="5" t="s">
        <v>76</v>
      </c>
      <c r="I298" s="5" t="s">
        <v>120</v>
      </c>
      <c r="J298" s="5">
        <v>66546</v>
      </c>
      <c r="K298" s="7">
        <v>84649.797214394071</v>
      </c>
      <c r="L298" s="5">
        <v>3</v>
      </c>
      <c r="M298" s="5">
        <v>10</v>
      </c>
      <c r="N298" s="8">
        <f t="shared" si="0"/>
        <v>228554.452478864</v>
      </c>
      <c r="O298" s="5">
        <f t="shared" si="1"/>
        <v>199638</v>
      </c>
      <c r="P298" s="5">
        <f t="shared" si="2"/>
        <v>28916.452478863997</v>
      </c>
      <c r="Q298" s="5" t="s">
        <v>31</v>
      </c>
      <c r="R298" s="5" t="s">
        <v>56</v>
      </c>
      <c r="T298" s="5">
        <v>10</v>
      </c>
      <c r="U298" s="5">
        <v>1</v>
      </c>
      <c r="W298" s="5">
        <f t="shared" si="3"/>
        <v>0</v>
      </c>
    </row>
    <row r="299" spans="1:23" ht="15.75" customHeight="1" x14ac:dyDescent="0.25">
      <c r="A299" s="5" t="s">
        <v>576</v>
      </c>
      <c r="B299" s="6">
        <v>45024</v>
      </c>
      <c r="C299" s="5" t="s">
        <v>104</v>
      </c>
      <c r="D299" s="5" t="s">
        <v>181</v>
      </c>
      <c r="E299" s="5" t="s">
        <v>37</v>
      </c>
      <c r="F299" s="5" t="s">
        <v>38</v>
      </c>
      <c r="G299" s="5" t="s">
        <v>28</v>
      </c>
      <c r="H299" s="5" t="s">
        <v>29</v>
      </c>
      <c r="I299" s="5" t="s">
        <v>30</v>
      </c>
      <c r="J299" s="5">
        <v>6737</v>
      </c>
      <c r="K299" s="7">
        <v>8399.2516686272666</v>
      </c>
      <c r="L299" s="5">
        <v>2</v>
      </c>
      <c r="M299" s="5">
        <v>5</v>
      </c>
      <c r="N299" s="8">
        <f t="shared" si="0"/>
        <v>15958.578170391806</v>
      </c>
      <c r="O299" s="5">
        <f t="shared" si="1"/>
        <v>13474</v>
      </c>
      <c r="P299" s="5">
        <f t="shared" si="2"/>
        <v>2484.5781703918055</v>
      </c>
      <c r="Q299" s="5" t="s">
        <v>83</v>
      </c>
      <c r="R299" s="5" t="s">
        <v>32</v>
      </c>
      <c r="S299" s="6">
        <v>45033</v>
      </c>
      <c r="T299" s="5">
        <v>5</v>
      </c>
      <c r="U299" s="5">
        <v>3</v>
      </c>
      <c r="V299" s="5" t="s">
        <v>33</v>
      </c>
      <c r="W299" s="5">
        <f t="shared" si="3"/>
        <v>0</v>
      </c>
    </row>
    <row r="300" spans="1:23" ht="15.75" customHeight="1" x14ac:dyDescent="0.25">
      <c r="A300" s="5" t="s">
        <v>577</v>
      </c>
      <c r="B300" s="6">
        <v>45024</v>
      </c>
      <c r="C300" s="5" t="s">
        <v>197</v>
      </c>
      <c r="D300" s="5" t="s">
        <v>36</v>
      </c>
      <c r="E300" s="5" t="s">
        <v>26</v>
      </c>
      <c r="F300" s="5" t="s">
        <v>27</v>
      </c>
      <c r="G300" s="5" t="s">
        <v>119</v>
      </c>
      <c r="H300" s="5" t="s">
        <v>76</v>
      </c>
      <c r="I300" s="5" t="s">
        <v>120</v>
      </c>
      <c r="J300" s="5">
        <v>74359</v>
      </c>
      <c r="K300" s="7">
        <v>81502.969682151015</v>
      </c>
      <c r="L300" s="5">
        <v>2</v>
      </c>
      <c r="M300" s="5">
        <v>0</v>
      </c>
      <c r="N300" s="8">
        <f t="shared" si="0"/>
        <v>163005.93936430203</v>
      </c>
      <c r="O300" s="5">
        <f t="shared" si="1"/>
        <v>148718</v>
      </c>
      <c r="P300" s="5">
        <f t="shared" si="2"/>
        <v>14287.93936430203</v>
      </c>
      <c r="Q300" s="5" t="s">
        <v>31</v>
      </c>
      <c r="R300" s="5" t="s">
        <v>56</v>
      </c>
      <c r="T300" s="5">
        <v>9</v>
      </c>
      <c r="U300" s="5">
        <v>1</v>
      </c>
      <c r="W300" s="5">
        <f t="shared" si="3"/>
        <v>0</v>
      </c>
    </row>
    <row r="301" spans="1:23" ht="15.75" customHeight="1" x14ac:dyDescent="0.25">
      <c r="A301" s="5" t="s">
        <v>578</v>
      </c>
      <c r="B301" s="6">
        <v>45024</v>
      </c>
      <c r="C301" s="5" t="s">
        <v>203</v>
      </c>
      <c r="D301" s="5" t="s">
        <v>36</v>
      </c>
      <c r="E301" s="5" t="s">
        <v>54</v>
      </c>
      <c r="F301" s="5" t="s">
        <v>55</v>
      </c>
      <c r="G301" s="5" t="s">
        <v>106</v>
      </c>
      <c r="H301" s="5" t="s">
        <v>98</v>
      </c>
      <c r="I301" s="5" t="s">
        <v>107</v>
      </c>
      <c r="J301" s="5">
        <v>858</v>
      </c>
      <c r="K301" s="7">
        <v>1492.2845891506047</v>
      </c>
      <c r="L301" s="5">
        <v>1</v>
      </c>
      <c r="M301" s="5">
        <v>10</v>
      </c>
      <c r="N301" s="8">
        <f t="shared" si="0"/>
        <v>1343.0561302355443</v>
      </c>
      <c r="O301" s="5">
        <f t="shared" si="1"/>
        <v>858</v>
      </c>
      <c r="P301" s="5">
        <f t="shared" si="2"/>
        <v>485.05613023554429</v>
      </c>
      <c r="Q301" s="5" t="s">
        <v>31</v>
      </c>
      <c r="R301" s="5" t="s">
        <v>32</v>
      </c>
      <c r="S301" s="6">
        <v>45036</v>
      </c>
      <c r="T301" s="5">
        <v>5</v>
      </c>
      <c r="U301" s="5">
        <v>4</v>
      </c>
      <c r="V301" s="5" t="s">
        <v>33</v>
      </c>
      <c r="W301" s="5">
        <f t="shared" si="3"/>
        <v>0</v>
      </c>
    </row>
    <row r="302" spans="1:23" ht="15.75" customHeight="1" x14ac:dyDescent="0.25">
      <c r="A302" s="5" t="s">
        <v>579</v>
      </c>
      <c r="B302" s="6">
        <v>45025</v>
      </c>
      <c r="C302" s="5" t="s">
        <v>252</v>
      </c>
      <c r="D302" s="5" t="s">
        <v>208</v>
      </c>
      <c r="E302" s="5" t="s">
        <v>112</v>
      </c>
      <c r="F302" s="5" t="s">
        <v>113</v>
      </c>
      <c r="G302" s="5" t="s">
        <v>139</v>
      </c>
      <c r="H302" s="5" t="s">
        <v>76</v>
      </c>
      <c r="I302" s="5" t="s">
        <v>140</v>
      </c>
      <c r="J302" s="5">
        <v>45290</v>
      </c>
      <c r="K302" s="7">
        <v>52730.226423904001</v>
      </c>
      <c r="L302" s="5">
        <v>2</v>
      </c>
      <c r="M302" s="5">
        <v>5</v>
      </c>
      <c r="N302" s="8">
        <f t="shared" si="0"/>
        <v>100187.43020541759</v>
      </c>
      <c r="O302" s="5">
        <f t="shared" si="1"/>
        <v>90580</v>
      </c>
      <c r="P302" s="5">
        <f t="shared" si="2"/>
        <v>9607.4302054175932</v>
      </c>
      <c r="Q302" s="5" t="s">
        <v>83</v>
      </c>
      <c r="R302" s="5" t="s">
        <v>32</v>
      </c>
      <c r="S302" s="6">
        <v>45035</v>
      </c>
      <c r="T302" s="5">
        <v>5</v>
      </c>
      <c r="U302" s="5">
        <v>4</v>
      </c>
      <c r="V302" s="5" t="s">
        <v>33</v>
      </c>
      <c r="W302" s="5">
        <f t="shared" si="3"/>
        <v>0</v>
      </c>
    </row>
    <row r="303" spans="1:23" ht="15.75" customHeight="1" x14ac:dyDescent="0.25">
      <c r="A303" s="5" t="s">
        <v>580</v>
      </c>
      <c r="B303" s="6">
        <v>45025</v>
      </c>
      <c r="C303" s="5" t="s">
        <v>257</v>
      </c>
      <c r="D303" s="5" t="s">
        <v>64</v>
      </c>
      <c r="E303" s="5" t="s">
        <v>112</v>
      </c>
      <c r="F303" s="5" t="s">
        <v>113</v>
      </c>
      <c r="G303" s="5" t="s">
        <v>119</v>
      </c>
      <c r="H303" s="5" t="s">
        <v>76</v>
      </c>
      <c r="I303" s="5" t="s">
        <v>120</v>
      </c>
      <c r="J303" s="5">
        <v>32867</v>
      </c>
      <c r="K303" s="7">
        <v>34101.262899215326</v>
      </c>
      <c r="L303" s="5">
        <v>1</v>
      </c>
      <c r="M303" s="5">
        <v>10</v>
      </c>
      <c r="N303" s="8">
        <f t="shared" si="0"/>
        <v>30691.136609293793</v>
      </c>
      <c r="O303" s="5">
        <f t="shared" si="1"/>
        <v>32867</v>
      </c>
      <c r="P303" s="5">
        <f t="shared" si="2"/>
        <v>-2175.8633907062067</v>
      </c>
      <c r="Q303" s="5" t="s">
        <v>83</v>
      </c>
      <c r="R303" s="5" t="s">
        <v>56</v>
      </c>
      <c r="T303" s="5">
        <v>7</v>
      </c>
      <c r="U303" s="5">
        <v>3</v>
      </c>
      <c r="W303" s="5">
        <f t="shared" si="3"/>
        <v>0</v>
      </c>
    </row>
    <row r="304" spans="1:23" ht="15.75" customHeight="1" x14ac:dyDescent="0.25">
      <c r="A304" s="5" t="s">
        <v>581</v>
      </c>
      <c r="B304" s="6">
        <v>45025</v>
      </c>
      <c r="C304" s="5" t="s">
        <v>582</v>
      </c>
      <c r="D304" s="5" t="s">
        <v>42</v>
      </c>
      <c r="E304" s="5" t="s">
        <v>80</v>
      </c>
      <c r="F304" s="5" t="s">
        <v>80</v>
      </c>
      <c r="G304" s="5" t="s">
        <v>92</v>
      </c>
      <c r="H304" s="5" t="s">
        <v>44</v>
      </c>
      <c r="I304" s="5" t="s">
        <v>45</v>
      </c>
      <c r="J304" s="5">
        <v>1244</v>
      </c>
      <c r="K304" s="7">
        <v>1680.4009043518902</v>
      </c>
      <c r="L304" s="5">
        <v>1</v>
      </c>
      <c r="M304" s="5">
        <v>5</v>
      </c>
      <c r="N304" s="8">
        <f t="shared" si="0"/>
        <v>1596.3808591342956</v>
      </c>
      <c r="O304" s="5">
        <f t="shared" si="1"/>
        <v>1244</v>
      </c>
      <c r="P304" s="5">
        <f t="shared" si="2"/>
        <v>352.38085913429563</v>
      </c>
      <c r="Q304" s="5" t="s">
        <v>31</v>
      </c>
      <c r="R304" s="5" t="s">
        <v>32</v>
      </c>
      <c r="S304" s="6">
        <v>45037</v>
      </c>
      <c r="T304" s="5">
        <v>5</v>
      </c>
      <c r="U304" s="5">
        <v>2</v>
      </c>
      <c r="V304" s="5" t="s">
        <v>33</v>
      </c>
      <c r="W304" s="5">
        <f t="shared" si="3"/>
        <v>0</v>
      </c>
    </row>
    <row r="305" spans="1:23" ht="15.75" customHeight="1" x14ac:dyDescent="0.25">
      <c r="A305" s="5" t="s">
        <v>583</v>
      </c>
      <c r="B305" s="6">
        <v>45025</v>
      </c>
      <c r="C305" s="5" t="s">
        <v>584</v>
      </c>
      <c r="D305" s="5" t="s">
        <v>150</v>
      </c>
      <c r="E305" s="5" t="s">
        <v>69</v>
      </c>
      <c r="F305" s="5" t="s">
        <v>55</v>
      </c>
      <c r="G305" s="5" t="s">
        <v>106</v>
      </c>
      <c r="H305" s="5" t="s">
        <v>98</v>
      </c>
      <c r="I305" s="5" t="s">
        <v>107</v>
      </c>
      <c r="J305" s="5">
        <v>975</v>
      </c>
      <c r="K305" s="7">
        <v>1161.1133372990935</v>
      </c>
      <c r="L305" s="5">
        <v>2</v>
      </c>
      <c r="M305" s="5">
        <v>0</v>
      </c>
      <c r="N305" s="8">
        <f t="shared" si="0"/>
        <v>2322.2266745981869</v>
      </c>
      <c r="O305" s="5">
        <f t="shared" si="1"/>
        <v>1950</v>
      </c>
      <c r="P305" s="5">
        <f t="shared" si="2"/>
        <v>372.22667459818695</v>
      </c>
      <c r="Q305" s="5" t="s">
        <v>39</v>
      </c>
      <c r="R305" s="5" t="s">
        <v>56</v>
      </c>
      <c r="T305" s="5">
        <v>8</v>
      </c>
      <c r="U305" s="5">
        <v>3</v>
      </c>
      <c r="W305" s="5">
        <f t="shared" si="3"/>
        <v>0</v>
      </c>
    </row>
    <row r="306" spans="1:23" ht="15.75" customHeight="1" x14ac:dyDescent="0.25">
      <c r="A306" s="5" t="s">
        <v>585</v>
      </c>
      <c r="B306" s="6">
        <v>45025</v>
      </c>
      <c r="C306" s="5" t="s">
        <v>199</v>
      </c>
      <c r="D306" s="5" t="s">
        <v>138</v>
      </c>
      <c r="E306" s="5" t="s">
        <v>112</v>
      </c>
      <c r="F306" s="5" t="s">
        <v>113</v>
      </c>
      <c r="G306" s="5" t="s">
        <v>106</v>
      </c>
      <c r="H306" s="5" t="s">
        <v>98</v>
      </c>
      <c r="I306" s="5" t="s">
        <v>107</v>
      </c>
      <c r="J306" s="5">
        <v>670</v>
      </c>
      <c r="K306" s="7">
        <v>1005.5656436009672</v>
      </c>
      <c r="L306" s="5">
        <v>5</v>
      </c>
      <c r="M306" s="5">
        <v>20</v>
      </c>
      <c r="N306" s="8">
        <f t="shared" si="0"/>
        <v>4022.2625744038687</v>
      </c>
      <c r="O306" s="5">
        <f t="shared" si="1"/>
        <v>3350</v>
      </c>
      <c r="P306" s="5">
        <f t="shared" si="2"/>
        <v>672.26257440386871</v>
      </c>
      <c r="Q306" s="5" t="s">
        <v>46</v>
      </c>
      <c r="R306" s="5" t="s">
        <v>32</v>
      </c>
      <c r="S306" s="6">
        <v>45035</v>
      </c>
      <c r="T306" s="5">
        <v>6</v>
      </c>
      <c r="U306" s="5">
        <v>2</v>
      </c>
      <c r="V306" s="5" t="s">
        <v>33</v>
      </c>
      <c r="W306" s="5">
        <f t="shared" si="3"/>
        <v>0</v>
      </c>
    </row>
    <row r="307" spans="1:23" ht="15.75" customHeight="1" x14ac:dyDescent="0.25">
      <c r="A307" s="5" t="s">
        <v>586</v>
      </c>
      <c r="B307" s="6">
        <v>45025</v>
      </c>
      <c r="C307" s="5" t="s">
        <v>329</v>
      </c>
      <c r="D307" s="5" t="s">
        <v>42</v>
      </c>
      <c r="E307" s="5" t="s">
        <v>26</v>
      </c>
      <c r="F307" s="5" t="s">
        <v>27</v>
      </c>
      <c r="G307" s="5" t="s">
        <v>97</v>
      </c>
      <c r="H307" s="5" t="s">
        <v>98</v>
      </c>
      <c r="I307" s="5" t="s">
        <v>99</v>
      </c>
      <c r="J307" s="5">
        <v>323</v>
      </c>
      <c r="K307" s="7">
        <v>453.6144392552726</v>
      </c>
      <c r="L307" s="5">
        <v>2</v>
      </c>
      <c r="M307" s="5">
        <v>0</v>
      </c>
      <c r="N307" s="8">
        <f t="shared" si="0"/>
        <v>907.2288785105452</v>
      </c>
      <c r="O307" s="5">
        <f t="shared" si="1"/>
        <v>646</v>
      </c>
      <c r="P307" s="5">
        <f t="shared" si="2"/>
        <v>261.2288785105452</v>
      </c>
      <c r="Q307" s="5" t="s">
        <v>83</v>
      </c>
      <c r="R307" s="5" t="s">
        <v>32</v>
      </c>
      <c r="S307" s="6">
        <v>45033</v>
      </c>
      <c r="T307" s="5">
        <v>5</v>
      </c>
      <c r="U307" s="5">
        <v>3</v>
      </c>
      <c r="V307" s="5" t="s">
        <v>33</v>
      </c>
      <c r="W307" s="5">
        <f t="shared" si="3"/>
        <v>0</v>
      </c>
    </row>
    <row r="308" spans="1:23" ht="15.75" customHeight="1" x14ac:dyDescent="0.25">
      <c r="A308" s="5" t="s">
        <v>587</v>
      </c>
      <c r="B308" s="6">
        <v>45026</v>
      </c>
      <c r="C308" s="5" t="s">
        <v>154</v>
      </c>
      <c r="D308" s="5" t="s">
        <v>116</v>
      </c>
      <c r="E308" s="5" t="s">
        <v>49</v>
      </c>
      <c r="F308" s="5" t="s">
        <v>50</v>
      </c>
      <c r="G308" s="5" t="s">
        <v>124</v>
      </c>
      <c r="H308" s="5" t="s">
        <v>76</v>
      </c>
      <c r="I308" s="5" t="s">
        <v>125</v>
      </c>
      <c r="J308" s="5">
        <v>88434</v>
      </c>
      <c r="K308" s="7">
        <v>146789.49946899904</v>
      </c>
      <c r="L308" s="5">
        <v>3</v>
      </c>
      <c r="M308" s="5">
        <v>5</v>
      </c>
      <c r="N308" s="8">
        <f t="shared" si="0"/>
        <v>418350.07348664728</v>
      </c>
      <c r="O308" s="5">
        <f t="shared" si="1"/>
        <v>265302</v>
      </c>
      <c r="P308" s="5">
        <f t="shared" si="2"/>
        <v>153048.07348664728</v>
      </c>
      <c r="Q308" s="5" t="s">
        <v>39</v>
      </c>
      <c r="R308" s="5" t="s">
        <v>32</v>
      </c>
      <c r="S308" s="6">
        <v>45036</v>
      </c>
      <c r="T308" s="5">
        <v>6</v>
      </c>
      <c r="U308" s="5">
        <v>3</v>
      </c>
      <c r="V308" s="5" t="s">
        <v>33</v>
      </c>
      <c r="W308" s="5">
        <f t="shared" si="3"/>
        <v>0</v>
      </c>
    </row>
    <row r="309" spans="1:23" ht="15.75" customHeight="1" x14ac:dyDescent="0.25">
      <c r="A309" s="5" t="s">
        <v>588</v>
      </c>
      <c r="B309" s="6">
        <v>45026</v>
      </c>
      <c r="C309" s="5" t="s">
        <v>589</v>
      </c>
      <c r="D309" s="5" t="s">
        <v>42</v>
      </c>
      <c r="E309" s="5" t="s">
        <v>80</v>
      </c>
      <c r="F309" s="5" t="s">
        <v>80</v>
      </c>
      <c r="G309" s="5" t="s">
        <v>81</v>
      </c>
      <c r="H309" s="5" t="s">
        <v>44</v>
      </c>
      <c r="I309" s="5" t="s">
        <v>82</v>
      </c>
      <c r="J309" s="5">
        <v>1271</v>
      </c>
      <c r="K309" s="7">
        <v>1609.0176104664779</v>
      </c>
      <c r="L309" s="5">
        <v>1</v>
      </c>
      <c r="M309" s="5">
        <v>5</v>
      </c>
      <c r="N309" s="8">
        <f t="shared" si="0"/>
        <v>1528.5667299431539</v>
      </c>
      <c r="O309" s="5">
        <f t="shared" si="1"/>
        <v>1271</v>
      </c>
      <c r="P309" s="5">
        <f t="shared" si="2"/>
        <v>257.56672994315386</v>
      </c>
      <c r="Q309" s="5" t="s">
        <v>31</v>
      </c>
      <c r="R309" s="5" t="s">
        <v>32</v>
      </c>
      <c r="S309" s="6">
        <v>45034</v>
      </c>
      <c r="T309" s="5">
        <v>5</v>
      </c>
      <c r="U309" s="5">
        <v>2</v>
      </c>
      <c r="V309" s="5" t="s">
        <v>33</v>
      </c>
      <c r="W309" s="5">
        <f t="shared" si="3"/>
        <v>0</v>
      </c>
    </row>
    <row r="310" spans="1:23" ht="15.75" customHeight="1" x14ac:dyDescent="0.25">
      <c r="A310" s="5" t="s">
        <v>590</v>
      </c>
      <c r="B310" s="6">
        <v>45026</v>
      </c>
      <c r="C310" s="5" t="s">
        <v>591</v>
      </c>
      <c r="D310" s="5" t="s">
        <v>74</v>
      </c>
      <c r="E310" s="5" t="s">
        <v>112</v>
      </c>
      <c r="F310" s="5" t="s">
        <v>113</v>
      </c>
      <c r="G310" s="5" t="s">
        <v>139</v>
      </c>
      <c r="H310" s="5" t="s">
        <v>76</v>
      </c>
      <c r="I310" s="5" t="s">
        <v>140</v>
      </c>
      <c r="J310" s="5">
        <v>44447</v>
      </c>
      <c r="K310" s="7">
        <v>79413.255743301313</v>
      </c>
      <c r="L310" s="5">
        <v>5</v>
      </c>
      <c r="M310" s="5">
        <v>5</v>
      </c>
      <c r="N310" s="8">
        <f t="shared" si="0"/>
        <v>377212.96478068118</v>
      </c>
      <c r="O310" s="5">
        <f t="shared" si="1"/>
        <v>222235</v>
      </c>
      <c r="P310" s="5">
        <f t="shared" si="2"/>
        <v>154977.96478068118</v>
      </c>
      <c r="Q310" s="5" t="s">
        <v>83</v>
      </c>
      <c r="R310" s="5" t="s">
        <v>32</v>
      </c>
      <c r="S310" s="6">
        <v>45039</v>
      </c>
      <c r="T310" s="5">
        <v>6</v>
      </c>
      <c r="U310" s="5">
        <v>3</v>
      </c>
      <c r="V310" s="5" t="s">
        <v>33</v>
      </c>
      <c r="W310" s="5">
        <f t="shared" si="3"/>
        <v>0</v>
      </c>
    </row>
    <row r="311" spans="1:23" ht="15.75" customHeight="1" x14ac:dyDescent="0.25">
      <c r="A311" s="5" t="s">
        <v>592</v>
      </c>
      <c r="B311" s="6">
        <v>45026</v>
      </c>
      <c r="C311" s="5" t="s">
        <v>593</v>
      </c>
      <c r="D311" s="5" t="s">
        <v>36</v>
      </c>
      <c r="E311" s="5" t="s">
        <v>80</v>
      </c>
      <c r="F311" s="5" t="s">
        <v>80</v>
      </c>
      <c r="G311" s="5" t="s">
        <v>87</v>
      </c>
      <c r="H311" s="5" t="s">
        <v>29</v>
      </c>
      <c r="I311" s="5" t="s">
        <v>88</v>
      </c>
      <c r="J311" s="5">
        <v>30270</v>
      </c>
      <c r="K311" s="7">
        <v>42431.488015990428</v>
      </c>
      <c r="L311" s="5">
        <v>4</v>
      </c>
      <c r="M311" s="5">
        <v>0</v>
      </c>
      <c r="N311" s="8">
        <f t="shared" si="0"/>
        <v>169725.95206396171</v>
      </c>
      <c r="O311" s="5">
        <f t="shared" si="1"/>
        <v>121080</v>
      </c>
      <c r="P311" s="5">
        <f t="shared" si="2"/>
        <v>48645.952063961711</v>
      </c>
      <c r="Q311" s="5" t="s">
        <v>39</v>
      </c>
      <c r="R311" s="5" t="s">
        <v>32</v>
      </c>
      <c r="S311" s="6">
        <v>45037</v>
      </c>
      <c r="T311" s="5">
        <v>8</v>
      </c>
      <c r="U311" s="5">
        <v>4</v>
      </c>
      <c r="V311" s="5" t="s">
        <v>89</v>
      </c>
      <c r="W311" s="5">
        <f t="shared" si="3"/>
        <v>1</v>
      </c>
    </row>
    <row r="312" spans="1:23" ht="15.75" customHeight="1" x14ac:dyDescent="0.25">
      <c r="A312" s="5" t="s">
        <v>594</v>
      </c>
      <c r="B312" s="6">
        <v>45026</v>
      </c>
      <c r="C312" s="5" t="s">
        <v>439</v>
      </c>
      <c r="D312" s="5" t="s">
        <v>116</v>
      </c>
      <c r="E312" s="5" t="s">
        <v>60</v>
      </c>
      <c r="F312" s="5" t="s">
        <v>61</v>
      </c>
      <c r="G312" s="5" t="s">
        <v>87</v>
      </c>
      <c r="H312" s="5" t="s">
        <v>29</v>
      </c>
      <c r="I312" s="5" t="s">
        <v>88</v>
      </c>
      <c r="J312" s="5">
        <v>40679</v>
      </c>
      <c r="K312" s="7">
        <v>57309.299110699794</v>
      </c>
      <c r="L312" s="5">
        <v>3</v>
      </c>
      <c r="M312" s="5">
        <v>20</v>
      </c>
      <c r="N312" s="8">
        <f t="shared" si="0"/>
        <v>137542.31786567951</v>
      </c>
      <c r="O312" s="5">
        <f t="shared" si="1"/>
        <v>122037</v>
      </c>
      <c r="P312" s="5">
        <f t="shared" si="2"/>
        <v>15505.317865679506</v>
      </c>
      <c r="Q312" s="5" t="s">
        <v>83</v>
      </c>
      <c r="R312" s="5" t="s">
        <v>32</v>
      </c>
      <c r="S312" s="6">
        <v>45034</v>
      </c>
      <c r="T312" s="5">
        <v>4</v>
      </c>
      <c r="U312" s="5">
        <v>4</v>
      </c>
      <c r="V312" s="5" t="s">
        <v>33</v>
      </c>
      <c r="W312" s="5">
        <f t="shared" si="3"/>
        <v>0</v>
      </c>
    </row>
    <row r="313" spans="1:23" ht="15.75" customHeight="1" x14ac:dyDescent="0.25">
      <c r="A313" s="5" t="s">
        <v>595</v>
      </c>
      <c r="B313" s="6">
        <v>45026</v>
      </c>
      <c r="C313" s="5" t="s">
        <v>596</v>
      </c>
      <c r="D313" s="5" t="s">
        <v>86</v>
      </c>
      <c r="E313" s="5" t="s">
        <v>112</v>
      </c>
      <c r="F313" s="5" t="s">
        <v>113</v>
      </c>
      <c r="G313" s="5" t="s">
        <v>70</v>
      </c>
      <c r="H313" s="5" t="s">
        <v>44</v>
      </c>
      <c r="I313" s="5" t="s">
        <v>71</v>
      </c>
      <c r="J313" s="5">
        <v>875</v>
      </c>
      <c r="K313" s="7">
        <v>1417.1804042132276</v>
      </c>
      <c r="L313" s="5">
        <v>1</v>
      </c>
      <c r="M313" s="5">
        <v>5</v>
      </c>
      <c r="N313" s="8">
        <f t="shared" si="0"/>
        <v>1346.3213840025662</v>
      </c>
      <c r="O313" s="5">
        <f t="shared" si="1"/>
        <v>875</v>
      </c>
      <c r="P313" s="5">
        <f t="shared" si="2"/>
        <v>471.32138400256622</v>
      </c>
      <c r="Q313" s="5" t="s">
        <v>83</v>
      </c>
      <c r="R313" s="5" t="s">
        <v>32</v>
      </c>
      <c r="S313" s="6">
        <v>45031</v>
      </c>
      <c r="T313" s="5">
        <v>1</v>
      </c>
      <c r="U313" s="5">
        <v>5</v>
      </c>
      <c r="V313" s="5" t="s">
        <v>33</v>
      </c>
      <c r="W313" s="5">
        <f t="shared" si="3"/>
        <v>0</v>
      </c>
    </row>
    <row r="314" spans="1:23" ht="15.75" customHeight="1" x14ac:dyDescent="0.25">
      <c r="A314" s="5" t="s">
        <v>597</v>
      </c>
      <c r="B314" s="6">
        <v>45027</v>
      </c>
      <c r="C314" s="5" t="s">
        <v>132</v>
      </c>
      <c r="D314" s="5" t="s">
        <v>105</v>
      </c>
      <c r="E314" s="5" t="s">
        <v>37</v>
      </c>
      <c r="F314" s="5" t="s">
        <v>38</v>
      </c>
      <c r="G314" s="5" t="s">
        <v>75</v>
      </c>
      <c r="H314" s="5" t="s">
        <v>76</v>
      </c>
      <c r="I314" s="5" t="s">
        <v>77</v>
      </c>
      <c r="J314" s="5">
        <v>1654</v>
      </c>
      <c r="K314" s="7">
        <v>2839.7128837578898</v>
      </c>
      <c r="L314" s="5">
        <v>3</v>
      </c>
      <c r="M314" s="5">
        <v>0</v>
      </c>
      <c r="N314" s="8">
        <f t="shared" si="0"/>
        <v>8519.1386512736699</v>
      </c>
      <c r="O314" s="5">
        <f t="shared" si="1"/>
        <v>4962</v>
      </c>
      <c r="P314" s="5">
        <f t="shared" si="2"/>
        <v>3557.1386512736699</v>
      </c>
      <c r="Q314" s="5" t="s">
        <v>31</v>
      </c>
      <c r="R314" s="5" t="s">
        <v>32</v>
      </c>
      <c r="S314" s="6">
        <v>45034</v>
      </c>
      <c r="T314" s="5">
        <v>4</v>
      </c>
      <c r="U314" s="5">
        <v>2</v>
      </c>
      <c r="V314" s="5" t="s">
        <v>33</v>
      </c>
      <c r="W314" s="5">
        <f t="shared" si="3"/>
        <v>0</v>
      </c>
    </row>
    <row r="315" spans="1:23" ht="15.75" customHeight="1" x14ac:dyDescent="0.25">
      <c r="A315" s="5" t="s">
        <v>598</v>
      </c>
      <c r="B315" s="6">
        <v>45027</v>
      </c>
      <c r="C315" s="5" t="s">
        <v>599</v>
      </c>
      <c r="D315" s="5" t="s">
        <v>25</v>
      </c>
      <c r="E315" s="5" t="s">
        <v>54</v>
      </c>
      <c r="F315" s="5" t="s">
        <v>55</v>
      </c>
      <c r="G315" s="5" t="s">
        <v>70</v>
      </c>
      <c r="H315" s="5" t="s">
        <v>44</v>
      </c>
      <c r="I315" s="5" t="s">
        <v>71</v>
      </c>
      <c r="J315" s="5">
        <v>1540</v>
      </c>
      <c r="K315" s="7">
        <v>2528.0383000364723</v>
      </c>
      <c r="L315" s="5">
        <v>5</v>
      </c>
      <c r="M315" s="5">
        <v>20</v>
      </c>
      <c r="N315" s="8">
        <f t="shared" si="0"/>
        <v>10112.153200145891</v>
      </c>
      <c r="O315" s="5">
        <f t="shared" si="1"/>
        <v>7700</v>
      </c>
      <c r="P315" s="5">
        <f t="shared" si="2"/>
        <v>2412.1532001458909</v>
      </c>
      <c r="Q315" s="5" t="s">
        <v>83</v>
      </c>
      <c r="R315" s="5" t="s">
        <v>32</v>
      </c>
      <c r="S315" s="6">
        <v>45038</v>
      </c>
      <c r="T315" s="5">
        <v>5</v>
      </c>
      <c r="U315" s="5">
        <v>2</v>
      </c>
      <c r="V315" s="5" t="s">
        <v>33</v>
      </c>
      <c r="W315" s="5">
        <f t="shared" si="3"/>
        <v>0</v>
      </c>
    </row>
    <row r="316" spans="1:23" ht="15.75" customHeight="1" x14ac:dyDescent="0.25">
      <c r="A316" s="5" t="s">
        <v>600</v>
      </c>
      <c r="B316" s="6">
        <v>45027</v>
      </c>
      <c r="C316" s="5" t="s">
        <v>601</v>
      </c>
      <c r="D316" s="5" t="s">
        <v>53</v>
      </c>
      <c r="E316" s="5" t="s">
        <v>54</v>
      </c>
      <c r="F316" s="5" t="s">
        <v>55</v>
      </c>
      <c r="G316" s="5" t="s">
        <v>75</v>
      </c>
      <c r="H316" s="5" t="s">
        <v>76</v>
      </c>
      <c r="I316" s="5" t="s">
        <v>77</v>
      </c>
      <c r="J316" s="5">
        <v>1598</v>
      </c>
      <c r="K316" s="7">
        <v>2831.9727489000702</v>
      </c>
      <c r="L316" s="5">
        <v>4</v>
      </c>
      <c r="M316" s="5">
        <v>20</v>
      </c>
      <c r="N316" s="8">
        <f t="shared" si="0"/>
        <v>9062.3127964802243</v>
      </c>
      <c r="O316" s="5">
        <f t="shared" si="1"/>
        <v>6392</v>
      </c>
      <c r="P316" s="5">
        <f t="shared" si="2"/>
        <v>2670.3127964802243</v>
      </c>
      <c r="Q316" s="5" t="s">
        <v>39</v>
      </c>
      <c r="R316" s="5" t="s">
        <v>32</v>
      </c>
      <c r="S316" s="6">
        <v>45035</v>
      </c>
      <c r="T316" s="5">
        <v>2</v>
      </c>
      <c r="U316" s="5">
        <v>4</v>
      </c>
      <c r="V316" s="5" t="s">
        <v>33</v>
      </c>
      <c r="W316" s="5">
        <f t="shared" si="3"/>
        <v>0</v>
      </c>
    </row>
    <row r="317" spans="1:23" ht="15.75" customHeight="1" x14ac:dyDescent="0.25">
      <c r="A317" s="5" t="s">
        <v>602</v>
      </c>
      <c r="B317" s="6">
        <v>45028</v>
      </c>
      <c r="C317" s="5" t="s">
        <v>408</v>
      </c>
      <c r="D317" s="5" t="s">
        <v>86</v>
      </c>
      <c r="E317" s="5" t="s">
        <v>112</v>
      </c>
      <c r="F317" s="5" t="s">
        <v>113</v>
      </c>
      <c r="G317" s="5" t="s">
        <v>70</v>
      </c>
      <c r="H317" s="5" t="s">
        <v>44</v>
      </c>
      <c r="I317" s="5" t="s">
        <v>71</v>
      </c>
      <c r="J317" s="5">
        <v>867</v>
      </c>
      <c r="K317" s="7">
        <v>1163.5243744271472</v>
      </c>
      <c r="L317" s="5">
        <v>1</v>
      </c>
      <c r="M317" s="5">
        <v>15</v>
      </c>
      <c r="N317" s="8">
        <f t="shared" si="0"/>
        <v>988.9957182630751</v>
      </c>
      <c r="O317" s="5">
        <f t="shared" si="1"/>
        <v>867</v>
      </c>
      <c r="P317" s="5">
        <f t="shared" si="2"/>
        <v>121.9957182630751</v>
      </c>
      <c r="Q317" s="5" t="s">
        <v>83</v>
      </c>
      <c r="R317" s="5" t="s">
        <v>32</v>
      </c>
      <c r="S317" s="6">
        <v>45035</v>
      </c>
      <c r="T317" s="5">
        <v>4</v>
      </c>
      <c r="U317" s="5">
        <v>4</v>
      </c>
      <c r="V317" s="5" t="s">
        <v>33</v>
      </c>
      <c r="W317" s="5">
        <f t="shared" si="3"/>
        <v>0</v>
      </c>
    </row>
    <row r="318" spans="1:23" ht="15.75" customHeight="1" x14ac:dyDescent="0.25">
      <c r="A318" s="5" t="s">
        <v>603</v>
      </c>
      <c r="B318" s="6">
        <v>45029</v>
      </c>
      <c r="C318" s="5" t="s">
        <v>389</v>
      </c>
      <c r="D318" s="5" t="s">
        <v>146</v>
      </c>
      <c r="E318" s="5" t="s">
        <v>49</v>
      </c>
      <c r="F318" s="5" t="s">
        <v>50</v>
      </c>
      <c r="G318" s="5" t="s">
        <v>28</v>
      </c>
      <c r="H318" s="5" t="s">
        <v>29</v>
      </c>
      <c r="I318" s="5" t="s">
        <v>30</v>
      </c>
      <c r="J318" s="5">
        <v>6880</v>
      </c>
      <c r="K318" s="7">
        <v>9207.9027365321635</v>
      </c>
      <c r="L318" s="5">
        <v>2</v>
      </c>
      <c r="M318" s="5">
        <v>10</v>
      </c>
      <c r="N318" s="8">
        <f t="shared" si="0"/>
        <v>16574.224925757895</v>
      </c>
      <c r="O318" s="5">
        <f t="shared" si="1"/>
        <v>13760</v>
      </c>
      <c r="P318" s="5">
        <f t="shared" si="2"/>
        <v>2814.2249257578951</v>
      </c>
      <c r="Q318" s="5" t="s">
        <v>83</v>
      </c>
      <c r="R318" s="5" t="s">
        <v>32</v>
      </c>
      <c r="S318" s="6">
        <v>45039</v>
      </c>
      <c r="T318" s="5">
        <v>3</v>
      </c>
      <c r="U318" s="5">
        <v>3</v>
      </c>
      <c r="V318" s="5" t="s">
        <v>33</v>
      </c>
      <c r="W318" s="5">
        <f t="shared" si="3"/>
        <v>0</v>
      </c>
    </row>
    <row r="319" spans="1:23" ht="15.75" customHeight="1" x14ac:dyDescent="0.25">
      <c r="A319" s="5" t="s">
        <v>604</v>
      </c>
      <c r="B319" s="6">
        <v>45029</v>
      </c>
      <c r="C319" s="5" t="s">
        <v>231</v>
      </c>
      <c r="D319" s="5" t="s">
        <v>42</v>
      </c>
      <c r="E319" s="5" t="s">
        <v>112</v>
      </c>
      <c r="F319" s="5" t="s">
        <v>113</v>
      </c>
      <c r="G319" s="5" t="s">
        <v>70</v>
      </c>
      <c r="H319" s="5" t="s">
        <v>44</v>
      </c>
      <c r="I319" s="5" t="s">
        <v>71</v>
      </c>
      <c r="J319" s="5">
        <v>1645</v>
      </c>
      <c r="K319" s="7">
        <v>2213.8493347408876</v>
      </c>
      <c r="L319" s="5">
        <v>2</v>
      </c>
      <c r="M319" s="5">
        <v>0</v>
      </c>
      <c r="N319" s="8">
        <f t="shared" si="0"/>
        <v>4427.6986694817751</v>
      </c>
      <c r="O319" s="5">
        <f t="shared" si="1"/>
        <v>3290</v>
      </c>
      <c r="P319" s="5">
        <f t="shared" si="2"/>
        <v>1137.6986694817751</v>
      </c>
      <c r="Q319" s="5" t="s">
        <v>31</v>
      </c>
      <c r="R319" s="5" t="s">
        <v>56</v>
      </c>
      <c r="T319" s="5">
        <v>7</v>
      </c>
      <c r="U319" s="5">
        <v>2</v>
      </c>
      <c r="W319" s="5">
        <f t="shared" si="3"/>
        <v>0</v>
      </c>
    </row>
    <row r="320" spans="1:23" ht="15.75" customHeight="1" x14ac:dyDescent="0.25">
      <c r="A320" s="5" t="s">
        <v>605</v>
      </c>
      <c r="B320" s="6">
        <v>45029</v>
      </c>
      <c r="C320" s="5" t="s">
        <v>427</v>
      </c>
      <c r="D320" s="5" t="s">
        <v>102</v>
      </c>
      <c r="E320" s="5" t="s">
        <v>49</v>
      </c>
      <c r="F320" s="5" t="s">
        <v>50</v>
      </c>
      <c r="G320" s="5" t="s">
        <v>97</v>
      </c>
      <c r="H320" s="5" t="s">
        <v>98</v>
      </c>
      <c r="I320" s="5" t="s">
        <v>99</v>
      </c>
      <c r="J320" s="5">
        <v>214</v>
      </c>
      <c r="K320" s="7">
        <v>337.08204811798515</v>
      </c>
      <c r="L320" s="5">
        <v>5</v>
      </c>
      <c r="M320" s="5">
        <v>20</v>
      </c>
      <c r="N320" s="8">
        <f t="shared" si="0"/>
        <v>1348.3281924719406</v>
      </c>
      <c r="O320" s="5">
        <f t="shared" si="1"/>
        <v>1070</v>
      </c>
      <c r="P320" s="5">
        <f t="shared" si="2"/>
        <v>278.32819247194061</v>
      </c>
      <c r="Q320" s="5" t="s">
        <v>39</v>
      </c>
      <c r="R320" s="5" t="s">
        <v>32</v>
      </c>
      <c r="S320" s="6">
        <v>45035</v>
      </c>
      <c r="T320" s="5">
        <v>1</v>
      </c>
      <c r="U320" s="5">
        <v>5</v>
      </c>
      <c r="V320" s="5" t="s">
        <v>33</v>
      </c>
      <c r="W320" s="5">
        <f t="shared" si="3"/>
        <v>0</v>
      </c>
    </row>
    <row r="321" spans="1:23" ht="15.75" customHeight="1" x14ac:dyDescent="0.25">
      <c r="A321" s="5" t="s">
        <v>606</v>
      </c>
      <c r="B321" s="6">
        <v>45030</v>
      </c>
      <c r="C321" s="5" t="s">
        <v>176</v>
      </c>
      <c r="D321" s="5" t="s">
        <v>146</v>
      </c>
      <c r="E321" s="5" t="s">
        <v>60</v>
      </c>
      <c r="F321" s="5" t="s">
        <v>61</v>
      </c>
      <c r="G321" s="5" t="s">
        <v>75</v>
      </c>
      <c r="H321" s="5" t="s">
        <v>76</v>
      </c>
      <c r="I321" s="5" t="s">
        <v>77</v>
      </c>
      <c r="J321" s="5">
        <v>1078</v>
      </c>
      <c r="K321" s="7">
        <v>1364.7453257987352</v>
      </c>
      <c r="L321" s="5">
        <v>1</v>
      </c>
      <c r="M321" s="5">
        <v>15</v>
      </c>
      <c r="N321" s="8">
        <f t="shared" si="0"/>
        <v>1160.0335269289249</v>
      </c>
      <c r="O321" s="5">
        <f t="shared" si="1"/>
        <v>1078</v>
      </c>
      <c r="P321" s="5">
        <f t="shared" si="2"/>
        <v>82.033526928924857</v>
      </c>
      <c r="Q321" s="5" t="s">
        <v>31</v>
      </c>
      <c r="R321" s="5" t="s">
        <v>32</v>
      </c>
      <c r="S321" s="6">
        <v>45041</v>
      </c>
      <c r="T321" s="5">
        <v>4</v>
      </c>
      <c r="U321" s="5">
        <v>3</v>
      </c>
      <c r="V321" s="5" t="s">
        <v>33</v>
      </c>
      <c r="W321" s="5">
        <f t="shared" si="3"/>
        <v>0</v>
      </c>
    </row>
    <row r="322" spans="1:23" ht="15.75" customHeight="1" x14ac:dyDescent="0.25">
      <c r="A322" s="5" t="s">
        <v>607</v>
      </c>
      <c r="B322" s="6">
        <v>45030</v>
      </c>
      <c r="C322" s="5" t="s">
        <v>366</v>
      </c>
      <c r="D322" s="5" t="s">
        <v>208</v>
      </c>
      <c r="E322" s="5" t="s">
        <v>60</v>
      </c>
      <c r="F322" s="5" t="s">
        <v>61</v>
      </c>
      <c r="G322" s="5" t="s">
        <v>43</v>
      </c>
      <c r="H322" s="5" t="s">
        <v>44</v>
      </c>
      <c r="I322" s="5" t="s">
        <v>45</v>
      </c>
      <c r="J322" s="5">
        <v>488</v>
      </c>
      <c r="K322" s="7">
        <v>583.99182440841764</v>
      </c>
      <c r="L322" s="5">
        <v>4</v>
      </c>
      <c r="M322" s="5">
        <v>10</v>
      </c>
      <c r="N322" s="8">
        <f t="shared" si="0"/>
        <v>2102.3705678703036</v>
      </c>
      <c r="O322" s="5">
        <f t="shared" si="1"/>
        <v>1952</v>
      </c>
      <c r="P322" s="5">
        <f t="shared" si="2"/>
        <v>150.3705678703036</v>
      </c>
      <c r="Q322" s="5" t="s">
        <v>83</v>
      </c>
      <c r="R322" s="5" t="s">
        <v>32</v>
      </c>
      <c r="S322" s="6">
        <v>45039</v>
      </c>
      <c r="T322" s="5">
        <v>3</v>
      </c>
      <c r="U322" s="5">
        <v>2</v>
      </c>
      <c r="V322" s="5" t="s">
        <v>33</v>
      </c>
      <c r="W322" s="5">
        <f t="shared" si="3"/>
        <v>0</v>
      </c>
    </row>
    <row r="323" spans="1:23" ht="15.75" customHeight="1" x14ac:dyDescent="0.25">
      <c r="A323" s="5" t="s">
        <v>608</v>
      </c>
      <c r="B323" s="6">
        <v>45030</v>
      </c>
      <c r="C323" s="5" t="s">
        <v>609</v>
      </c>
      <c r="D323" s="5" t="s">
        <v>138</v>
      </c>
      <c r="E323" s="5" t="s">
        <v>112</v>
      </c>
      <c r="F323" s="5" t="s">
        <v>113</v>
      </c>
      <c r="G323" s="5" t="s">
        <v>28</v>
      </c>
      <c r="H323" s="5" t="s">
        <v>29</v>
      </c>
      <c r="I323" s="5" t="s">
        <v>30</v>
      </c>
      <c r="J323" s="5">
        <v>4091</v>
      </c>
      <c r="K323" s="7">
        <v>5515.2283527587224</v>
      </c>
      <c r="L323" s="5">
        <v>2</v>
      </c>
      <c r="M323" s="5">
        <v>0</v>
      </c>
      <c r="N323" s="8">
        <f t="shared" si="0"/>
        <v>11030.456705517445</v>
      </c>
      <c r="O323" s="5">
        <f t="shared" si="1"/>
        <v>8182</v>
      </c>
      <c r="P323" s="5">
        <f t="shared" si="2"/>
        <v>2848.4567055174448</v>
      </c>
      <c r="Q323" s="5" t="s">
        <v>46</v>
      </c>
      <c r="R323" s="5" t="s">
        <v>32</v>
      </c>
      <c r="S323" s="6">
        <v>45038</v>
      </c>
      <c r="T323" s="5">
        <v>2</v>
      </c>
      <c r="U323" s="5">
        <v>4</v>
      </c>
      <c r="V323" s="5" t="s">
        <v>33</v>
      </c>
      <c r="W323" s="5">
        <f t="shared" si="3"/>
        <v>0</v>
      </c>
    </row>
    <row r="324" spans="1:23" ht="15.75" customHeight="1" x14ac:dyDescent="0.25">
      <c r="A324" s="5" t="s">
        <v>610</v>
      </c>
      <c r="B324" s="6">
        <v>45030</v>
      </c>
      <c r="C324" s="5" t="s">
        <v>611</v>
      </c>
      <c r="D324" s="5" t="s">
        <v>36</v>
      </c>
      <c r="E324" s="5" t="s">
        <v>54</v>
      </c>
      <c r="F324" s="5" t="s">
        <v>55</v>
      </c>
      <c r="G324" s="5" t="s">
        <v>70</v>
      </c>
      <c r="H324" s="5" t="s">
        <v>44</v>
      </c>
      <c r="I324" s="5" t="s">
        <v>71</v>
      </c>
      <c r="J324" s="5">
        <v>1951</v>
      </c>
      <c r="K324" s="7">
        <v>2246.2741265771665</v>
      </c>
      <c r="L324" s="5">
        <v>2</v>
      </c>
      <c r="M324" s="5">
        <v>0</v>
      </c>
      <c r="N324" s="8">
        <f t="shared" si="0"/>
        <v>4492.548253154333</v>
      </c>
      <c r="O324" s="5">
        <f t="shared" si="1"/>
        <v>3902</v>
      </c>
      <c r="P324" s="5">
        <f t="shared" si="2"/>
        <v>590.548253154333</v>
      </c>
      <c r="Q324" s="5" t="s">
        <v>46</v>
      </c>
      <c r="R324" s="5" t="s">
        <v>56</v>
      </c>
      <c r="T324" s="5">
        <v>8</v>
      </c>
      <c r="U324" s="5">
        <v>4</v>
      </c>
      <c r="W324" s="5">
        <f t="shared" si="3"/>
        <v>0</v>
      </c>
    </row>
    <row r="325" spans="1:23" ht="15.75" customHeight="1" x14ac:dyDescent="0.25">
      <c r="A325" s="5" t="s">
        <v>612</v>
      </c>
      <c r="B325" s="6">
        <v>45032</v>
      </c>
      <c r="C325" s="5" t="s">
        <v>466</v>
      </c>
      <c r="D325" s="5" t="s">
        <v>53</v>
      </c>
      <c r="E325" s="5" t="s">
        <v>37</v>
      </c>
      <c r="F325" s="5" t="s">
        <v>38</v>
      </c>
      <c r="G325" s="5" t="s">
        <v>75</v>
      </c>
      <c r="H325" s="5" t="s">
        <v>76</v>
      </c>
      <c r="I325" s="5" t="s">
        <v>77</v>
      </c>
      <c r="J325" s="5">
        <v>1425</v>
      </c>
      <c r="K325" s="7">
        <v>2318.3673789770919</v>
      </c>
      <c r="L325" s="5">
        <v>2</v>
      </c>
      <c r="M325" s="5">
        <v>0</v>
      </c>
      <c r="N325" s="8">
        <f t="shared" si="0"/>
        <v>4636.7347579541838</v>
      </c>
      <c r="O325" s="5">
        <f t="shared" si="1"/>
        <v>2850</v>
      </c>
      <c r="P325" s="5">
        <f t="shared" si="2"/>
        <v>1786.7347579541838</v>
      </c>
      <c r="Q325" s="5" t="s">
        <v>46</v>
      </c>
      <c r="R325" s="5" t="s">
        <v>56</v>
      </c>
      <c r="T325" s="5">
        <v>10</v>
      </c>
      <c r="U325" s="5">
        <v>1</v>
      </c>
      <c r="W325" s="5">
        <f t="shared" si="3"/>
        <v>0</v>
      </c>
    </row>
    <row r="326" spans="1:23" ht="15.75" customHeight="1" x14ac:dyDescent="0.25">
      <c r="A326" s="5" t="s">
        <v>613</v>
      </c>
      <c r="B326" s="6">
        <v>45033</v>
      </c>
      <c r="C326" s="5" t="s">
        <v>163</v>
      </c>
      <c r="D326" s="5" t="s">
        <v>148</v>
      </c>
      <c r="E326" s="5" t="s">
        <v>37</v>
      </c>
      <c r="F326" s="5" t="s">
        <v>38</v>
      </c>
      <c r="G326" s="5" t="s">
        <v>81</v>
      </c>
      <c r="H326" s="5" t="s">
        <v>44</v>
      </c>
      <c r="I326" s="5" t="s">
        <v>82</v>
      </c>
      <c r="J326" s="5">
        <v>1118</v>
      </c>
      <c r="K326" s="7">
        <v>1787.488056139651</v>
      </c>
      <c r="L326" s="5">
        <v>3</v>
      </c>
      <c r="M326" s="5">
        <v>15</v>
      </c>
      <c r="N326" s="8">
        <f t="shared" si="0"/>
        <v>4558.0945431561095</v>
      </c>
      <c r="O326" s="5">
        <f t="shared" si="1"/>
        <v>3354</v>
      </c>
      <c r="P326" s="5">
        <f t="shared" si="2"/>
        <v>1204.0945431561095</v>
      </c>
      <c r="Q326" s="5" t="s">
        <v>46</v>
      </c>
      <c r="R326" s="5" t="s">
        <v>32</v>
      </c>
      <c r="S326" s="6">
        <v>45041</v>
      </c>
      <c r="T326" s="5">
        <v>1</v>
      </c>
      <c r="U326" s="5">
        <v>5</v>
      </c>
      <c r="V326" s="5" t="s">
        <v>33</v>
      </c>
      <c r="W326" s="5">
        <f t="shared" si="3"/>
        <v>0</v>
      </c>
    </row>
    <row r="327" spans="1:23" ht="15.75" customHeight="1" x14ac:dyDescent="0.25">
      <c r="A327" s="5" t="s">
        <v>614</v>
      </c>
      <c r="B327" s="6">
        <v>45033</v>
      </c>
      <c r="C327" s="5" t="s">
        <v>361</v>
      </c>
      <c r="D327" s="5" t="s">
        <v>74</v>
      </c>
      <c r="E327" s="5" t="s">
        <v>49</v>
      </c>
      <c r="F327" s="5" t="s">
        <v>50</v>
      </c>
      <c r="G327" s="5" t="s">
        <v>97</v>
      </c>
      <c r="H327" s="5" t="s">
        <v>98</v>
      </c>
      <c r="I327" s="5" t="s">
        <v>99</v>
      </c>
      <c r="J327" s="5">
        <v>491</v>
      </c>
      <c r="K327" s="7">
        <v>535.56211676367525</v>
      </c>
      <c r="L327" s="5">
        <v>3</v>
      </c>
      <c r="M327" s="5">
        <v>5</v>
      </c>
      <c r="N327" s="8">
        <f t="shared" si="0"/>
        <v>1526.3520327764743</v>
      </c>
      <c r="O327" s="5">
        <f t="shared" si="1"/>
        <v>1473</v>
      </c>
      <c r="P327" s="5">
        <f t="shared" si="2"/>
        <v>53.352032776474289</v>
      </c>
      <c r="Q327" s="5" t="s">
        <v>83</v>
      </c>
      <c r="R327" s="5" t="s">
        <v>56</v>
      </c>
      <c r="T327" s="5">
        <v>9</v>
      </c>
      <c r="U327" s="5">
        <v>1</v>
      </c>
      <c r="W327" s="5">
        <f t="shared" si="3"/>
        <v>0</v>
      </c>
    </row>
    <row r="328" spans="1:23" ht="15.75" customHeight="1" x14ac:dyDescent="0.25">
      <c r="A328" s="5" t="s">
        <v>615</v>
      </c>
      <c r="B328" s="6">
        <v>45033</v>
      </c>
      <c r="C328" s="5" t="s">
        <v>445</v>
      </c>
      <c r="D328" s="5" t="s">
        <v>138</v>
      </c>
      <c r="E328" s="5" t="s">
        <v>80</v>
      </c>
      <c r="F328" s="5" t="s">
        <v>80</v>
      </c>
      <c r="G328" s="5" t="s">
        <v>75</v>
      </c>
      <c r="H328" s="5" t="s">
        <v>76</v>
      </c>
      <c r="I328" s="5" t="s">
        <v>77</v>
      </c>
      <c r="J328" s="5">
        <v>720</v>
      </c>
      <c r="K328" s="7">
        <v>1168.4477106962991</v>
      </c>
      <c r="L328" s="5">
        <v>4</v>
      </c>
      <c r="M328" s="5">
        <v>15</v>
      </c>
      <c r="N328" s="8">
        <f t="shared" si="0"/>
        <v>3972.7222163674169</v>
      </c>
      <c r="O328" s="5">
        <f t="shared" si="1"/>
        <v>2880</v>
      </c>
      <c r="P328" s="5">
        <f t="shared" si="2"/>
        <v>1092.7222163674169</v>
      </c>
      <c r="Q328" s="5" t="s">
        <v>39</v>
      </c>
      <c r="R328" s="5" t="s">
        <v>56</v>
      </c>
      <c r="T328" s="5">
        <v>7</v>
      </c>
      <c r="U328" s="5">
        <v>4</v>
      </c>
      <c r="W328" s="5">
        <f t="shared" si="3"/>
        <v>0</v>
      </c>
    </row>
    <row r="329" spans="1:23" ht="15.75" customHeight="1" x14ac:dyDescent="0.25">
      <c r="A329" s="5" t="s">
        <v>616</v>
      </c>
      <c r="B329" s="6">
        <v>45033</v>
      </c>
      <c r="C329" s="5" t="s">
        <v>368</v>
      </c>
      <c r="D329" s="5" t="s">
        <v>181</v>
      </c>
      <c r="E329" s="5" t="s">
        <v>112</v>
      </c>
      <c r="F329" s="5" t="s">
        <v>113</v>
      </c>
      <c r="G329" s="5" t="s">
        <v>119</v>
      </c>
      <c r="H329" s="5" t="s">
        <v>76</v>
      </c>
      <c r="I329" s="5" t="s">
        <v>120</v>
      </c>
      <c r="J329" s="5">
        <v>54797</v>
      </c>
      <c r="K329" s="7">
        <v>76975.326858904562</v>
      </c>
      <c r="L329" s="5">
        <v>4</v>
      </c>
      <c r="M329" s="5">
        <v>5</v>
      </c>
      <c r="N329" s="8">
        <f t="shared" si="0"/>
        <v>292506.2420638373</v>
      </c>
      <c r="O329" s="5">
        <f t="shared" si="1"/>
        <v>219188</v>
      </c>
      <c r="P329" s="5">
        <f t="shared" si="2"/>
        <v>73318.242063837301</v>
      </c>
      <c r="Q329" s="5" t="s">
        <v>46</v>
      </c>
      <c r="R329" s="5" t="s">
        <v>32</v>
      </c>
      <c r="S329" s="6">
        <v>45039</v>
      </c>
      <c r="T329" s="5">
        <v>1</v>
      </c>
      <c r="U329" s="5">
        <v>4</v>
      </c>
      <c r="V329" s="5" t="s">
        <v>33</v>
      </c>
      <c r="W329" s="5">
        <f t="shared" si="3"/>
        <v>0</v>
      </c>
    </row>
    <row r="330" spans="1:23" ht="15.75" customHeight="1" x14ac:dyDescent="0.25">
      <c r="A330" s="5" t="s">
        <v>617</v>
      </c>
      <c r="B330" s="6">
        <v>45033</v>
      </c>
      <c r="C330" s="5" t="s">
        <v>359</v>
      </c>
      <c r="D330" s="5" t="s">
        <v>135</v>
      </c>
      <c r="E330" s="5" t="s">
        <v>26</v>
      </c>
      <c r="F330" s="5" t="s">
        <v>27</v>
      </c>
      <c r="G330" s="5" t="s">
        <v>28</v>
      </c>
      <c r="H330" s="5" t="s">
        <v>29</v>
      </c>
      <c r="I330" s="5" t="s">
        <v>30</v>
      </c>
      <c r="J330" s="5">
        <v>4134</v>
      </c>
      <c r="K330" s="7">
        <v>5447.124809930936</v>
      </c>
      <c r="L330" s="5">
        <v>3</v>
      </c>
      <c r="M330" s="5">
        <v>15</v>
      </c>
      <c r="N330" s="8">
        <f t="shared" si="0"/>
        <v>13890.168265323886</v>
      </c>
      <c r="O330" s="5">
        <f t="shared" si="1"/>
        <v>12402</v>
      </c>
      <c r="P330" s="5">
        <f t="shared" si="2"/>
        <v>1488.1682653238859</v>
      </c>
      <c r="Q330" s="5" t="s">
        <v>31</v>
      </c>
      <c r="R330" s="5" t="s">
        <v>32</v>
      </c>
      <c r="S330" s="6">
        <v>45043</v>
      </c>
      <c r="T330" s="5">
        <v>6</v>
      </c>
      <c r="U330" s="5">
        <v>4</v>
      </c>
      <c r="V330" s="5" t="s">
        <v>89</v>
      </c>
      <c r="W330" s="5">
        <f t="shared" si="3"/>
        <v>1</v>
      </c>
    </row>
    <row r="331" spans="1:23" ht="15.75" customHeight="1" x14ac:dyDescent="0.25">
      <c r="A331" s="5" t="s">
        <v>618</v>
      </c>
      <c r="B331" s="6">
        <v>45033</v>
      </c>
      <c r="C331" s="5" t="s">
        <v>560</v>
      </c>
      <c r="D331" s="5" t="s">
        <v>138</v>
      </c>
      <c r="E331" s="5" t="s">
        <v>60</v>
      </c>
      <c r="F331" s="5" t="s">
        <v>61</v>
      </c>
      <c r="G331" s="5" t="s">
        <v>92</v>
      </c>
      <c r="H331" s="5" t="s">
        <v>44</v>
      </c>
      <c r="I331" s="5" t="s">
        <v>45</v>
      </c>
      <c r="J331" s="5">
        <v>1062</v>
      </c>
      <c r="K331" s="7">
        <v>1155.7665206287518</v>
      </c>
      <c r="L331" s="5">
        <v>3</v>
      </c>
      <c r="M331" s="5">
        <v>5</v>
      </c>
      <c r="N331" s="8">
        <f t="shared" si="0"/>
        <v>3293.9345837919423</v>
      </c>
      <c r="O331" s="5">
        <f t="shared" si="1"/>
        <v>3186</v>
      </c>
      <c r="P331" s="5">
        <f t="shared" si="2"/>
        <v>107.93458379194226</v>
      </c>
      <c r="Q331" s="5" t="s">
        <v>39</v>
      </c>
      <c r="R331" s="5" t="s">
        <v>32</v>
      </c>
      <c r="S331" s="6">
        <v>45039</v>
      </c>
      <c r="T331" s="5">
        <v>1</v>
      </c>
      <c r="U331" s="5">
        <v>5</v>
      </c>
      <c r="V331" s="5" t="s">
        <v>33</v>
      </c>
      <c r="W331" s="5">
        <f t="shared" si="3"/>
        <v>0</v>
      </c>
    </row>
    <row r="332" spans="1:23" ht="15.75" customHeight="1" x14ac:dyDescent="0.25">
      <c r="A332" s="5" t="s">
        <v>619</v>
      </c>
      <c r="B332" s="6">
        <v>45034</v>
      </c>
      <c r="C332" s="5" t="s">
        <v>326</v>
      </c>
      <c r="D332" s="5" t="s">
        <v>181</v>
      </c>
      <c r="E332" s="5" t="s">
        <v>69</v>
      </c>
      <c r="F332" s="5" t="s">
        <v>55</v>
      </c>
      <c r="G332" s="5" t="s">
        <v>87</v>
      </c>
      <c r="H332" s="5" t="s">
        <v>29</v>
      </c>
      <c r="I332" s="5" t="s">
        <v>88</v>
      </c>
      <c r="J332" s="5">
        <v>59043</v>
      </c>
      <c r="K332" s="7">
        <v>90587.145494196433</v>
      </c>
      <c r="L332" s="5">
        <v>3</v>
      </c>
      <c r="M332" s="5">
        <v>15</v>
      </c>
      <c r="N332" s="8">
        <f t="shared" si="0"/>
        <v>230997.22101020088</v>
      </c>
      <c r="O332" s="5">
        <f t="shared" si="1"/>
        <v>177129</v>
      </c>
      <c r="P332" s="5">
        <f t="shared" si="2"/>
        <v>53868.221010200883</v>
      </c>
      <c r="Q332" s="5" t="s">
        <v>46</v>
      </c>
      <c r="R332" s="5" t="s">
        <v>32</v>
      </c>
      <c r="S332" s="6">
        <v>45044</v>
      </c>
      <c r="T332" s="5">
        <v>3</v>
      </c>
      <c r="U332" s="5">
        <v>2</v>
      </c>
      <c r="V332" s="5" t="s">
        <v>33</v>
      </c>
      <c r="W332" s="5">
        <f t="shared" si="3"/>
        <v>0</v>
      </c>
    </row>
    <row r="333" spans="1:23" ht="15.75" customHeight="1" x14ac:dyDescent="0.25">
      <c r="A333" s="5" t="s">
        <v>620</v>
      </c>
      <c r="B333" s="6">
        <v>45034</v>
      </c>
      <c r="C333" s="5" t="s">
        <v>339</v>
      </c>
      <c r="D333" s="5" t="s">
        <v>188</v>
      </c>
      <c r="E333" s="5" t="s">
        <v>69</v>
      </c>
      <c r="F333" s="5" t="s">
        <v>55</v>
      </c>
      <c r="G333" s="5" t="s">
        <v>106</v>
      </c>
      <c r="H333" s="5" t="s">
        <v>98</v>
      </c>
      <c r="I333" s="5" t="s">
        <v>107</v>
      </c>
      <c r="J333" s="5">
        <v>698</v>
      </c>
      <c r="K333" s="7">
        <v>920.09363380259913</v>
      </c>
      <c r="L333" s="5">
        <v>5</v>
      </c>
      <c r="M333" s="5">
        <v>15</v>
      </c>
      <c r="N333" s="8">
        <f t="shared" si="0"/>
        <v>3910.3979436610462</v>
      </c>
      <c r="O333" s="5">
        <f t="shared" si="1"/>
        <v>3490</v>
      </c>
      <c r="P333" s="5">
        <f t="shared" si="2"/>
        <v>420.39794366104616</v>
      </c>
      <c r="Q333" s="5" t="s">
        <v>39</v>
      </c>
      <c r="R333" s="5" t="s">
        <v>56</v>
      </c>
      <c r="T333" s="5">
        <v>7</v>
      </c>
      <c r="U333" s="5">
        <v>2</v>
      </c>
      <c r="W333" s="5">
        <f t="shared" si="3"/>
        <v>0</v>
      </c>
    </row>
    <row r="334" spans="1:23" ht="15.75" customHeight="1" x14ac:dyDescent="0.25">
      <c r="A334" s="5" t="s">
        <v>621</v>
      </c>
      <c r="B334" s="6">
        <v>45035</v>
      </c>
      <c r="C334" s="5" t="s">
        <v>396</v>
      </c>
      <c r="D334" s="5" t="s">
        <v>150</v>
      </c>
      <c r="E334" s="5" t="s">
        <v>26</v>
      </c>
      <c r="F334" s="5" t="s">
        <v>27</v>
      </c>
      <c r="G334" s="5" t="s">
        <v>124</v>
      </c>
      <c r="H334" s="5" t="s">
        <v>76</v>
      </c>
      <c r="I334" s="5" t="s">
        <v>125</v>
      </c>
      <c r="J334" s="5">
        <v>61323</v>
      </c>
      <c r="K334" s="7">
        <v>103265.74734414084</v>
      </c>
      <c r="L334" s="5">
        <v>4</v>
      </c>
      <c r="M334" s="5">
        <v>20</v>
      </c>
      <c r="N334" s="8">
        <f t="shared" si="0"/>
        <v>330450.39150125068</v>
      </c>
      <c r="O334" s="5">
        <f t="shared" si="1"/>
        <v>245292</v>
      </c>
      <c r="P334" s="5">
        <f t="shared" si="2"/>
        <v>85158.391501250677</v>
      </c>
      <c r="Q334" s="5" t="s">
        <v>83</v>
      </c>
      <c r="R334" s="5" t="s">
        <v>56</v>
      </c>
      <c r="T334" s="5">
        <v>10</v>
      </c>
      <c r="U334" s="5">
        <v>1</v>
      </c>
      <c r="W334" s="5">
        <f t="shared" si="3"/>
        <v>0</v>
      </c>
    </row>
    <row r="335" spans="1:23" ht="15.75" customHeight="1" x14ac:dyDescent="0.25">
      <c r="A335" s="5" t="s">
        <v>622</v>
      </c>
      <c r="B335" s="6">
        <v>45035</v>
      </c>
      <c r="C335" s="5" t="s">
        <v>502</v>
      </c>
      <c r="D335" s="5" t="s">
        <v>42</v>
      </c>
      <c r="E335" s="5" t="s">
        <v>69</v>
      </c>
      <c r="F335" s="5" t="s">
        <v>55</v>
      </c>
      <c r="G335" s="5" t="s">
        <v>139</v>
      </c>
      <c r="H335" s="5" t="s">
        <v>76</v>
      </c>
      <c r="I335" s="5" t="s">
        <v>140</v>
      </c>
      <c r="J335" s="5">
        <v>47522</v>
      </c>
      <c r="K335" s="7">
        <v>75174.255681868599</v>
      </c>
      <c r="L335" s="5">
        <v>3</v>
      </c>
      <c r="M335" s="5">
        <v>20</v>
      </c>
      <c r="N335" s="8">
        <f t="shared" si="0"/>
        <v>180418.21363648467</v>
      </c>
      <c r="O335" s="5">
        <f t="shared" si="1"/>
        <v>142566</v>
      </c>
      <c r="P335" s="5">
        <f t="shared" si="2"/>
        <v>37852.213636484666</v>
      </c>
      <c r="Q335" s="5" t="s">
        <v>46</v>
      </c>
      <c r="R335" s="5" t="s">
        <v>32</v>
      </c>
      <c r="S335" s="6">
        <v>45040</v>
      </c>
      <c r="T335" s="5">
        <v>1</v>
      </c>
      <c r="U335" s="5">
        <v>5</v>
      </c>
      <c r="V335" s="5" t="s">
        <v>33</v>
      </c>
      <c r="W335" s="5">
        <f t="shared" si="3"/>
        <v>0</v>
      </c>
    </row>
    <row r="336" spans="1:23" ht="15.75" customHeight="1" x14ac:dyDescent="0.25">
      <c r="A336" s="5" t="s">
        <v>623</v>
      </c>
      <c r="B336" s="6">
        <v>45035</v>
      </c>
      <c r="C336" s="5" t="s">
        <v>624</v>
      </c>
      <c r="D336" s="5" t="s">
        <v>64</v>
      </c>
      <c r="E336" s="5" t="s">
        <v>37</v>
      </c>
      <c r="F336" s="5" t="s">
        <v>38</v>
      </c>
      <c r="G336" s="5" t="s">
        <v>119</v>
      </c>
      <c r="H336" s="5" t="s">
        <v>76</v>
      </c>
      <c r="I336" s="5" t="s">
        <v>120</v>
      </c>
      <c r="J336" s="5">
        <v>39228</v>
      </c>
      <c r="K336" s="7">
        <v>66911.257150573627</v>
      </c>
      <c r="L336" s="5">
        <v>1</v>
      </c>
      <c r="M336" s="5">
        <v>15</v>
      </c>
      <c r="N336" s="8">
        <f t="shared" si="0"/>
        <v>56874.568577987578</v>
      </c>
      <c r="O336" s="5">
        <f t="shared" si="1"/>
        <v>39228</v>
      </c>
      <c r="P336" s="5">
        <f t="shared" si="2"/>
        <v>17646.568577987578</v>
      </c>
      <c r="Q336" s="5" t="s">
        <v>46</v>
      </c>
      <c r="R336" s="5" t="s">
        <v>32</v>
      </c>
      <c r="S336" s="6">
        <v>45040</v>
      </c>
      <c r="T336" s="5">
        <v>2</v>
      </c>
      <c r="U336" s="5">
        <v>5</v>
      </c>
      <c r="V336" s="5" t="s">
        <v>33</v>
      </c>
      <c r="W336" s="5">
        <f t="shared" si="3"/>
        <v>0</v>
      </c>
    </row>
    <row r="337" spans="1:23" ht="15.75" customHeight="1" x14ac:dyDescent="0.25">
      <c r="A337" s="5" t="s">
        <v>625</v>
      </c>
      <c r="B337" s="6">
        <v>45035</v>
      </c>
      <c r="C337" s="5" t="s">
        <v>296</v>
      </c>
      <c r="D337" s="5" t="s">
        <v>208</v>
      </c>
      <c r="E337" s="5" t="s">
        <v>49</v>
      </c>
      <c r="F337" s="5" t="s">
        <v>50</v>
      </c>
      <c r="G337" s="5" t="s">
        <v>92</v>
      </c>
      <c r="H337" s="5" t="s">
        <v>44</v>
      </c>
      <c r="I337" s="5" t="s">
        <v>45</v>
      </c>
      <c r="J337" s="5">
        <v>1089</v>
      </c>
      <c r="K337" s="7">
        <v>1201.9075768128</v>
      </c>
      <c r="L337" s="5">
        <v>2</v>
      </c>
      <c r="M337" s="5">
        <v>15</v>
      </c>
      <c r="N337" s="8">
        <f t="shared" si="0"/>
        <v>2043.2428805817599</v>
      </c>
      <c r="O337" s="5">
        <f t="shared" si="1"/>
        <v>2178</v>
      </c>
      <c r="P337" s="5">
        <f t="shared" si="2"/>
        <v>-134.75711941824011</v>
      </c>
      <c r="Q337" s="5" t="s">
        <v>83</v>
      </c>
      <c r="R337" s="5" t="s">
        <v>32</v>
      </c>
      <c r="S337" s="6">
        <v>45041</v>
      </c>
      <c r="T337" s="5">
        <v>1</v>
      </c>
      <c r="U337" s="5">
        <v>5</v>
      </c>
      <c r="V337" s="5" t="s">
        <v>33</v>
      </c>
      <c r="W337" s="5">
        <f t="shared" si="3"/>
        <v>0</v>
      </c>
    </row>
    <row r="338" spans="1:23" ht="15.75" customHeight="1" x14ac:dyDescent="0.25">
      <c r="A338" s="5" t="s">
        <v>626</v>
      </c>
      <c r="B338" s="6">
        <v>45036</v>
      </c>
      <c r="C338" s="5" t="s">
        <v>485</v>
      </c>
      <c r="D338" s="5" t="s">
        <v>208</v>
      </c>
      <c r="E338" s="5" t="s">
        <v>54</v>
      </c>
      <c r="F338" s="5" t="s">
        <v>55</v>
      </c>
      <c r="G338" s="5" t="s">
        <v>28</v>
      </c>
      <c r="H338" s="5" t="s">
        <v>29</v>
      </c>
      <c r="I338" s="5" t="s">
        <v>30</v>
      </c>
      <c r="J338" s="5">
        <v>3412</v>
      </c>
      <c r="K338" s="7">
        <v>5648.643273629852</v>
      </c>
      <c r="L338" s="5">
        <v>4</v>
      </c>
      <c r="M338" s="5">
        <v>0</v>
      </c>
      <c r="N338" s="8">
        <f t="shared" si="0"/>
        <v>22594.573094519408</v>
      </c>
      <c r="O338" s="5">
        <f t="shared" si="1"/>
        <v>13648</v>
      </c>
      <c r="P338" s="5">
        <f t="shared" si="2"/>
        <v>8946.5730945194082</v>
      </c>
      <c r="Q338" s="5" t="s">
        <v>39</v>
      </c>
      <c r="R338" s="5" t="s">
        <v>32</v>
      </c>
      <c r="S338" s="6">
        <v>45045</v>
      </c>
      <c r="T338" s="5">
        <v>5</v>
      </c>
      <c r="U338" s="5">
        <v>3</v>
      </c>
      <c r="V338" s="5" t="s">
        <v>33</v>
      </c>
      <c r="W338" s="5">
        <f t="shared" si="3"/>
        <v>0</v>
      </c>
    </row>
    <row r="339" spans="1:23" ht="15.75" customHeight="1" x14ac:dyDescent="0.25">
      <c r="A339" s="5" t="s">
        <v>627</v>
      </c>
      <c r="B339" s="6">
        <v>45036</v>
      </c>
      <c r="C339" s="5" t="s">
        <v>628</v>
      </c>
      <c r="D339" s="5" t="s">
        <v>86</v>
      </c>
      <c r="E339" s="5" t="s">
        <v>54</v>
      </c>
      <c r="F339" s="5" t="s">
        <v>55</v>
      </c>
      <c r="G339" s="5" t="s">
        <v>43</v>
      </c>
      <c r="H339" s="5" t="s">
        <v>44</v>
      </c>
      <c r="I339" s="5" t="s">
        <v>45</v>
      </c>
      <c r="J339" s="5">
        <v>705</v>
      </c>
      <c r="K339" s="7">
        <v>1115.3253599070774</v>
      </c>
      <c r="L339" s="5">
        <v>2</v>
      </c>
      <c r="M339" s="5">
        <v>0</v>
      </c>
      <c r="N339" s="8">
        <f t="shared" si="0"/>
        <v>2230.6507198141549</v>
      </c>
      <c r="O339" s="5">
        <f t="shared" si="1"/>
        <v>1410</v>
      </c>
      <c r="P339" s="5">
        <f t="shared" si="2"/>
        <v>820.65071981415485</v>
      </c>
      <c r="Q339" s="5" t="s">
        <v>83</v>
      </c>
      <c r="R339" s="5" t="s">
        <v>32</v>
      </c>
      <c r="S339" s="6">
        <v>45046</v>
      </c>
      <c r="T339" s="5">
        <v>5</v>
      </c>
      <c r="U339" s="5">
        <v>3</v>
      </c>
      <c r="V339" s="5" t="s">
        <v>33</v>
      </c>
      <c r="W339" s="5">
        <f t="shared" si="3"/>
        <v>0</v>
      </c>
    </row>
    <row r="340" spans="1:23" ht="15.75" customHeight="1" x14ac:dyDescent="0.25">
      <c r="A340" s="5" t="s">
        <v>629</v>
      </c>
      <c r="B340" s="6">
        <v>45036</v>
      </c>
      <c r="C340" s="5" t="s">
        <v>326</v>
      </c>
      <c r="D340" s="5" t="s">
        <v>53</v>
      </c>
      <c r="E340" s="5" t="s">
        <v>69</v>
      </c>
      <c r="F340" s="5" t="s">
        <v>55</v>
      </c>
      <c r="G340" s="5" t="s">
        <v>28</v>
      </c>
      <c r="H340" s="5" t="s">
        <v>29</v>
      </c>
      <c r="I340" s="5" t="s">
        <v>30</v>
      </c>
      <c r="J340" s="5">
        <v>6040</v>
      </c>
      <c r="K340" s="7">
        <v>8009.3992726450451</v>
      </c>
      <c r="L340" s="5">
        <v>5</v>
      </c>
      <c r="M340" s="5">
        <v>15</v>
      </c>
      <c r="N340" s="8">
        <f t="shared" si="0"/>
        <v>34039.94690874144</v>
      </c>
      <c r="O340" s="5">
        <f t="shared" si="1"/>
        <v>30200</v>
      </c>
      <c r="P340" s="5">
        <f t="shared" si="2"/>
        <v>3839.94690874144</v>
      </c>
      <c r="Q340" s="5" t="s">
        <v>39</v>
      </c>
      <c r="R340" s="5" t="s">
        <v>56</v>
      </c>
      <c r="T340" s="5">
        <v>10</v>
      </c>
      <c r="U340" s="5">
        <v>1</v>
      </c>
      <c r="W340" s="5">
        <f t="shared" si="3"/>
        <v>0</v>
      </c>
    </row>
    <row r="341" spans="1:23" ht="15.75" customHeight="1" x14ac:dyDescent="0.25">
      <c r="A341" s="5" t="s">
        <v>630</v>
      </c>
      <c r="B341" s="6">
        <v>45036</v>
      </c>
      <c r="C341" s="5" t="s">
        <v>24</v>
      </c>
      <c r="D341" s="5" t="s">
        <v>208</v>
      </c>
      <c r="E341" s="5" t="s">
        <v>69</v>
      </c>
      <c r="F341" s="5" t="s">
        <v>55</v>
      </c>
      <c r="G341" s="5" t="s">
        <v>28</v>
      </c>
      <c r="H341" s="5" t="s">
        <v>29</v>
      </c>
      <c r="I341" s="5" t="s">
        <v>30</v>
      </c>
      <c r="J341" s="5">
        <v>3750</v>
      </c>
      <c r="K341" s="7">
        <v>6748.8407709531639</v>
      </c>
      <c r="L341" s="5">
        <v>1</v>
      </c>
      <c r="M341" s="5">
        <v>15</v>
      </c>
      <c r="N341" s="8">
        <f t="shared" si="0"/>
        <v>5736.5146553101895</v>
      </c>
      <c r="O341" s="5">
        <f t="shared" si="1"/>
        <v>3750</v>
      </c>
      <c r="P341" s="5">
        <f t="shared" si="2"/>
        <v>1986.5146553101895</v>
      </c>
      <c r="Q341" s="5" t="s">
        <v>31</v>
      </c>
      <c r="R341" s="5" t="s">
        <v>32</v>
      </c>
      <c r="S341" s="6">
        <v>45042</v>
      </c>
      <c r="T341" s="5">
        <v>3</v>
      </c>
      <c r="U341" s="5">
        <v>4</v>
      </c>
      <c r="V341" s="5" t="s">
        <v>33</v>
      </c>
      <c r="W341" s="5">
        <f t="shared" si="3"/>
        <v>0</v>
      </c>
    </row>
    <row r="342" spans="1:23" ht="15.75" customHeight="1" x14ac:dyDescent="0.25">
      <c r="A342" s="5" t="s">
        <v>631</v>
      </c>
      <c r="B342" s="6">
        <v>45036</v>
      </c>
      <c r="C342" s="5" t="s">
        <v>632</v>
      </c>
      <c r="D342" s="5" t="s">
        <v>74</v>
      </c>
      <c r="E342" s="5" t="s">
        <v>80</v>
      </c>
      <c r="F342" s="5" t="s">
        <v>80</v>
      </c>
      <c r="G342" s="5" t="s">
        <v>75</v>
      </c>
      <c r="H342" s="5" t="s">
        <v>76</v>
      </c>
      <c r="I342" s="5" t="s">
        <v>77</v>
      </c>
      <c r="J342" s="5">
        <v>571</v>
      </c>
      <c r="K342" s="7">
        <v>869.32052247727768</v>
      </c>
      <c r="L342" s="5">
        <v>2</v>
      </c>
      <c r="M342" s="5">
        <v>0</v>
      </c>
      <c r="N342" s="8">
        <f t="shared" si="0"/>
        <v>1738.6410449545554</v>
      </c>
      <c r="O342" s="5">
        <f t="shared" si="1"/>
        <v>1142</v>
      </c>
      <c r="P342" s="5">
        <f t="shared" si="2"/>
        <v>596.64104495455535</v>
      </c>
      <c r="Q342" s="5" t="s">
        <v>46</v>
      </c>
      <c r="R342" s="5" t="s">
        <v>56</v>
      </c>
      <c r="T342" s="5">
        <v>9</v>
      </c>
      <c r="U342" s="5">
        <v>1</v>
      </c>
      <c r="W342" s="5">
        <f t="shared" si="3"/>
        <v>0</v>
      </c>
    </row>
    <row r="343" spans="1:23" ht="15.75" customHeight="1" x14ac:dyDescent="0.25">
      <c r="A343" s="5" t="s">
        <v>633</v>
      </c>
      <c r="B343" s="6">
        <v>45036</v>
      </c>
      <c r="C343" s="5" t="s">
        <v>134</v>
      </c>
      <c r="D343" s="5" t="s">
        <v>64</v>
      </c>
      <c r="E343" s="5" t="s">
        <v>112</v>
      </c>
      <c r="F343" s="5" t="s">
        <v>113</v>
      </c>
      <c r="G343" s="5" t="s">
        <v>87</v>
      </c>
      <c r="H343" s="5" t="s">
        <v>29</v>
      </c>
      <c r="I343" s="5" t="s">
        <v>88</v>
      </c>
      <c r="J343" s="5">
        <v>46344</v>
      </c>
      <c r="K343" s="7">
        <v>64861.905000857165</v>
      </c>
      <c r="L343" s="5">
        <v>4</v>
      </c>
      <c r="M343" s="5">
        <v>0</v>
      </c>
      <c r="N343" s="8">
        <f t="shared" si="0"/>
        <v>259447.62000342866</v>
      </c>
      <c r="O343" s="5">
        <f t="shared" si="1"/>
        <v>185376</v>
      </c>
      <c r="P343" s="5">
        <f t="shared" si="2"/>
        <v>74071.620003428659</v>
      </c>
      <c r="Q343" s="5" t="s">
        <v>83</v>
      </c>
      <c r="R343" s="5" t="s">
        <v>32</v>
      </c>
      <c r="S343" s="6">
        <v>45043</v>
      </c>
      <c r="T343" s="5">
        <v>2</v>
      </c>
      <c r="U343" s="5">
        <v>4</v>
      </c>
      <c r="V343" s="5" t="s">
        <v>33</v>
      </c>
      <c r="W343" s="5">
        <f t="shared" si="3"/>
        <v>0</v>
      </c>
    </row>
    <row r="344" spans="1:23" ht="15.75" customHeight="1" x14ac:dyDescent="0.25">
      <c r="A344" s="5" t="s">
        <v>634</v>
      </c>
      <c r="B344" s="6">
        <v>45037</v>
      </c>
      <c r="C344" s="5" t="s">
        <v>635</v>
      </c>
      <c r="D344" s="5" t="s">
        <v>42</v>
      </c>
      <c r="E344" s="5" t="s">
        <v>69</v>
      </c>
      <c r="F344" s="5" t="s">
        <v>55</v>
      </c>
      <c r="G344" s="5" t="s">
        <v>106</v>
      </c>
      <c r="H344" s="5" t="s">
        <v>98</v>
      </c>
      <c r="I344" s="5" t="s">
        <v>107</v>
      </c>
      <c r="J344" s="5">
        <v>876</v>
      </c>
      <c r="K344" s="7">
        <v>1130.1102057748751</v>
      </c>
      <c r="L344" s="5">
        <v>2</v>
      </c>
      <c r="M344" s="5">
        <v>0</v>
      </c>
      <c r="N344" s="8">
        <f t="shared" si="0"/>
        <v>2260.2204115497502</v>
      </c>
      <c r="O344" s="5">
        <f t="shared" si="1"/>
        <v>1752</v>
      </c>
      <c r="P344" s="5">
        <f t="shared" si="2"/>
        <v>508.22041154975022</v>
      </c>
      <c r="Q344" s="5" t="s">
        <v>39</v>
      </c>
      <c r="R344" s="5" t="s">
        <v>32</v>
      </c>
      <c r="S344" s="6">
        <v>45045</v>
      </c>
      <c r="T344" s="5">
        <v>4</v>
      </c>
      <c r="U344" s="5">
        <v>3</v>
      </c>
      <c r="V344" s="5" t="s">
        <v>33</v>
      </c>
      <c r="W344" s="5">
        <f t="shared" si="3"/>
        <v>0</v>
      </c>
    </row>
    <row r="345" spans="1:23" ht="15.75" customHeight="1" x14ac:dyDescent="0.25">
      <c r="A345" s="5" t="s">
        <v>636</v>
      </c>
      <c r="B345" s="6">
        <v>45037</v>
      </c>
      <c r="C345" s="5" t="s">
        <v>637</v>
      </c>
      <c r="D345" s="5" t="s">
        <v>53</v>
      </c>
      <c r="E345" s="5" t="s">
        <v>49</v>
      </c>
      <c r="F345" s="5" t="s">
        <v>50</v>
      </c>
      <c r="G345" s="5" t="s">
        <v>97</v>
      </c>
      <c r="H345" s="5" t="s">
        <v>98</v>
      </c>
      <c r="I345" s="5" t="s">
        <v>99</v>
      </c>
      <c r="J345" s="5">
        <v>521</v>
      </c>
      <c r="K345" s="7">
        <v>870.55819537078116</v>
      </c>
      <c r="L345" s="5">
        <v>2</v>
      </c>
      <c r="M345" s="5">
        <v>20</v>
      </c>
      <c r="N345" s="8">
        <f t="shared" si="0"/>
        <v>1392.89311259325</v>
      </c>
      <c r="O345" s="5">
        <f t="shared" si="1"/>
        <v>1042</v>
      </c>
      <c r="P345" s="5">
        <f t="shared" si="2"/>
        <v>350.89311259324995</v>
      </c>
      <c r="Q345" s="5" t="s">
        <v>83</v>
      </c>
      <c r="R345" s="5" t="s">
        <v>56</v>
      </c>
      <c r="T345" s="5">
        <v>9</v>
      </c>
      <c r="U345" s="5">
        <v>1</v>
      </c>
      <c r="W345" s="5">
        <f t="shared" si="3"/>
        <v>0</v>
      </c>
    </row>
    <row r="346" spans="1:23" ht="15.75" customHeight="1" x14ac:dyDescent="0.25">
      <c r="A346" s="5" t="s">
        <v>638</v>
      </c>
      <c r="B346" s="6">
        <v>45037</v>
      </c>
      <c r="C346" s="5" t="s">
        <v>452</v>
      </c>
      <c r="D346" s="5" t="s">
        <v>148</v>
      </c>
      <c r="E346" s="5" t="s">
        <v>54</v>
      </c>
      <c r="F346" s="5" t="s">
        <v>55</v>
      </c>
      <c r="G346" s="5" t="s">
        <v>43</v>
      </c>
      <c r="H346" s="5" t="s">
        <v>44</v>
      </c>
      <c r="I346" s="5" t="s">
        <v>45</v>
      </c>
      <c r="J346" s="5">
        <v>629</v>
      </c>
      <c r="K346" s="7">
        <v>882.64534464625922</v>
      </c>
      <c r="L346" s="5">
        <v>4</v>
      </c>
      <c r="M346" s="5">
        <v>0</v>
      </c>
      <c r="N346" s="8">
        <f t="shared" si="0"/>
        <v>3530.5813785850369</v>
      </c>
      <c r="O346" s="5">
        <f t="shared" si="1"/>
        <v>2516</v>
      </c>
      <c r="P346" s="5">
        <f t="shared" si="2"/>
        <v>1014.5813785850369</v>
      </c>
      <c r="Q346" s="5" t="s">
        <v>31</v>
      </c>
      <c r="R346" s="5" t="s">
        <v>32</v>
      </c>
      <c r="S346" s="6">
        <v>45043</v>
      </c>
      <c r="T346" s="5">
        <v>1</v>
      </c>
      <c r="U346" s="5">
        <v>5</v>
      </c>
      <c r="V346" s="5" t="s">
        <v>33</v>
      </c>
      <c r="W346" s="5">
        <f t="shared" si="3"/>
        <v>0</v>
      </c>
    </row>
    <row r="347" spans="1:23" ht="15.75" customHeight="1" x14ac:dyDescent="0.25">
      <c r="A347" s="5" t="s">
        <v>639</v>
      </c>
      <c r="B347" s="6">
        <v>45038</v>
      </c>
      <c r="C347" s="5" t="s">
        <v>640</v>
      </c>
      <c r="D347" s="5" t="s">
        <v>208</v>
      </c>
      <c r="E347" s="5" t="s">
        <v>69</v>
      </c>
      <c r="F347" s="5" t="s">
        <v>55</v>
      </c>
      <c r="G347" s="5" t="s">
        <v>70</v>
      </c>
      <c r="H347" s="5" t="s">
        <v>44</v>
      </c>
      <c r="I347" s="5" t="s">
        <v>71</v>
      </c>
      <c r="J347" s="5">
        <v>1419</v>
      </c>
      <c r="K347" s="7">
        <v>2398.4349783242214</v>
      </c>
      <c r="L347" s="5">
        <v>2</v>
      </c>
      <c r="M347" s="5">
        <v>10</v>
      </c>
      <c r="N347" s="8">
        <f t="shared" si="0"/>
        <v>4317.1829609835986</v>
      </c>
      <c r="O347" s="5">
        <f t="shared" si="1"/>
        <v>2838</v>
      </c>
      <c r="P347" s="5">
        <f t="shared" si="2"/>
        <v>1479.1829609835986</v>
      </c>
      <c r="Q347" s="5" t="s">
        <v>46</v>
      </c>
      <c r="R347" s="5" t="s">
        <v>32</v>
      </c>
      <c r="S347" s="6">
        <v>45044</v>
      </c>
      <c r="T347" s="5">
        <v>3</v>
      </c>
      <c r="U347" s="5">
        <v>4</v>
      </c>
      <c r="V347" s="5" t="s">
        <v>33</v>
      </c>
      <c r="W347" s="5">
        <f t="shared" si="3"/>
        <v>0</v>
      </c>
    </row>
    <row r="348" spans="1:23" ht="15.75" customHeight="1" x14ac:dyDescent="0.25">
      <c r="A348" s="5" t="s">
        <v>641</v>
      </c>
      <c r="B348" s="6">
        <v>45038</v>
      </c>
      <c r="C348" s="5" t="s">
        <v>642</v>
      </c>
      <c r="D348" s="5" t="s">
        <v>181</v>
      </c>
      <c r="E348" s="5" t="s">
        <v>69</v>
      </c>
      <c r="F348" s="5" t="s">
        <v>55</v>
      </c>
      <c r="G348" s="5" t="s">
        <v>119</v>
      </c>
      <c r="H348" s="5" t="s">
        <v>76</v>
      </c>
      <c r="I348" s="5" t="s">
        <v>120</v>
      </c>
      <c r="J348" s="5">
        <v>55928</v>
      </c>
      <c r="K348" s="7">
        <v>77733.963748470676</v>
      </c>
      <c r="L348" s="5">
        <v>3</v>
      </c>
      <c r="M348" s="5">
        <v>15</v>
      </c>
      <c r="N348" s="8">
        <f t="shared" si="0"/>
        <v>198221.60755860023</v>
      </c>
      <c r="O348" s="5">
        <f t="shared" si="1"/>
        <v>167784</v>
      </c>
      <c r="P348" s="5">
        <f t="shared" si="2"/>
        <v>30437.607558600226</v>
      </c>
      <c r="Q348" s="5" t="s">
        <v>31</v>
      </c>
      <c r="R348" s="5" t="s">
        <v>32</v>
      </c>
      <c r="S348" s="6">
        <v>45043</v>
      </c>
      <c r="T348" s="5">
        <v>1</v>
      </c>
      <c r="U348" s="5">
        <v>4</v>
      </c>
      <c r="V348" s="5" t="s">
        <v>33</v>
      </c>
      <c r="W348" s="5">
        <f t="shared" si="3"/>
        <v>0</v>
      </c>
    </row>
    <row r="349" spans="1:23" ht="15.75" customHeight="1" x14ac:dyDescent="0.25">
      <c r="A349" s="5" t="s">
        <v>643</v>
      </c>
      <c r="B349" s="6">
        <v>45038</v>
      </c>
      <c r="C349" s="5" t="s">
        <v>154</v>
      </c>
      <c r="D349" s="5" t="s">
        <v>184</v>
      </c>
      <c r="E349" s="5" t="s">
        <v>112</v>
      </c>
      <c r="F349" s="5" t="s">
        <v>113</v>
      </c>
      <c r="G349" s="5" t="s">
        <v>106</v>
      </c>
      <c r="H349" s="5" t="s">
        <v>98</v>
      </c>
      <c r="I349" s="5" t="s">
        <v>107</v>
      </c>
      <c r="J349" s="5">
        <v>936</v>
      </c>
      <c r="K349" s="7">
        <v>1258.7548209762201</v>
      </c>
      <c r="L349" s="5">
        <v>5</v>
      </c>
      <c r="M349" s="5">
        <v>10</v>
      </c>
      <c r="N349" s="8">
        <f t="shared" si="0"/>
        <v>5664.3966943929909</v>
      </c>
      <c r="O349" s="5">
        <f t="shared" si="1"/>
        <v>4680</v>
      </c>
      <c r="P349" s="5">
        <f t="shared" si="2"/>
        <v>984.39669439299087</v>
      </c>
      <c r="Q349" s="5" t="s">
        <v>39</v>
      </c>
      <c r="R349" s="5" t="s">
        <v>32</v>
      </c>
      <c r="S349" s="6">
        <v>45046</v>
      </c>
      <c r="T349" s="5">
        <v>5</v>
      </c>
      <c r="U349" s="5">
        <v>3</v>
      </c>
      <c r="V349" s="5" t="s">
        <v>33</v>
      </c>
      <c r="W349" s="5">
        <f t="shared" si="3"/>
        <v>0</v>
      </c>
    </row>
    <row r="350" spans="1:23" ht="15.75" customHeight="1" x14ac:dyDescent="0.25">
      <c r="A350" s="5" t="s">
        <v>644</v>
      </c>
      <c r="B350" s="6">
        <v>45038</v>
      </c>
      <c r="C350" s="5" t="s">
        <v>642</v>
      </c>
      <c r="D350" s="5" t="s">
        <v>105</v>
      </c>
      <c r="E350" s="5" t="s">
        <v>54</v>
      </c>
      <c r="F350" s="5" t="s">
        <v>55</v>
      </c>
      <c r="G350" s="5" t="s">
        <v>87</v>
      </c>
      <c r="H350" s="5" t="s">
        <v>29</v>
      </c>
      <c r="I350" s="5" t="s">
        <v>88</v>
      </c>
      <c r="J350" s="5">
        <v>36739</v>
      </c>
      <c r="K350" s="7">
        <v>58952.12801910178</v>
      </c>
      <c r="L350" s="5">
        <v>5</v>
      </c>
      <c r="M350" s="5">
        <v>0</v>
      </c>
      <c r="N350" s="8">
        <f t="shared" si="0"/>
        <v>294760.64009550889</v>
      </c>
      <c r="O350" s="5">
        <f t="shared" si="1"/>
        <v>183695</v>
      </c>
      <c r="P350" s="5">
        <f t="shared" si="2"/>
        <v>111065.64009550889</v>
      </c>
      <c r="Q350" s="5" t="s">
        <v>46</v>
      </c>
      <c r="R350" s="5" t="s">
        <v>56</v>
      </c>
      <c r="T350" s="5">
        <v>8</v>
      </c>
      <c r="U350" s="5">
        <v>4</v>
      </c>
      <c r="W350" s="5">
        <f t="shared" si="3"/>
        <v>0</v>
      </c>
    </row>
    <row r="351" spans="1:23" ht="15.75" customHeight="1" x14ac:dyDescent="0.25">
      <c r="A351" s="5" t="s">
        <v>645</v>
      </c>
      <c r="B351" s="6">
        <v>45039</v>
      </c>
      <c r="C351" s="5" t="s">
        <v>296</v>
      </c>
      <c r="D351" s="5" t="s">
        <v>36</v>
      </c>
      <c r="E351" s="5" t="s">
        <v>69</v>
      </c>
      <c r="F351" s="5" t="s">
        <v>55</v>
      </c>
      <c r="G351" s="5" t="s">
        <v>43</v>
      </c>
      <c r="H351" s="5" t="s">
        <v>44</v>
      </c>
      <c r="I351" s="5" t="s">
        <v>45</v>
      </c>
      <c r="J351" s="5">
        <v>337</v>
      </c>
      <c r="K351" s="7">
        <v>602.6737587992385</v>
      </c>
      <c r="L351" s="5">
        <v>5</v>
      </c>
      <c r="M351" s="5">
        <v>15</v>
      </c>
      <c r="N351" s="8">
        <f t="shared" si="0"/>
        <v>2561.3634748967634</v>
      </c>
      <c r="O351" s="5">
        <f t="shared" si="1"/>
        <v>1685</v>
      </c>
      <c r="P351" s="5">
        <f t="shared" si="2"/>
        <v>876.36347489676336</v>
      </c>
      <c r="Q351" s="5" t="s">
        <v>39</v>
      </c>
      <c r="R351" s="5" t="s">
        <v>32</v>
      </c>
      <c r="S351" s="6">
        <v>45047</v>
      </c>
      <c r="T351" s="5">
        <v>1</v>
      </c>
      <c r="U351" s="5">
        <v>4</v>
      </c>
      <c r="V351" s="5" t="s">
        <v>33</v>
      </c>
      <c r="W351" s="5">
        <f t="shared" si="3"/>
        <v>0</v>
      </c>
    </row>
    <row r="352" spans="1:23" ht="15.75" customHeight="1" x14ac:dyDescent="0.25">
      <c r="A352" s="5" t="s">
        <v>646</v>
      </c>
      <c r="B352" s="6">
        <v>45039</v>
      </c>
      <c r="C352" s="5" t="s">
        <v>152</v>
      </c>
      <c r="D352" s="5" t="s">
        <v>181</v>
      </c>
      <c r="E352" s="5" t="s">
        <v>49</v>
      </c>
      <c r="F352" s="5" t="s">
        <v>50</v>
      </c>
      <c r="G352" s="5" t="s">
        <v>87</v>
      </c>
      <c r="H352" s="5" t="s">
        <v>29</v>
      </c>
      <c r="I352" s="5" t="s">
        <v>88</v>
      </c>
      <c r="J352" s="5">
        <v>29615</v>
      </c>
      <c r="K352" s="7">
        <v>41565.877160070107</v>
      </c>
      <c r="L352" s="5">
        <v>2</v>
      </c>
      <c r="M352" s="5">
        <v>10</v>
      </c>
      <c r="N352" s="8">
        <f t="shared" si="0"/>
        <v>74818.578888126198</v>
      </c>
      <c r="O352" s="5">
        <f t="shared" si="1"/>
        <v>59230</v>
      </c>
      <c r="P352" s="5">
        <f t="shared" si="2"/>
        <v>15588.578888126198</v>
      </c>
      <c r="Q352" s="5" t="s">
        <v>83</v>
      </c>
      <c r="R352" s="5" t="s">
        <v>32</v>
      </c>
      <c r="S352" s="6">
        <v>45046</v>
      </c>
      <c r="T352" s="5">
        <v>3</v>
      </c>
      <c r="U352" s="5">
        <v>2</v>
      </c>
      <c r="V352" s="5" t="s">
        <v>33</v>
      </c>
      <c r="W352" s="5">
        <f t="shared" si="3"/>
        <v>0</v>
      </c>
    </row>
    <row r="353" spans="1:23" ht="15.75" customHeight="1" x14ac:dyDescent="0.25">
      <c r="A353" s="5" t="s">
        <v>647</v>
      </c>
      <c r="B353" s="6">
        <v>45039</v>
      </c>
      <c r="C353" s="5" t="s">
        <v>321</v>
      </c>
      <c r="D353" s="5" t="s">
        <v>181</v>
      </c>
      <c r="E353" s="5" t="s">
        <v>80</v>
      </c>
      <c r="F353" s="5" t="s">
        <v>80</v>
      </c>
      <c r="G353" s="5" t="s">
        <v>139</v>
      </c>
      <c r="H353" s="5" t="s">
        <v>76</v>
      </c>
      <c r="I353" s="5" t="s">
        <v>140</v>
      </c>
      <c r="J353" s="5">
        <v>45075</v>
      </c>
      <c r="K353" s="7">
        <v>76442.857107522243</v>
      </c>
      <c r="L353" s="5">
        <v>1</v>
      </c>
      <c r="M353" s="5">
        <v>10</v>
      </c>
      <c r="N353" s="8">
        <f t="shared" si="0"/>
        <v>68798.571396770014</v>
      </c>
      <c r="O353" s="5">
        <f t="shared" si="1"/>
        <v>45075</v>
      </c>
      <c r="P353" s="5">
        <f t="shared" si="2"/>
        <v>23723.571396770014</v>
      </c>
      <c r="Q353" s="5" t="s">
        <v>83</v>
      </c>
      <c r="R353" s="5" t="s">
        <v>56</v>
      </c>
      <c r="T353" s="5">
        <v>8</v>
      </c>
      <c r="U353" s="5">
        <v>3</v>
      </c>
      <c r="W353" s="5">
        <f t="shared" si="3"/>
        <v>0</v>
      </c>
    </row>
    <row r="354" spans="1:23" ht="15.75" customHeight="1" x14ac:dyDescent="0.25">
      <c r="A354" s="5" t="s">
        <v>648</v>
      </c>
      <c r="B354" s="6">
        <v>45040</v>
      </c>
      <c r="C354" s="5" t="s">
        <v>649</v>
      </c>
      <c r="D354" s="5" t="s">
        <v>102</v>
      </c>
      <c r="E354" s="5" t="s">
        <v>60</v>
      </c>
      <c r="F354" s="5" t="s">
        <v>61</v>
      </c>
      <c r="G354" s="5" t="s">
        <v>28</v>
      </c>
      <c r="H354" s="5" t="s">
        <v>29</v>
      </c>
      <c r="I354" s="5" t="s">
        <v>30</v>
      </c>
      <c r="J354" s="5">
        <v>5585</v>
      </c>
      <c r="K354" s="7">
        <v>7054.9491765654966</v>
      </c>
      <c r="L354" s="5">
        <v>3</v>
      </c>
      <c r="M354" s="5">
        <v>0</v>
      </c>
      <c r="N354" s="8">
        <f t="shared" si="0"/>
        <v>21164.84752969649</v>
      </c>
      <c r="O354" s="5">
        <f t="shared" si="1"/>
        <v>16755</v>
      </c>
      <c r="P354" s="5">
        <f t="shared" si="2"/>
        <v>4409.8475296964898</v>
      </c>
      <c r="Q354" s="5" t="s">
        <v>46</v>
      </c>
      <c r="R354" s="5" t="s">
        <v>32</v>
      </c>
      <c r="S354" s="6">
        <v>45048</v>
      </c>
      <c r="T354" s="5">
        <v>4</v>
      </c>
      <c r="U354" s="5">
        <v>4</v>
      </c>
      <c r="V354" s="5" t="s">
        <v>33</v>
      </c>
      <c r="W354" s="5">
        <f t="shared" si="3"/>
        <v>0</v>
      </c>
    </row>
    <row r="355" spans="1:23" ht="15.75" customHeight="1" x14ac:dyDescent="0.25">
      <c r="A355" s="5" t="s">
        <v>650</v>
      </c>
      <c r="B355" s="6">
        <v>45040</v>
      </c>
      <c r="C355" s="5" t="s">
        <v>628</v>
      </c>
      <c r="D355" s="5" t="s">
        <v>74</v>
      </c>
      <c r="E355" s="5" t="s">
        <v>69</v>
      </c>
      <c r="F355" s="5" t="s">
        <v>55</v>
      </c>
      <c r="G355" s="5" t="s">
        <v>139</v>
      </c>
      <c r="H355" s="5" t="s">
        <v>76</v>
      </c>
      <c r="I355" s="5" t="s">
        <v>140</v>
      </c>
      <c r="J355" s="5">
        <v>31388</v>
      </c>
      <c r="K355" s="7">
        <v>52795.92491637855</v>
      </c>
      <c r="L355" s="5">
        <v>1</v>
      </c>
      <c r="M355" s="5">
        <v>10</v>
      </c>
      <c r="N355" s="8">
        <f t="shared" si="0"/>
        <v>47516.332424740693</v>
      </c>
      <c r="O355" s="5">
        <f t="shared" si="1"/>
        <v>31388</v>
      </c>
      <c r="P355" s="5">
        <f t="shared" si="2"/>
        <v>16128.332424740693</v>
      </c>
      <c r="Q355" s="5" t="s">
        <v>31</v>
      </c>
      <c r="R355" s="5" t="s">
        <v>32</v>
      </c>
      <c r="S355" s="6">
        <v>45048</v>
      </c>
      <c r="T355" s="5">
        <v>2</v>
      </c>
      <c r="U355" s="5">
        <v>5</v>
      </c>
      <c r="V355" s="5" t="s">
        <v>33</v>
      </c>
      <c r="W355" s="5">
        <f t="shared" si="3"/>
        <v>0</v>
      </c>
    </row>
    <row r="356" spans="1:23" ht="15.75" customHeight="1" x14ac:dyDescent="0.25">
      <c r="A356" s="5" t="s">
        <v>651</v>
      </c>
      <c r="B356" s="6">
        <v>45040</v>
      </c>
      <c r="C356" s="5" t="s">
        <v>560</v>
      </c>
      <c r="D356" s="5" t="s">
        <v>59</v>
      </c>
      <c r="E356" s="5" t="s">
        <v>69</v>
      </c>
      <c r="F356" s="5" t="s">
        <v>55</v>
      </c>
      <c r="G356" s="5" t="s">
        <v>75</v>
      </c>
      <c r="H356" s="5" t="s">
        <v>76</v>
      </c>
      <c r="I356" s="5" t="s">
        <v>77</v>
      </c>
      <c r="J356" s="5">
        <v>1869</v>
      </c>
      <c r="K356" s="7">
        <v>2205.7153328953877</v>
      </c>
      <c r="L356" s="5">
        <v>2</v>
      </c>
      <c r="M356" s="5">
        <v>5</v>
      </c>
      <c r="N356" s="8">
        <f t="shared" si="0"/>
        <v>4190.8591325012367</v>
      </c>
      <c r="O356" s="5">
        <f t="shared" si="1"/>
        <v>3738</v>
      </c>
      <c r="P356" s="5">
        <f t="shared" si="2"/>
        <v>452.85913250123667</v>
      </c>
      <c r="Q356" s="5" t="s">
        <v>83</v>
      </c>
      <c r="R356" s="5" t="s">
        <v>56</v>
      </c>
      <c r="T356" s="5">
        <v>7</v>
      </c>
      <c r="U356" s="5">
        <v>2</v>
      </c>
      <c r="W356" s="5">
        <f t="shared" si="3"/>
        <v>0</v>
      </c>
    </row>
    <row r="357" spans="1:23" ht="15.75" customHeight="1" x14ac:dyDescent="0.25">
      <c r="A357" s="5" t="s">
        <v>652</v>
      </c>
      <c r="B357" s="6">
        <v>45040</v>
      </c>
      <c r="C357" s="5" t="s">
        <v>389</v>
      </c>
      <c r="D357" s="5" t="s">
        <v>64</v>
      </c>
      <c r="E357" s="5" t="s">
        <v>60</v>
      </c>
      <c r="F357" s="5" t="s">
        <v>61</v>
      </c>
      <c r="G357" s="5" t="s">
        <v>97</v>
      </c>
      <c r="H357" s="5" t="s">
        <v>98</v>
      </c>
      <c r="I357" s="5" t="s">
        <v>99</v>
      </c>
      <c r="J357" s="5">
        <v>488</v>
      </c>
      <c r="K357" s="7">
        <v>684.37719317522055</v>
      </c>
      <c r="L357" s="5">
        <v>1</v>
      </c>
      <c r="M357" s="5">
        <v>5</v>
      </c>
      <c r="N357" s="8">
        <f t="shared" si="0"/>
        <v>650.15833351645949</v>
      </c>
      <c r="O357" s="5">
        <f t="shared" si="1"/>
        <v>488</v>
      </c>
      <c r="P357" s="5">
        <f t="shared" si="2"/>
        <v>162.15833351645949</v>
      </c>
      <c r="Q357" s="5" t="s">
        <v>31</v>
      </c>
      <c r="R357" s="5" t="s">
        <v>56</v>
      </c>
      <c r="T357" s="5">
        <v>9</v>
      </c>
      <c r="U357" s="5">
        <v>1</v>
      </c>
      <c r="W357" s="5">
        <f t="shared" si="3"/>
        <v>0</v>
      </c>
    </row>
    <row r="358" spans="1:23" ht="15.75" customHeight="1" x14ac:dyDescent="0.25">
      <c r="A358" s="5" t="s">
        <v>653</v>
      </c>
      <c r="B358" s="6">
        <v>45041</v>
      </c>
      <c r="C358" s="5" t="s">
        <v>599</v>
      </c>
      <c r="D358" s="5" t="s">
        <v>42</v>
      </c>
      <c r="E358" s="5" t="s">
        <v>80</v>
      </c>
      <c r="F358" s="5" t="s">
        <v>80</v>
      </c>
      <c r="G358" s="5" t="s">
        <v>81</v>
      </c>
      <c r="H358" s="5" t="s">
        <v>44</v>
      </c>
      <c r="I358" s="5" t="s">
        <v>82</v>
      </c>
      <c r="J358" s="5">
        <v>830</v>
      </c>
      <c r="K358" s="7">
        <v>1209.0685291275529</v>
      </c>
      <c r="L358" s="5">
        <v>5</v>
      </c>
      <c r="M358" s="5">
        <v>20</v>
      </c>
      <c r="N358" s="8">
        <f t="shared" si="0"/>
        <v>4836.2741165102116</v>
      </c>
      <c r="O358" s="5">
        <f t="shared" si="1"/>
        <v>4150</v>
      </c>
      <c r="P358" s="5">
        <f t="shared" si="2"/>
        <v>686.27411651021157</v>
      </c>
      <c r="Q358" s="5" t="s">
        <v>31</v>
      </c>
      <c r="R358" s="5" t="s">
        <v>32</v>
      </c>
      <c r="S358" s="6">
        <v>45047</v>
      </c>
      <c r="T358" s="5">
        <v>1</v>
      </c>
      <c r="U358" s="5">
        <v>4</v>
      </c>
      <c r="V358" s="5" t="s">
        <v>33</v>
      </c>
      <c r="W358" s="5">
        <f t="shared" si="3"/>
        <v>0</v>
      </c>
    </row>
    <row r="359" spans="1:23" ht="15.75" customHeight="1" x14ac:dyDescent="0.25">
      <c r="A359" s="5" t="s">
        <v>654</v>
      </c>
      <c r="B359" s="6">
        <v>45041</v>
      </c>
      <c r="C359" s="5" t="s">
        <v>336</v>
      </c>
      <c r="D359" s="5" t="s">
        <v>138</v>
      </c>
      <c r="E359" s="5" t="s">
        <v>80</v>
      </c>
      <c r="F359" s="5" t="s">
        <v>80</v>
      </c>
      <c r="G359" s="5" t="s">
        <v>97</v>
      </c>
      <c r="H359" s="5" t="s">
        <v>98</v>
      </c>
      <c r="I359" s="5" t="s">
        <v>99</v>
      </c>
      <c r="J359" s="5">
        <v>600</v>
      </c>
      <c r="K359" s="7">
        <v>829.18442825965019</v>
      </c>
      <c r="L359" s="5">
        <v>5</v>
      </c>
      <c r="M359" s="5">
        <v>0</v>
      </c>
      <c r="N359" s="8">
        <f t="shared" si="0"/>
        <v>4145.9221412982506</v>
      </c>
      <c r="O359" s="5">
        <f t="shared" si="1"/>
        <v>3000</v>
      </c>
      <c r="P359" s="5">
        <f t="shared" si="2"/>
        <v>1145.9221412982506</v>
      </c>
      <c r="Q359" s="5" t="s">
        <v>39</v>
      </c>
      <c r="R359" s="5" t="s">
        <v>56</v>
      </c>
      <c r="T359" s="5">
        <v>8</v>
      </c>
      <c r="U359" s="5">
        <v>4</v>
      </c>
      <c r="W359" s="5">
        <f t="shared" si="3"/>
        <v>0</v>
      </c>
    </row>
    <row r="360" spans="1:23" ht="15.75" customHeight="1" x14ac:dyDescent="0.25">
      <c r="A360" s="5" t="s">
        <v>655</v>
      </c>
      <c r="B360" s="6">
        <v>45041</v>
      </c>
      <c r="C360" s="5" t="s">
        <v>276</v>
      </c>
      <c r="D360" s="5" t="s">
        <v>102</v>
      </c>
      <c r="E360" s="5" t="s">
        <v>69</v>
      </c>
      <c r="F360" s="5" t="s">
        <v>55</v>
      </c>
      <c r="G360" s="5" t="s">
        <v>124</v>
      </c>
      <c r="H360" s="5" t="s">
        <v>76</v>
      </c>
      <c r="I360" s="5" t="s">
        <v>125</v>
      </c>
      <c r="J360" s="5">
        <v>81885</v>
      </c>
      <c r="K360" s="7">
        <v>123111.30722157974</v>
      </c>
      <c r="L360" s="5">
        <v>4</v>
      </c>
      <c r="M360" s="5">
        <v>15</v>
      </c>
      <c r="N360" s="8">
        <f t="shared" si="0"/>
        <v>418578.44455337111</v>
      </c>
      <c r="O360" s="5">
        <f t="shared" si="1"/>
        <v>327540</v>
      </c>
      <c r="P360" s="5">
        <f t="shared" si="2"/>
        <v>91038.444553371111</v>
      </c>
      <c r="Q360" s="5" t="s">
        <v>46</v>
      </c>
      <c r="R360" s="5" t="s">
        <v>32</v>
      </c>
      <c r="S360" s="6">
        <v>45049</v>
      </c>
      <c r="T360" s="5">
        <v>3</v>
      </c>
      <c r="U360" s="5">
        <v>4</v>
      </c>
      <c r="V360" s="5" t="s">
        <v>33</v>
      </c>
      <c r="W360" s="5">
        <f t="shared" si="3"/>
        <v>0</v>
      </c>
    </row>
    <row r="361" spans="1:23" ht="15.75" customHeight="1" x14ac:dyDescent="0.25">
      <c r="A361" s="5" t="s">
        <v>656</v>
      </c>
      <c r="B361" s="6">
        <v>45041</v>
      </c>
      <c r="C361" s="5" t="s">
        <v>657</v>
      </c>
      <c r="D361" s="5" t="s">
        <v>74</v>
      </c>
      <c r="E361" s="5" t="s">
        <v>80</v>
      </c>
      <c r="F361" s="5" t="s">
        <v>80</v>
      </c>
      <c r="G361" s="5" t="s">
        <v>92</v>
      </c>
      <c r="H361" s="5" t="s">
        <v>44</v>
      </c>
      <c r="I361" s="5" t="s">
        <v>45</v>
      </c>
      <c r="J361" s="5">
        <v>1295</v>
      </c>
      <c r="K361" s="7">
        <v>1958.2980976806687</v>
      </c>
      <c r="L361" s="5">
        <v>4</v>
      </c>
      <c r="M361" s="5">
        <v>10</v>
      </c>
      <c r="N361" s="8">
        <f t="shared" si="0"/>
        <v>7049.8731516504076</v>
      </c>
      <c r="O361" s="5">
        <f t="shared" si="1"/>
        <v>5180</v>
      </c>
      <c r="P361" s="5">
        <f t="shared" si="2"/>
        <v>1869.8731516504076</v>
      </c>
      <c r="Q361" s="5" t="s">
        <v>46</v>
      </c>
      <c r="R361" s="5" t="s">
        <v>56</v>
      </c>
      <c r="T361" s="5">
        <v>10</v>
      </c>
      <c r="U361" s="5">
        <v>1</v>
      </c>
      <c r="W361" s="5">
        <f t="shared" si="3"/>
        <v>0</v>
      </c>
    </row>
    <row r="362" spans="1:23" ht="15.75" customHeight="1" x14ac:dyDescent="0.25">
      <c r="A362" s="5" t="s">
        <v>658</v>
      </c>
      <c r="B362" s="6">
        <v>45041</v>
      </c>
      <c r="C362" s="5" t="s">
        <v>659</v>
      </c>
      <c r="D362" s="5" t="s">
        <v>53</v>
      </c>
      <c r="E362" s="5" t="s">
        <v>54</v>
      </c>
      <c r="F362" s="5" t="s">
        <v>55</v>
      </c>
      <c r="G362" s="5" t="s">
        <v>97</v>
      </c>
      <c r="H362" s="5" t="s">
        <v>98</v>
      </c>
      <c r="I362" s="5" t="s">
        <v>99</v>
      </c>
      <c r="J362" s="5">
        <v>594</v>
      </c>
      <c r="K362" s="7">
        <v>692.96149447545736</v>
      </c>
      <c r="L362" s="5">
        <v>5</v>
      </c>
      <c r="M362" s="5">
        <v>10</v>
      </c>
      <c r="N362" s="8">
        <f t="shared" si="0"/>
        <v>3118.3267251395582</v>
      </c>
      <c r="O362" s="5">
        <f t="shared" si="1"/>
        <v>2970</v>
      </c>
      <c r="P362" s="5">
        <f t="shared" si="2"/>
        <v>148.32672513955822</v>
      </c>
      <c r="Q362" s="5" t="s">
        <v>39</v>
      </c>
      <c r="R362" s="5" t="s">
        <v>32</v>
      </c>
      <c r="S362" s="6">
        <v>45047</v>
      </c>
      <c r="T362" s="5">
        <v>2</v>
      </c>
      <c r="U362" s="5">
        <v>4</v>
      </c>
      <c r="V362" s="5" t="s">
        <v>33</v>
      </c>
      <c r="W362" s="5">
        <f t="shared" si="3"/>
        <v>0</v>
      </c>
    </row>
    <row r="363" spans="1:23" ht="15.75" customHeight="1" x14ac:dyDescent="0.25">
      <c r="A363" s="5" t="s">
        <v>660</v>
      </c>
      <c r="B363" s="6">
        <v>45042</v>
      </c>
      <c r="C363" s="5" t="s">
        <v>290</v>
      </c>
      <c r="D363" s="5" t="s">
        <v>146</v>
      </c>
      <c r="E363" s="5" t="s">
        <v>26</v>
      </c>
      <c r="F363" s="5" t="s">
        <v>27</v>
      </c>
      <c r="G363" s="5" t="s">
        <v>97</v>
      </c>
      <c r="H363" s="5" t="s">
        <v>98</v>
      </c>
      <c r="I363" s="5" t="s">
        <v>99</v>
      </c>
      <c r="J363" s="5">
        <v>264</v>
      </c>
      <c r="K363" s="7">
        <v>386.04939016830252</v>
      </c>
      <c r="L363" s="5">
        <v>5</v>
      </c>
      <c r="M363" s="5">
        <v>5</v>
      </c>
      <c r="N363" s="8">
        <f t="shared" si="0"/>
        <v>1833.7346032994369</v>
      </c>
      <c r="O363" s="5">
        <f t="shared" si="1"/>
        <v>1320</v>
      </c>
      <c r="P363" s="5">
        <f t="shared" si="2"/>
        <v>513.73460329943691</v>
      </c>
      <c r="Q363" s="5" t="s">
        <v>31</v>
      </c>
      <c r="R363" s="5" t="s">
        <v>32</v>
      </c>
      <c r="S363" s="6">
        <v>45051</v>
      </c>
      <c r="T363" s="5">
        <v>2</v>
      </c>
      <c r="U363" s="5">
        <v>5</v>
      </c>
      <c r="V363" s="5" t="s">
        <v>33</v>
      </c>
      <c r="W363" s="5">
        <f t="shared" si="3"/>
        <v>0</v>
      </c>
    </row>
    <row r="364" spans="1:23" ht="15.75" customHeight="1" x14ac:dyDescent="0.25">
      <c r="A364" s="5" t="s">
        <v>661</v>
      </c>
      <c r="B364" s="6">
        <v>45042</v>
      </c>
      <c r="C364" s="5" t="s">
        <v>662</v>
      </c>
      <c r="D364" s="5" t="s">
        <v>146</v>
      </c>
      <c r="E364" s="5" t="s">
        <v>37</v>
      </c>
      <c r="F364" s="5" t="s">
        <v>38</v>
      </c>
      <c r="G364" s="5" t="s">
        <v>139</v>
      </c>
      <c r="H364" s="5" t="s">
        <v>76</v>
      </c>
      <c r="I364" s="5" t="s">
        <v>140</v>
      </c>
      <c r="J364" s="5">
        <v>33449</v>
      </c>
      <c r="K364" s="7">
        <v>47573.932123061393</v>
      </c>
      <c r="L364" s="5">
        <v>5</v>
      </c>
      <c r="M364" s="5">
        <v>20</v>
      </c>
      <c r="N364" s="8">
        <f t="shared" si="0"/>
        <v>190295.72849224557</v>
      </c>
      <c r="O364" s="5">
        <f t="shared" si="1"/>
        <v>167245</v>
      </c>
      <c r="P364" s="5">
        <f t="shared" si="2"/>
        <v>23050.728492245573</v>
      </c>
      <c r="Q364" s="5" t="s">
        <v>39</v>
      </c>
      <c r="R364" s="5" t="s">
        <v>32</v>
      </c>
      <c r="S364" s="6">
        <v>45051</v>
      </c>
      <c r="T364" s="5">
        <v>6</v>
      </c>
      <c r="U364" s="5">
        <v>3</v>
      </c>
      <c r="V364" s="5" t="s">
        <v>33</v>
      </c>
      <c r="W364" s="5">
        <f t="shared" si="3"/>
        <v>0</v>
      </c>
    </row>
    <row r="365" spans="1:23" ht="15.75" customHeight="1" x14ac:dyDescent="0.25">
      <c r="A365" s="5" t="s">
        <v>663</v>
      </c>
      <c r="B365" s="6">
        <v>45042</v>
      </c>
      <c r="C365" s="5" t="s">
        <v>392</v>
      </c>
      <c r="D365" s="5" t="s">
        <v>135</v>
      </c>
      <c r="E365" s="5" t="s">
        <v>54</v>
      </c>
      <c r="F365" s="5" t="s">
        <v>55</v>
      </c>
      <c r="G365" s="5" t="s">
        <v>92</v>
      </c>
      <c r="H365" s="5" t="s">
        <v>44</v>
      </c>
      <c r="I365" s="5" t="s">
        <v>45</v>
      </c>
      <c r="J365" s="5">
        <v>1194</v>
      </c>
      <c r="K365" s="7">
        <v>2141.6462909074894</v>
      </c>
      <c r="L365" s="5">
        <v>2</v>
      </c>
      <c r="M365" s="5">
        <v>0</v>
      </c>
      <c r="N365" s="8">
        <f t="shared" si="0"/>
        <v>4283.2925818149788</v>
      </c>
      <c r="O365" s="5">
        <f t="shared" si="1"/>
        <v>2388</v>
      </c>
      <c r="P365" s="5">
        <f t="shared" si="2"/>
        <v>1895.2925818149788</v>
      </c>
      <c r="Q365" s="5" t="s">
        <v>39</v>
      </c>
      <c r="R365" s="5" t="s">
        <v>32</v>
      </c>
      <c r="S365" s="6">
        <v>45049</v>
      </c>
      <c r="T365" s="5">
        <v>3</v>
      </c>
      <c r="U365" s="5">
        <v>2</v>
      </c>
      <c r="V365" s="5" t="s">
        <v>33</v>
      </c>
      <c r="W365" s="5">
        <f t="shared" si="3"/>
        <v>0</v>
      </c>
    </row>
    <row r="366" spans="1:23" ht="15.75" customHeight="1" x14ac:dyDescent="0.25">
      <c r="A366" s="5" t="s">
        <v>664</v>
      </c>
      <c r="B366" s="6">
        <v>45042</v>
      </c>
      <c r="C366" s="5" t="s">
        <v>482</v>
      </c>
      <c r="D366" s="5" t="s">
        <v>116</v>
      </c>
      <c r="E366" s="5" t="s">
        <v>54</v>
      </c>
      <c r="F366" s="5" t="s">
        <v>55</v>
      </c>
      <c r="G366" s="5" t="s">
        <v>106</v>
      </c>
      <c r="H366" s="5" t="s">
        <v>98</v>
      </c>
      <c r="I366" s="5" t="s">
        <v>107</v>
      </c>
      <c r="J366" s="5">
        <v>996</v>
      </c>
      <c r="K366" s="7">
        <v>1089.3371854195941</v>
      </c>
      <c r="L366" s="5">
        <v>1</v>
      </c>
      <c r="M366" s="5">
        <v>5</v>
      </c>
      <c r="N366" s="8">
        <f t="shared" si="0"/>
        <v>1034.8703261486144</v>
      </c>
      <c r="O366" s="5">
        <f t="shared" si="1"/>
        <v>996</v>
      </c>
      <c r="P366" s="5">
        <f t="shared" si="2"/>
        <v>38.870326148614367</v>
      </c>
      <c r="Q366" s="5" t="s">
        <v>46</v>
      </c>
      <c r="R366" s="5" t="s">
        <v>32</v>
      </c>
      <c r="S366" s="6">
        <v>45054</v>
      </c>
      <c r="T366" s="5">
        <v>6</v>
      </c>
      <c r="U366" s="5">
        <v>2</v>
      </c>
      <c r="V366" s="5" t="s">
        <v>33</v>
      </c>
      <c r="W366" s="5">
        <f t="shared" si="3"/>
        <v>0</v>
      </c>
    </row>
    <row r="367" spans="1:23" ht="15.75" customHeight="1" x14ac:dyDescent="0.25">
      <c r="A367" s="5" t="s">
        <v>665</v>
      </c>
      <c r="B367" s="6">
        <v>45043</v>
      </c>
      <c r="C367" s="5" t="s">
        <v>250</v>
      </c>
      <c r="D367" s="5" t="s">
        <v>150</v>
      </c>
      <c r="E367" s="5" t="s">
        <v>26</v>
      </c>
      <c r="F367" s="5" t="s">
        <v>27</v>
      </c>
      <c r="G367" s="5" t="s">
        <v>119</v>
      </c>
      <c r="H367" s="5" t="s">
        <v>76</v>
      </c>
      <c r="I367" s="5" t="s">
        <v>120</v>
      </c>
      <c r="J367" s="5">
        <v>45543</v>
      </c>
      <c r="K367" s="7">
        <v>72999.24870968044</v>
      </c>
      <c r="L367" s="5">
        <v>5</v>
      </c>
      <c r="M367" s="5">
        <v>20</v>
      </c>
      <c r="N367" s="8">
        <f t="shared" si="0"/>
        <v>291996.99483872176</v>
      </c>
      <c r="O367" s="5">
        <f t="shared" si="1"/>
        <v>227715</v>
      </c>
      <c r="P367" s="5">
        <f t="shared" si="2"/>
        <v>64281.994838721759</v>
      </c>
      <c r="Q367" s="5" t="s">
        <v>46</v>
      </c>
      <c r="R367" s="5" t="s">
        <v>32</v>
      </c>
      <c r="S367" s="6">
        <v>45050</v>
      </c>
      <c r="T367" s="5">
        <v>2</v>
      </c>
      <c r="U367" s="5">
        <v>4</v>
      </c>
      <c r="V367" s="5" t="s">
        <v>33</v>
      </c>
      <c r="W367" s="5">
        <f t="shared" si="3"/>
        <v>0</v>
      </c>
    </row>
    <row r="368" spans="1:23" ht="15.75" customHeight="1" x14ac:dyDescent="0.25">
      <c r="A368" s="5" t="s">
        <v>666</v>
      </c>
      <c r="B368" s="6">
        <v>45043</v>
      </c>
      <c r="C368" s="5" t="s">
        <v>667</v>
      </c>
      <c r="D368" s="5" t="s">
        <v>184</v>
      </c>
      <c r="E368" s="5" t="s">
        <v>112</v>
      </c>
      <c r="F368" s="5" t="s">
        <v>113</v>
      </c>
      <c r="G368" s="5" t="s">
        <v>43</v>
      </c>
      <c r="H368" s="5" t="s">
        <v>44</v>
      </c>
      <c r="I368" s="5" t="s">
        <v>45</v>
      </c>
      <c r="J368" s="5">
        <v>630</v>
      </c>
      <c r="K368" s="7">
        <v>1051.3228819137619</v>
      </c>
      <c r="L368" s="5">
        <v>4</v>
      </c>
      <c r="M368" s="5">
        <v>0</v>
      </c>
      <c r="N368" s="8">
        <f t="shared" si="0"/>
        <v>4205.2915276550475</v>
      </c>
      <c r="O368" s="5">
        <f t="shared" si="1"/>
        <v>2520</v>
      </c>
      <c r="P368" s="5">
        <f t="shared" si="2"/>
        <v>1685.2915276550475</v>
      </c>
      <c r="Q368" s="5" t="s">
        <v>39</v>
      </c>
      <c r="R368" s="5" t="s">
        <v>32</v>
      </c>
      <c r="S368" s="6">
        <v>45053</v>
      </c>
      <c r="T368" s="5">
        <v>5</v>
      </c>
      <c r="U368" s="5">
        <v>4</v>
      </c>
      <c r="V368" s="5" t="s">
        <v>33</v>
      </c>
      <c r="W368" s="5">
        <f t="shared" si="3"/>
        <v>0</v>
      </c>
    </row>
    <row r="369" spans="1:23" ht="15.75" customHeight="1" x14ac:dyDescent="0.25">
      <c r="A369" s="5" t="s">
        <v>668</v>
      </c>
      <c r="B369" s="6">
        <v>45043</v>
      </c>
      <c r="C369" s="5" t="s">
        <v>212</v>
      </c>
      <c r="D369" s="5" t="s">
        <v>150</v>
      </c>
      <c r="E369" s="5" t="s">
        <v>112</v>
      </c>
      <c r="F369" s="5" t="s">
        <v>113</v>
      </c>
      <c r="G369" s="5" t="s">
        <v>139</v>
      </c>
      <c r="H369" s="5" t="s">
        <v>76</v>
      </c>
      <c r="I369" s="5" t="s">
        <v>140</v>
      </c>
      <c r="J369" s="5">
        <v>36872</v>
      </c>
      <c r="K369" s="7">
        <v>63075.056459400679</v>
      </c>
      <c r="L369" s="5">
        <v>5</v>
      </c>
      <c r="M369" s="5">
        <v>5</v>
      </c>
      <c r="N369" s="8">
        <f t="shared" si="0"/>
        <v>299606.51818215317</v>
      </c>
      <c r="O369" s="5">
        <f t="shared" si="1"/>
        <v>184360</v>
      </c>
      <c r="P369" s="5">
        <f t="shared" si="2"/>
        <v>115246.51818215317</v>
      </c>
      <c r="Q369" s="5" t="s">
        <v>39</v>
      </c>
      <c r="R369" s="5" t="s">
        <v>32</v>
      </c>
      <c r="S369" s="6">
        <v>45050</v>
      </c>
      <c r="T369" s="5">
        <v>3</v>
      </c>
      <c r="U369" s="5">
        <v>4</v>
      </c>
      <c r="V369" s="5" t="s">
        <v>33</v>
      </c>
      <c r="W369" s="5">
        <f t="shared" si="3"/>
        <v>0</v>
      </c>
    </row>
    <row r="370" spans="1:23" ht="15.75" customHeight="1" x14ac:dyDescent="0.25">
      <c r="A370" s="5" t="s">
        <v>669</v>
      </c>
      <c r="B370" s="6">
        <v>45043</v>
      </c>
      <c r="C370" s="5" t="s">
        <v>670</v>
      </c>
      <c r="D370" s="5" t="s">
        <v>59</v>
      </c>
      <c r="E370" s="5" t="s">
        <v>69</v>
      </c>
      <c r="F370" s="5" t="s">
        <v>55</v>
      </c>
      <c r="G370" s="5" t="s">
        <v>87</v>
      </c>
      <c r="H370" s="5" t="s">
        <v>29</v>
      </c>
      <c r="I370" s="5" t="s">
        <v>88</v>
      </c>
      <c r="J370" s="5">
        <v>40896</v>
      </c>
      <c r="K370" s="7">
        <v>56155.583143897893</v>
      </c>
      <c r="L370" s="5">
        <v>1</v>
      </c>
      <c r="M370" s="5">
        <v>5</v>
      </c>
      <c r="N370" s="8">
        <f t="shared" si="0"/>
        <v>53347.803986702995</v>
      </c>
      <c r="O370" s="5">
        <f t="shared" si="1"/>
        <v>40896</v>
      </c>
      <c r="P370" s="5">
        <f t="shared" si="2"/>
        <v>12451.803986702995</v>
      </c>
      <c r="Q370" s="5" t="s">
        <v>31</v>
      </c>
      <c r="R370" s="5" t="s">
        <v>32</v>
      </c>
      <c r="S370" s="6">
        <v>45052</v>
      </c>
      <c r="T370" s="5">
        <v>4</v>
      </c>
      <c r="U370" s="5">
        <v>2</v>
      </c>
      <c r="V370" s="5" t="s">
        <v>33</v>
      </c>
      <c r="W370" s="5">
        <f t="shared" si="3"/>
        <v>0</v>
      </c>
    </row>
    <row r="371" spans="1:23" ht="15.75" customHeight="1" x14ac:dyDescent="0.25">
      <c r="A371" s="5" t="s">
        <v>671</v>
      </c>
      <c r="B371" s="6">
        <v>45043</v>
      </c>
      <c r="C371" s="5" t="s">
        <v>672</v>
      </c>
      <c r="D371" s="5" t="s">
        <v>36</v>
      </c>
      <c r="E371" s="5" t="s">
        <v>49</v>
      </c>
      <c r="F371" s="5" t="s">
        <v>50</v>
      </c>
      <c r="G371" s="5" t="s">
        <v>106</v>
      </c>
      <c r="H371" s="5" t="s">
        <v>98</v>
      </c>
      <c r="I371" s="5" t="s">
        <v>107</v>
      </c>
      <c r="J371" s="5">
        <v>855</v>
      </c>
      <c r="K371" s="7">
        <v>1057.9986121553511</v>
      </c>
      <c r="L371" s="5">
        <v>3</v>
      </c>
      <c r="M371" s="5">
        <v>10</v>
      </c>
      <c r="N371" s="8">
        <f t="shared" si="0"/>
        <v>2856.5962528194482</v>
      </c>
      <c r="O371" s="5">
        <f t="shared" si="1"/>
        <v>2565</v>
      </c>
      <c r="P371" s="5">
        <f t="shared" si="2"/>
        <v>291.59625281944818</v>
      </c>
      <c r="Q371" s="5" t="s">
        <v>39</v>
      </c>
      <c r="R371" s="5" t="s">
        <v>32</v>
      </c>
      <c r="S371" s="6">
        <v>45052</v>
      </c>
      <c r="T371" s="5">
        <v>2</v>
      </c>
      <c r="U371" s="5">
        <v>4</v>
      </c>
      <c r="V371" s="5" t="s">
        <v>33</v>
      </c>
      <c r="W371" s="5">
        <f t="shared" si="3"/>
        <v>0</v>
      </c>
    </row>
    <row r="372" spans="1:23" ht="15.75" customHeight="1" x14ac:dyDescent="0.25">
      <c r="A372" s="5" t="s">
        <v>673</v>
      </c>
      <c r="B372" s="6">
        <v>45043</v>
      </c>
      <c r="C372" s="5" t="s">
        <v>609</v>
      </c>
      <c r="D372" s="5" t="s">
        <v>25</v>
      </c>
      <c r="E372" s="5" t="s">
        <v>80</v>
      </c>
      <c r="F372" s="5" t="s">
        <v>80</v>
      </c>
      <c r="G372" s="5" t="s">
        <v>81</v>
      </c>
      <c r="H372" s="5" t="s">
        <v>44</v>
      </c>
      <c r="I372" s="5" t="s">
        <v>82</v>
      </c>
      <c r="J372" s="5">
        <v>2623</v>
      </c>
      <c r="K372" s="7">
        <v>4569.6853708639601</v>
      </c>
      <c r="L372" s="5">
        <v>1</v>
      </c>
      <c r="M372" s="5">
        <v>20</v>
      </c>
      <c r="N372" s="8">
        <f t="shared" si="0"/>
        <v>3655.7482966911684</v>
      </c>
      <c r="O372" s="5">
        <f t="shared" si="1"/>
        <v>2623</v>
      </c>
      <c r="P372" s="5">
        <f t="shared" si="2"/>
        <v>1032.7482966911684</v>
      </c>
      <c r="Q372" s="5" t="s">
        <v>31</v>
      </c>
      <c r="R372" s="5" t="s">
        <v>56</v>
      </c>
      <c r="T372" s="5">
        <v>9</v>
      </c>
      <c r="U372" s="5">
        <v>1</v>
      </c>
      <c r="W372" s="5">
        <f t="shared" si="3"/>
        <v>0</v>
      </c>
    </row>
    <row r="373" spans="1:23" ht="15.75" customHeight="1" x14ac:dyDescent="0.25">
      <c r="A373" s="5" t="s">
        <v>674</v>
      </c>
      <c r="B373" s="6">
        <v>45044</v>
      </c>
      <c r="C373" s="5" t="s">
        <v>392</v>
      </c>
      <c r="D373" s="5" t="s">
        <v>150</v>
      </c>
      <c r="E373" s="5" t="s">
        <v>60</v>
      </c>
      <c r="F373" s="5" t="s">
        <v>61</v>
      </c>
      <c r="G373" s="5" t="s">
        <v>70</v>
      </c>
      <c r="H373" s="5" t="s">
        <v>44</v>
      </c>
      <c r="I373" s="5" t="s">
        <v>71</v>
      </c>
      <c r="J373" s="5">
        <v>781</v>
      </c>
      <c r="K373" s="7">
        <v>1209.1958532168615</v>
      </c>
      <c r="L373" s="5">
        <v>4</v>
      </c>
      <c r="M373" s="5">
        <v>10</v>
      </c>
      <c r="N373" s="8">
        <f t="shared" si="0"/>
        <v>4353.1050715807014</v>
      </c>
      <c r="O373" s="5">
        <f t="shared" si="1"/>
        <v>3124</v>
      </c>
      <c r="P373" s="5">
        <f t="shared" si="2"/>
        <v>1229.1050715807014</v>
      </c>
      <c r="Q373" s="5" t="s">
        <v>83</v>
      </c>
      <c r="R373" s="5" t="s">
        <v>56</v>
      </c>
      <c r="T373" s="5">
        <v>7</v>
      </c>
      <c r="U373" s="5">
        <v>4</v>
      </c>
      <c r="W373" s="5">
        <f t="shared" si="3"/>
        <v>0</v>
      </c>
    </row>
    <row r="374" spans="1:23" ht="15.75" customHeight="1" x14ac:dyDescent="0.25">
      <c r="A374" s="5" t="s">
        <v>675</v>
      </c>
      <c r="B374" s="6">
        <v>45044</v>
      </c>
      <c r="C374" s="5" t="s">
        <v>599</v>
      </c>
      <c r="D374" s="5" t="s">
        <v>148</v>
      </c>
      <c r="E374" s="5" t="s">
        <v>80</v>
      </c>
      <c r="F374" s="5" t="s">
        <v>80</v>
      </c>
      <c r="G374" s="5" t="s">
        <v>124</v>
      </c>
      <c r="H374" s="5" t="s">
        <v>76</v>
      </c>
      <c r="I374" s="5" t="s">
        <v>125</v>
      </c>
      <c r="J374" s="5">
        <v>78390</v>
      </c>
      <c r="K374" s="7">
        <v>86533.985716355353</v>
      </c>
      <c r="L374" s="5">
        <v>1</v>
      </c>
      <c r="M374" s="5">
        <v>10</v>
      </c>
      <c r="N374" s="8">
        <f t="shared" si="0"/>
        <v>77880.587144719815</v>
      </c>
      <c r="O374" s="5">
        <f t="shared" si="1"/>
        <v>78390</v>
      </c>
      <c r="P374" s="5">
        <f t="shared" si="2"/>
        <v>-509.41285528018489</v>
      </c>
      <c r="Q374" s="5" t="s">
        <v>83</v>
      </c>
      <c r="R374" s="5" t="s">
        <v>56</v>
      </c>
      <c r="T374" s="5">
        <v>8</v>
      </c>
      <c r="U374" s="5">
        <v>2</v>
      </c>
      <c r="W374" s="5">
        <f t="shared" si="3"/>
        <v>0</v>
      </c>
    </row>
    <row r="375" spans="1:23" ht="15.75" customHeight="1" x14ac:dyDescent="0.25">
      <c r="A375" s="5" t="s">
        <v>676</v>
      </c>
      <c r="B375" s="6">
        <v>45044</v>
      </c>
      <c r="C375" s="5" t="s">
        <v>672</v>
      </c>
      <c r="D375" s="5" t="s">
        <v>102</v>
      </c>
      <c r="E375" s="5" t="s">
        <v>60</v>
      </c>
      <c r="F375" s="5" t="s">
        <v>61</v>
      </c>
      <c r="G375" s="5" t="s">
        <v>70</v>
      </c>
      <c r="H375" s="5" t="s">
        <v>44</v>
      </c>
      <c r="I375" s="5" t="s">
        <v>71</v>
      </c>
      <c r="J375" s="5">
        <v>1183</v>
      </c>
      <c r="K375" s="7">
        <v>1790.9112319502899</v>
      </c>
      <c r="L375" s="5">
        <v>3</v>
      </c>
      <c r="M375" s="5">
        <v>20</v>
      </c>
      <c r="N375" s="8">
        <f t="shared" si="0"/>
        <v>4298.1869566806954</v>
      </c>
      <c r="O375" s="5">
        <f t="shared" si="1"/>
        <v>3549</v>
      </c>
      <c r="P375" s="5">
        <f t="shared" si="2"/>
        <v>749.1869566806954</v>
      </c>
      <c r="Q375" s="5" t="s">
        <v>83</v>
      </c>
      <c r="R375" s="5" t="s">
        <v>32</v>
      </c>
      <c r="S375" s="6">
        <v>45059</v>
      </c>
      <c r="T375" s="5">
        <v>8</v>
      </c>
      <c r="U375" s="5">
        <v>2</v>
      </c>
      <c r="V375" s="5" t="s">
        <v>33</v>
      </c>
      <c r="W375" s="5">
        <f t="shared" si="3"/>
        <v>0</v>
      </c>
    </row>
    <row r="376" spans="1:23" ht="15.75" customHeight="1" x14ac:dyDescent="0.25">
      <c r="A376" s="5" t="s">
        <v>677</v>
      </c>
      <c r="B376" s="6">
        <v>45045</v>
      </c>
      <c r="C376" s="5" t="s">
        <v>425</v>
      </c>
      <c r="D376" s="5" t="s">
        <v>148</v>
      </c>
      <c r="E376" s="5" t="s">
        <v>80</v>
      </c>
      <c r="F376" s="5" t="s">
        <v>80</v>
      </c>
      <c r="G376" s="5" t="s">
        <v>87</v>
      </c>
      <c r="H376" s="5" t="s">
        <v>29</v>
      </c>
      <c r="I376" s="5" t="s">
        <v>88</v>
      </c>
      <c r="J376" s="5">
        <v>25178</v>
      </c>
      <c r="K376" s="7">
        <v>25626.680330108549</v>
      </c>
      <c r="L376" s="5">
        <v>2</v>
      </c>
      <c r="M376" s="5">
        <v>10</v>
      </c>
      <c r="N376" s="8">
        <f t="shared" si="0"/>
        <v>46128.024594195391</v>
      </c>
      <c r="O376" s="5">
        <f t="shared" si="1"/>
        <v>50356</v>
      </c>
      <c r="P376" s="5">
        <f t="shared" si="2"/>
        <v>-4227.9754058046092</v>
      </c>
      <c r="Q376" s="5" t="s">
        <v>31</v>
      </c>
      <c r="R376" s="5" t="s">
        <v>32</v>
      </c>
      <c r="S376" s="6">
        <v>45056</v>
      </c>
      <c r="T376" s="5">
        <v>6</v>
      </c>
      <c r="U376" s="5">
        <v>4</v>
      </c>
      <c r="V376" s="5" t="s">
        <v>89</v>
      </c>
      <c r="W376" s="5">
        <f t="shared" si="3"/>
        <v>1</v>
      </c>
    </row>
    <row r="377" spans="1:23" ht="15.75" customHeight="1" x14ac:dyDescent="0.25">
      <c r="A377" s="5" t="s">
        <v>678</v>
      </c>
      <c r="B377" s="6">
        <v>45045</v>
      </c>
      <c r="C377" s="5" t="s">
        <v>282</v>
      </c>
      <c r="D377" s="5" t="s">
        <v>64</v>
      </c>
      <c r="E377" s="5" t="s">
        <v>60</v>
      </c>
      <c r="F377" s="5" t="s">
        <v>61</v>
      </c>
      <c r="G377" s="5" t="s">
        <v>119</v>
      </c>
      <c r="H377" s="5" t="s">
        <v>76</v>
      </c>
      <c r="I377" s="5" t="s">
        <v>120</v>
      </c>
      <c r="J377" s="5">
        <v>45127</v>
      </c>
      <c r="K377" s="7">
        <v>60038.810915684342</v>
      </c>
      <c r="L377" s="5">
        <v>5</v>
      </c>
      <c r="M377" s="5">
        <v>5</v>
      </c>
      <c r="N377" s="8">
        <f t="shared" si="0"/>
        <v>285184.35184950061</v>
      </c>
      <c r="O377" s="5">
        <f t="shared" si="1"/>
        <v>225635</v>
      </c>
      <c r="P377" s="5">
        <f t="shared" si="2"/>
        <v>59549.351849500614</v>
      </c>
      <c r="Q377" s="5" t="s">
        <v>39</v>
      </c>
      <c r="R377" s="5" t="s">
        <v>32</v>
      </c>
      <c r="S377" s="6">
        <v>45054</v>
      </c>
      <c r="T377" s="5">
        <v>2</v>
      </c>
      <c r="U377" s="5">
        <v>4</v>
      </c>
      <c r="V377" s="5" t="s">
        <v>33</v>
      </c>
      <c r="W377" s="5">
        <f t="shared" si="3"/>
        <v>0</v>
      </c>
    </row>
    <row r="378" spans="1:23" ht="15.75" customHeight="1" x14ac:dyDescent="0.25">
      <c r="A378" s="5" t="s">
        <v>679</v>
      </c>
      <c r="B378" s="6">
        <v>45045</v>
      </c>
      <c r="C378" s="5" t="s">
        <v>199</v>
      </c>
      <c r="D378" s="5" t="s">
        <v>188</v>
      </c>
      <c r="E378" s="5" t="s">
        <v>112</v>
      </c>
      <c r="F378" s="5" t="s">
        <v>113</v>
      </c>
      <c r="G378" s="5" t="s">
        <v>124</v>
      </c>
      <c r="H378" s="5" t="s">
        <v>76</v>
      </c>
      <c r="I378" s="5" t="s">
        <v>125</v>
      </c>
      <c r="J378" s="5">
        <v>79333</v>
      </c>
      <c r="K378" s="7">
        <v>87555.917892563768</v>
      </c>
      <c r="L378" s="5">
        <v>1</v>
      </c>
      <c r="M378" s="5">
        <v>20</v>
      </c>
      <c r="N378" s="8">
        <f t="shared" si="0"/>
        <v>70044.73431405102</v>
      </c>
      <c r="O378" s="5">
        <f t="shared" si="1"/>
        <v>79333</v>
      </c>
      <c r="P378" s="5">
        <f t="shared" si="2"/>
        <v>-9288.2656859489798</v>
      </c>
      <c r="Q378" s="5" t="s">
        <v>39</v>
      </c>
      <c r="R378" s="5" t="s">
        <v>56</v>
      </c>
      <c r="T378" s="5">
        <v>10</v>
      </c>
      <c r="U378" s="5">
        <v>1</v>
      </c>
      <c r="W378" s="5">
        <f t="shared" si="3"/>
        <v>0</v>
      </c>
    </row>
    <row r="379" spans="1:23" ht="15.75" customHeight="1" x14ac:dyDescent="0.25">
      <c r="A379" s="5" t="s">
        <v>680</v>
      </c>
      <c r="B379" s="6">
        <v>45045</v>
      </c>
      <c r="C379" s="5" t="s">
        <v>681</v>
      </c>
      <c r="D379" s="5" t="s">
        <v>116</v>
      </c>
      <c r="E379" s="5" t="s">
        <v>26</v>
      </c>
      <c r="F379" s="5" t="s">
        <v>27</v>
      </c>
      <c r="G379" s="5" t="s">
        <v>28</v>
      </c>
      <c r="H379" s="5" t="s">
        <v>29</v>
      </c>
      <c r="I379" s="5" t="s">
        <v>30</v>
      </c>
      <c r="J379" s="5">
        <v>6538</v>
      </c>
      <c r="K379" s="7">
        <v>7176.2355280720531</v>
      </c>
      <c r="L379" s="5">
        <v>4</v>
      </c>
      <c r="M379" s="5">
        <v>10</v>
      </c>
      <c r="N379" s="8">
        <f t="shared" si="0"/>
        <v>25834.447901059393</v>
      </c>
      <c r="O379" s="5">
        <f t="shared" si="1"/>
        <v>26152</v>
      </c>
      <c r="P379" s="5">
        <f t="shared" si="2"/>
        <v>-317.55209894060681</v>
      </c>
      <c r="Q379" s="5" t="s">
        <v>31</v>
      </c>
      <c r="R379" s="5" t="s">
        <v>56</v>
      </c>
      <c r="T379" s="5">
        <v>9</v>
      </c>
      <c r="U379" s="5">
        <v>1</v>
      </c>
      <c r="W379" s="5">
        <f t="shared" si="3"/>
        <v>0</v>
      </c>
    </row>
    <row r="380" spans="1:23" ht="15.75" customHeight="1" x14ac:dyDescent="0.25">
      <c r="A380" s="5" t="s">
        <v>682</v>
      </c>
      <c r="B380" s="6">
        <v>45045</v>
      </c>
      <c r="C380" s="5" t="s">
        <v>526</v>
      </c>
      <c r="D380" s="5" t="s">
        <v>188</v>
      </c>
      <c r="E380" s="5" t="s">
        <v>54</v>
      </c>
      <c r="F380" s="5" t="s">
        <v>55</v>
      </c>
      <c r="G380" s="5" t="s">
        <v>97</v>
      </c>
      <c r="H380" s="5" t="s">
        <v>98</v>
      </c>
      <c r="I380" s="5" t="s">
        <v>99</v>
      </c>
      <c r="J380" s="5">
        <v>533</v>
      </c>
      <c r="K380" s="7">
        <v>558.77598174839147</v>
      </c>
      <c r="L380" s="5">
        <v>4</v>
      </c>
      <c r="M380" s="5">
        <v>10</v>
      </c>
      <c r="N380" s="8">
        <f t="shared" si="0"/>
        <v>2011.5935342942093</v>
      </c>
      <c r="O380" s="5">
        <f t="shared" si="1"/>
        <v>2132</v>
      </c>
      <c r="P380" s="5">
        <f t="shared" si="2"/>
        <v>-120.40646570579065</v>
      </c>
      <c r="Q380" s="5" t="s">
        <v>39</v>
      </c>
      <c r="R380" s="5" t="s">
        <v>32</v>
      </c>
      <c r="S380" s="6">
        <v>45052</v>
      </c>
      <c r="T380" s="5">
        <v>4</v>
      </c>
      <c r="U380" s="5">
        <v>2</v>
      </c>
      <c r="V380" s="5" t="s">
        <v>33</v>
      </c>
      <c r="W380" s="5">
        <f t="shared" si="3"/>
        <v>0</v>
      </c>
    </row>
    <row r="381" spans="1:23" ht="15.75" customHeight="1" x14ac:dyDescent="0.25">
      <c r="A381" s="5" t="s">
        <v>683</v>
      </c>
      <c r="B381" s="6">
        <v>45045</v>
      </c>
      <c r="C381" s="5" t="s">
        <v>130</v>
      </c>
      <c r="D381" s="5" t="s">
        <v>116</v>
      </c>
      <c r="E381" s="5" t="s">
        <v>60</v>
      </c>
      <c r="F381" s="5" t="s">
        <v>61</v>
      </c>
      <c r="G381" s="5" t="s">
        <v>139</v>
      </c>
      <c r="H381" s="5" t="s">
        <v>76</v>
      </c>
      <c r="I381" s="5" t="s">
        <v>140</v>
      </c>
      <c r="J381" s="5">
        <v>40938</v>
      </c>
      <c r="K381" s="7">
        <v>61717.35806136718</v>
      </c>
      <c r="L381" s="5">
        <v>3</v>
      </c>
      <c r="M381" s="5">
        <v>15</v>
      </c>
      <c r="N381" s="8">
        <f t="shared" si="0"/>
        <v>157379.26305648629</v>
      </c>
      <c r="O381" s="5">
        <f t="shared" si="1"/>
        <v>122814</v>
      </c>
      <c r="P381" s="5">
        <f t="shared" si="2"/>
        <v>34565.263056486292</v>
      </c>
      <c r="Q381" s="5" t="s">
        <v>83</v>
      </c>
      <c r="R381" s="5" t="s">
        <v>32</v>
      </c>
      <c r="S381" s="6">
        <v>45056</v>
      </c>
      <c r="T381" s="5">
        <v>5</v>
      </c>
      <c r="U381" s="5">
        <v>2</v>
      </c>
      <c r="V381" s="5" t="s">
        <v>33</v>
      </c>
      <c r="W381" s="5">
        <f t="shared" si="3"/>
        <v>0</v>
      </c>
    </row>
    <row r="382" spans="1:23" ht="15.75" customHeight="1" x14ac:dyDescent="0.25">
      <c r="A382" s="5" t="s">
        <v>684</v>
      </c>
      <c r="B382" s="6">
        <v>45046</v>
      </c>
      <c r="C382" s="5" t="s">
        <v>685</v>
      </c>
      <c r="D382" s="5" t="s">
        <v>42</v>
      </c>
      <c r="E382" s="5" t="s">
        <v>37</v>
      </c>
      <c r="F382" s="5" t="s">
        <v>38</v>
      </c>
      <c r="G382" s="5" t="s">
        <v>75</v>
      </c>
      <c r="H382" s="5" t="s">
        <v>76</v>
      </c>
      <c r="I382" s="5" t="s">
        <v>77</v>
      </c>
      <c r="J382" s="5">
        <v>1940</v>
      </c>
      <c r="K382" s="7">
        <v>2363.1405993660273</v>
      </c>
      <c r="L382" s="5">
        <v>1</v>
      </c>
      <c r="M382" s="5">
        <v>10</v>
      </c>
      <c r="N382" s="8">
        <f t="shared" si="0"/>
        <v>2126.8265394294249</v>
      </c>
      <c r="O382" s="5">
        <f t="shared" si="1"/>
        <v>1940</v>
      </c>
      <c r="P382" s="5">
        <f t="shared" si="2"/>
        <v>186.82653942942488</v>
      </c>
      <c r="Q382" s="5" t="s">
        <v>46</v>
      </c>
      <c r="R382" s="5" t="s">
        <v>32</v>
      </c>
      <c r="S382" s="6">
        <v>45056</v>
      </c>
      <c r="T382" s="5">
        <v>5</v>
      </c>
      <c r="U382" s="5">
        <v>3</v>
      </c>
      <c r="V382" s="5" t="s">
        <v>33</v>
      </c>
      <c r="W382" s="5">
        <f t="shared" si="3"/>
        <v>0</v>
      </c>
    </row>
    <row r="383" spans="1:23" ht="15.75" customHeight="1" x14ac:dyDescent="0.25">
      <c r="A383" s="5" t="s">
        <v>686</v>
      </c>
      <c r="B383" s="6">
        <v>45046</v>
      </c>
      <c r="C383" s="5" t="s">
        <v>687</v>
      </c>
      <c r="D383" s="5" t="s">
        <v>146</v>
      </c>
      <c r="E383" s="5" t="s">
        <v>69</v>
      </c>
      <c r="F383" s="5" t="s">
        <v>55</v>
      </c>
      <c r="G383" s="5" t="s">
        <v>92</v>
      </c>
      <c r="H383" s="5" t="s">
        <v>44</v>
      </c>
      <c r="I383" s="5" t="s">
        <v>45</v>
      </c>
      <c r="J383" s="5">
        <v>1486</v>
      </c>
      <c r="K383" s="7">
        <v>1635.4839040751131</v>
      </c>
      <c r="L383" s="5">
        <v>2</v>
      </c>
      <c r="M383" s="5">
        <v>20</v>
      </c>
      <c r="N383" s="8">
        <f t="shared" si="0"/>
        <v>2616.7742465201809</v>
      </c>
      <c r="O383" s="5">
        <f t="shared" si="1"/>
        <v>2972</v>
      </c>
      <c r="P383" s="5">
        <f t="shared" si="2"/>
        <v>-355.2257534798191</v>
      </c>
      <c r="Q383" s="5" t="s">
        <v>31</v>
      </c>
      <c r="R383" s="5" t="s">
        <v>32</v>
      </c>
      <c r="S383" s="6">
        <v>45057</v>
      </c>
      <c r="T383" s="5">
        <v>6</v>
      </c>
      <c r="U383" s="5">
        <v>4</v>
      </c>
      <c r="V383" s="5" t="s">
        <v>89</v>
      </c>
      <c r="W383" s="5">
        <f t="shared" si="3"/>
        <v>1</v>
      </c>
    </row>
    <row r="384" spans="1:23" ht="15.75" customHeight="1" x14ac:dyDescent="0.25">
      <c r="A384" s="5" t="s">
        <v>688</v>
      </c>
      <c r="B384" s="6">
        <v>45046</v>
      </c>
      <c r="C384" s="5" t="s">
        <v>524</v>
      </c>
      <c r="D384" s="5" t="s">
        <v>25</v>
      </c>
      <c r="E384" s="5" t="s">
        <v>54</v>
      </c>
      <c r="F384" s="5" t="s">
        <v>55</v>
      </c>
      <c r="G384" s="5" t="s">
        <v>28</v>
      </c>
      <c r="H384" s="5" t="s">
        <v>29</v>
      </c>
      <c r="I384" s="5" t="s">
        <v>30</v>
      </c>
      <c r="J384" s="5">
        <v>4198</v>
      </c>
      <c r="K384" s="7">
        <v>4432.0302544666874</v>
      </c>
      <c r="L384" s="5">
        <v>3</v>
      </c>
      <c r="M384" s="5">
        <v>20</v>
      </c>
      <c r="N384" s="8">
        <f t="shared" si="0"/>
        <v>10636.872610720049</v>
      </c>
      <c r="O384" s="5">
        <f t="shared" si="1"/>
        <v>12594</v>
      </c>
      <c r="P384" s="5">
        <f t="shared" si="2"/>
        <v>-1957.1273892799509</v>
      </c>
      <c r="Q384" s="5" t="s">
        <v>39</v>
      </c>
      <c r="R384" s="5" t="s">
        <v>32</v>
      </c>
      <c r="S384" s="6">
        <v>45056</v>
      </c>
      <c r="T384" s="5">
        <v>6</v>
      </c>
      <c r="U384" s="5">
        <v>2</v>
      </c>
      <c r="V384" s="5" t="s">
        <v>33</v>
      </c>
      <c r="W384" s="5">
        <f t="shared" si="3"/>
        <v>0</v>
      </c>
    </row>
    <row r="385" spans="1:23" ht="15.75" customHeight="1" x14ac:dyDescent="0.25">
      <c r="A385" s="5" t="s">
        <v>689</v>
      </c>
      <c r="B385" s="6">
        <v>45046</v>
      </c>
      <c r="C385" s="5" t="s">
        <v>383</v>
      </c>
      <c r="D385" s="5" t="s">
        <v>74</v>
      </c>
      <c r="E385" s="5" t="s">
        <v>80</v>
      </c>
      <c r="F385" s="5" t="s">
        <v>80</v>
      </c>
      <c r="G385" s="5" t="s">
        <v>139</v>
      </c>
      <c r="H385" s="5" t="s">
        <v>76</v>
      </c>
      <c r="I385" s="5" t="s">
        <v>140</v>
      </c>
      <c r="J385" s="5">
        <v>36795</v>
      </c>
      <c r="K385" s="7">
        <v>57274.38591720668</v>
      </c>
      <c r="L385" s="5">
        <v>4</v>
      </c>
      <c r="M385" s="5">
        <v>15</v>
      </c>
      <c r="N385" s="8">
        <f t="shared" si="0"/>
        <v>194732.91211850272</v>
      </c>
      <c r="O385" s="5">
        <f t="shared" si="1"/>
        <v>147180</v>
      </c>
      <c r="P385" s="5">
        <f t="shared" si="2"/>
        <v>47552.912118502718</v>
      </c>
      <c r="Q385" s="5" t="s">
        <v>46</v>
      </c>
      <c r="R385" s="5" t="s">
        <v>56</v>
      </c>
      <c r="T385" s="5">
        <v>10</v>
      </c>
      <c r="U385" s="5">
        <v>1</v>
      </c>
      <c r="W385" s="5">
        <f t="shared" si="3"/>
        <v>0</v>
      </c>
    </row>
    <row r="386" spans="1:23" ht="15.75" customHeight="1" x14ac:dyDescent="0.25">
      <c r="A386" s="5" t="s">
        <v>690</v>
      </c>
      <c r="B386" s="6">
        <v>45046</v>
      </c>
      <c r="C386" s="5" t="s">
        <v>574</v>
      </c>
      <c r="D386" s="5" t="s">
        <v>181</v>
      </c>
      <c r="E386" s="5" t="s">
        <v>37</v>
      </c>
      <c r="F386" s="5" t="s">
        <v>38</v>
      </c>
      <c r="G386" s="5" t="s">
        <v>119</v>
      </c>
      <c r="H386" s="5" t="s">
        <v>76</v>
      </c>
      <c r="I386" s="5" t="s">
        <v>120</v>
      </c>
      <c r="J386" s="5">
        <v>23873</v>
      </c>
      <c r="K386" s="7">
        <v>25290.945340381761</v>
      </c>
      <c r="L386" s="5">
        <v>4</v>
      </c>
      <c r="M386" s="5">
        <v>20</v>
      </c>
      <c r="N386" s="8">
        <f t="shared" si="0"/>
        <v>80931.025089221643</v>
      </c>
      <c r="O386" s="5">
        <f t="shared" si="1"/>
        <v>95492</v>
      </c>
      <c r="P386" s="5">
        <f t="shared" si="2"/>
        <v>-14560.974910778357</v>
      </c>
      <c r="Q386" s="5" t="s">
        <v>83</v>
      </c>
      <c r="R386" s="5" t="s">
        <v>32</v>
      </c>
      <c r="S386" s="6">
        <v>45055</v>
      </c>
      <c r="T386" s="5">
        <v>6</v>
      </c>
      <c r="U386" s="5">
        <v>3</v>
      </c>
      <c r="V386" s="5" t="s">
        <v>33</v>
      </c>
      <c r="W386" s="5">
        <f t="shared" si="3"/>
        <v>0</v>
      </c>
    </row>
    <row r="387" spans="1:23" ht="15.75" customHeight="1" x14ac:dyDescent="0.25">
      <c r="A387" s="5" t="s">
        <v>691</v>
      </c>
      <c r="B387" s="6">
        <v>45046</v>
      </c>
      <c r="C387" s="5" t="s">
        <v>692</v>
      </c>
      <c r="D387" s="5" t="s">
        <v>148</v>
      </c>
      <c r="E387" s="5" t="s">
        <v>80</v>
      </c>
      <c r="F387" s="5" t="s">
        <v>80</v>
      </c>
      <c r="G387" s="5" t="s">
        <v>92</v>
      </c>
      <c r="H387" s="5" t="s">
        <v>44</v>
      </c>
      <c r="I387" s="5" t="s">
        <v>45</v>
      </c>
      <c r="J387" s="5">
        <v>1162</v>
      </c>
      <c r="K387" s="7">
        <v>2084.4071876640046</v>
      </c>
      <c r="L387" s="5">
        <v>2</v>
      </c>
      <c r="M387" s="5">
        <v>10</v>
      </c>
      <c r="N387" s="8">
        <f t="shared" si="0"/>
        <v>3751.9329377952085</v>
      </c>
      <c r="O387" s="5">
        <f t="shared" si="1"/>
        <v>2324</v>
      </c>
      <c r="P387" s="5">
        <f t="shared" si="2"/>
        <v>1427.9329377952085</v>
      </c>
      <c r="Q387" s="5" t="s">
        <v>39</v>
      </c>
      <c r="R387" s="5" t="s">
        <v>32</v>
      </c>
      <c r="S387" s="6">
        <v>45050</v>
      </c>
      <c r="T387" s="5">
        <v>1</v>
      </c>
      <c r="U387" s="5">
        <v>5</v>
      </c>
      <c r="V387" s="5" t="s">
        <v>33</v>
      </c>
      <c r="W387" s="5">
        <f t="shared" si="3"/>
        <v>0</v>
      </c>
    </row>
    <row r="388" spans="1:23" ht="15.75" customHeight="1" x14ac:dyDescent="0.25">
      <c r="A388" s="5" t="s">
        <v>693</v>
      </c>
      <c r="B388" s="6">
        <v>45046</v>
      </c>
      <c r="C388" s="5" t="s">
        <v>115</v>
      </c>
      <c r="D388" s="5" t="s">
        <v>135</v>
      </c>
      <c r="E388" s="5" t="s">
        <v>69</v>
      </c>
      <c r="F388" s="5" t="s">
        <v>55</v>
      </c>
      <c r="G388" s="5" t="s">
        <v>87</v>
      </c>
      <c r="H388" s="5" t="s">
        <v>29</v>
      </c>
      <c r="I388" s="5" t="s">
        <v>88</v>
      </c>
      <c r="J388" s="5">
        <v>52191</v>
      </c>
      <c r="K388" s="7">
        <v>76734.091507701261</v>
      </c>
      <c r="L388" s="5">
        <v>2</v>
      </c>
      <c r="M388" s="5">
        <v>0</v>
      </c>
      <c r="N388" s="8">
        <f t="shared" si="0"/>
        <v>153468.18301540252</v>
      </c>
      <c r="O388" s="5">
        <f t="shared" si="1"/>
        <v>104382</v>
      </c>
      <c r="P388" s="5">
        <f t="shared" si="2"/>
        <v>49086.183015402523</v>
      </c>
      <c r="Q388" s="5" t="s">
        <v>31</v>
      </c>
      <c r="R388" s="5" t="s">
        <v>56</v>
      </c>
      <c r="T388" s="5">
        <v>7</v>
      </c>
      <c r="U388" s="5">
        <v>4</v>
      </c>
      <c r="W388" s="5">
        <f t="shared" si="3"/>
        <v>0</v>
      </c>
    </row>
    <row r="389" spans="1:23" ht="15.75" customHeight="1" x14ac:dyDescent="0.25">
      <c r="A389" s="5" t="s">
        <v>694</v>
      </c>
      <c r="B389" s="6">
        <v>45047</v>
      </c>
      <c r="C389" s="5" t="s">
        <v>63</v>
      </c>
      <c r="D389" s="5" t="s">
        <v>150</v>
      </c>
      <c r="E389" s="5" t="s">
        <v>26</v>
      </c>
      <c r="F389" s="5" t="s">
        <v>27</v>
      </c>
      <c r="G389" s="5" t="s">
        <v>75</v>
      </c>
      <c r="H389" s="5" t="s">
        <v>76</v>
      </c>
      <c r="I389" s="5" t="s">
        <v>77</v>
      </c>
      <c r="J389" s="5">
        <v>1169</v>
      </c>
      <c r="K389" s="7">
        <v>1196.3482606059936</v>
      </c>
      <c r="L389" s="5">
        <v>3</v>
      </c>
      <c r="M389" s="5">
        <v>5</v>
      </c>
      <c r="N389" s="8">
        <f t="shared" si="0"/>
        <v>3409.5925427270818</v>
      </c>
      <c r="O389" s="5">
        <f t="shared" si="1"/>
        <v>3507</v>
      </c>
      <c r="P389" s="5">
        <f t="shared" si="2"/>
        <v>-97.407457272918236</v>
      </c>
      <c r="Q389" s="5" t="s">
        <v>46</v>
      </c>
      <c r="R389" s="5" t="s">
        <v>32</v>
      </c>
      <c r="S389" s="6">
        <v>45057</v>
      </c>
      <c r="T389" s="5">
        <v>3</v>
      </c>
      <c r="U389" s="5">
        <v>4</v>
      </c>
      <c r="V389" s="5" t="s">
        <v>33</v>
      </c>
      <c r="W389" s="5">
        <f t="shared" si="3"/>
        <v>0</v>
      </c>
    </row>
    <row r="390" spans="1:23" ht="15.75" customHeight="1" x14ac:dyDescent="0.25">
      <c r="A390" s="5" t="s">
        <v>695</v>
      </c>
      <c r="B390" s="6">
        <v>45047</v>
      </c>
      <c r="C390" s="5" t="s">
        <v>696</v>
      </c>
      <c r="D390" s="5" t="s">
        <v>102</v>
      </c>
      <c r="E390" s="5" t="s">
        <v>54</v>
      </c>
      <c r="F390" s="5" t="s">
        <v>55</v>
      </c>
      <c r="G390" s="5" t="s">
        <v>43</v>
      </c>
      <c r="H390" s="5" t="s">
        <v>44</v>
      </c>
      <c r="I390" s="5" t="s">
        <v>45</v>
      </c>
      <c r="J390" s="5">
        <v>534</v>
      </c>
      <c r="K390" s="7">
        <v>756.74926296401031</v>
      </c>
      <c r="L390" s="5">
        <v>5</v>
      </c>
      <c r="M390" s="5">
        <v>20</v>
      </c>
      <c r="N390" s="8">
        <f t="shared" si="0"/>
        <v>3026.9970518560413</v>
      </c>
      <c r="O390" s="5">
        <f t="shared" si="1"/>
        <v>2670</v>
      </c>
      <c r="P390" s="5">
        <f t="shared" si="2"/>
        <v>356.99705185604125</v>
      </c>
      <c r="Q390" s="5" t="s">
        <v>31</v>
      </c>
      <c r="R390" s="5" t="s">
        <v>32</v>
      </c>
      <c r="S390" s="6">
        <v>45060</v>
      </c>
      <c r="T390" s="5">
        <v>6</v>
      </c>
      <c r="U390" s="5">
        <v>4</v>
      </c>
      <c r="V390" s="5" t="s">
        <v>89</v>
      </c>
      <c r="W390" s="5">
        <f t="shared" si="3"/>
        <v>1</v>
      </c>
    </row>
    <row r="391" spans="1:23" ht="15.75" customHeight="1" x14ac:dyDescent="0.25">
      <c r="A391" s="5" t="s">
        <v>697</v>
      </c>
      <c r="B391" s="6">
        <v>45048</v>
      </c>
      <c r="C391" s="5" t="s">
        <v>698</v>
      </c>
      <c r="D391" s="5" t="s">
        <v>25</v>
      </c>
      <c r="E391" s="5" t="s">
        <v>80</v>
      </c>
      <c r="F391" s="5" t="s">
        <v>80</v>
      </c>
      <c r="G391" s="5" t="s">
        <v>28</v>
      </c>
      <c r="H391" s="5" t="s">
        <v>29</v>
      </c>
      <c r="I391" s="5" t="s">
        <v>30</v>
      </c>
      <c r="J391" s="5">
        <v>6242</v>
      </c>
      <c r="K391" s="7">
        <v>11000.401152934886</v>
      </c>
      <c r="L391" s="5">
        <v>3</v>
      </c>
      <c r="M391" s="5">
        <v>5</v>
      </c>
      <c r="N391" s="8">
        <f t="shared" si="0"/>
        <v>31351.143285864426</v>
      </c>
      <c r="O391" s="5">
        <f t="shared" si="1"/>
        <v>18726</v>
      </c>
      <c r="P391" s="5">
        <f t="shared" si="2"/>
        <v>12625.143285864426</v>
      </c>
      <c r="Q391" s="5" t="s">
        <v>46</v>
      </c>
      <c r="R391" s="5" t="s">
        <v>32</v>
      </c>
      <c r="S391" s="6">
        <v>45052</v>
      </c>
      <c r="T391" s="5">
        <v>1</v>
      </c>
      <c r="U391" s="5">
        <v>4</v>
      </c>
      <c r="V391" s="5" t="s">
        <v>33</v>
      </c>
      <c r="W391" s="5">
        <f t="shared" si="3"/>
        <v>0</v>
      </c>
    </row>
    <row r="392" spans="1:23" ht="15.75" customHeight="1" x14ac:dyDescent="0.25">
      <c r="A392" s="5" t="s">
        <v>699</v>
      </c>
      <c r="B392" s="6">
        <v>45048</v>
      </c>
      <c r="C392" s="5" t="s">
        <v>63</v>
      </c>
      <c r="D392" s="5" t="s">
        <v>64</v>
      </c>
      <c r="E392" s="5" t="s">
        <v>80</v>
      </c>
      <c r="F392" s="5" t="s">
        <v>80</v>
      </c>
      <c r="G392" s="5" t="s">
        <v>92</v>
      </c>
      <c r="H392" s="5" t="s">
        <v>44</v>
      </c>
      <c r="I392" s="5" t="s">
        <v>45</v>
      </c>
      <c r="J392" s="5">
        <v>1072</v>
      </c>
      <c r="K392" s="7">
        <v>1344.4624911750545</v>
      </c>
      <c r="L392" s="5">
        <v>5</v>
      </c>
      <c r="M392" s="5">
        <v>10</v>
      </c>
      <c r="N392" s="8">
        <f t="shared" si="0"/>
        <v>6050.0812102877453</v>
      </c>
      <c r="O392" s="5">
        <f t="shared" si="1"/>
        <v>5360</v>
      </c>
      <c r="P392" s="5">
        <f t="shared" si="2"/>
        <v>690.08121028774531</v>
      </c>
      <c r="Q392" s="5" t="s">
        <v>46</v>
      </c>
      <c r="R392" s="5" t="s">
        <v>56</v>
      </c>
      <c r="T392" s="5">
        <v>7</v>
      </c>
      <c r="U392" s="5">
        <v>3</v>
      </c>
      <c r="W392" s="5">
        <f t="shared" si="3"/>
        <v>0</v>
      </c>
    </row>
    <row r="393" spans="1:23" ht="15.75" customHeight="1" x14ac:dyDescent="0.25">
      <c r="A393" s="5" t="s">
        <v>700</v>
      </c>
      <c r="B393" s="6">
        <v>45048</v>
      </c>
      <c r="C393" s="5" t="s">
        <v>381</v>
      </c>
      <c r="D393" s="5" t="s">
        <v>148</v>
      </c>
      <c r="E393" s="5" t="s">
        <v>80</v>
      </c>
      <c r="F393" s="5" t="s">
        <v>80</v>
      </c>
      <c r="G393" s="5" t="s">
        <v>81</v>
      </c>
      <c r="H393" s="5" t="s">
        <v>44</v>
      </c>
      <c r="I393" s="5" t="s">
        <v>82</v>
      </c>
      <c r="J393" s="5">
        <v>1215</v>
      </c>
      <c r="K393" s="7">
        <v>2128.4025502364279</v>
      </c>
      <c r="L393" s="5">
        <v>1</v>
      </c>
      <c r="M393" s="5">
        <v>15</v>
      </c>
      <c r="N393" s="8">
        <f t="shared" si="0"/>
        <v>1809.1421677009637</v>
      </c>
      <c r="O393" s="5">
        <f t="shared" si="1"/>
        <v>1215</v>
      </c>
      <c r="P393" s="5">
        <f t="shared" si="2"/>
        <v>594.14216770096368</v>
      </c>
      <c r="Q393" s="5" t="s">
        <v>31</v>
      </c>
      <c r="R393" s="5" t="s">
        <v>32</v>
      </c>
      <c r="S393" s="6">
        <v>45054</v>
      </c>
      <c r="T393" s="5">
        <v>2</v>
      </c>
      <c r="U393" s="5">
        <v>5</v>
      </c>
      <c r="V393" s="5" t="s">
        <v>33</v>
      </c>
      <c r="W393" s="5">
        <f t="shared" si="3"/>
        <v>0</v>
      </c>
    </row>
    <row r="394" spans="1:23" ht="15.75" customHeight="1" x14ac:dyDescent="0.25">
      <c r="A394" s="5" t="s">
        <v>701</v>
      </c>
      <c r="B394" s="6">
        <v>45048</v>
      </c>
      <c r="C394" s="5" t="s">
        <v>547</v>
      </c>
      <c r="D394" s="5" t="s">
        <v>74</v>
      </c>
      <c r="E394" s="5" t="s">
        <v>49</v>
      </c>
      <c r="F394" s="5" t="s">
        <v>50</v>
      </c>
      <c r="G394" s="5" t="s">
        <v>43</v>
      </c>
      <c r="H394" s="5" t="s">
        <v>44</v>
      </c>
      <c r="I394" s="5" t="s">
        <v>45</v>
      </c>
      <c r="J394" s="5">
        <v>302</v>
      </c>
      <c r="K394" s="7">
        <v>356.55297050120924</v>
      </c>
      <c r="L394" s="5">
        <v>3</v>
      </c>
      <c r="M394" s="5">
        <v>15</v>
      </c>
      <c r="N394" s="8">
        <f t="shared" si="0"/>
        <v>909.21007477808348</v>
      </c>
      <c r="O394" s="5">
        <f t="shared" si="1"/>
        <v>906</v>
      </c>
      <c r="P394" s="5">
        <f t="shared" si="2"/>
        <v>3.2100747780834809</v>
      </c>
      <c r="Q394" s="5" t="s">
        <v>39</v>
      </c>
      <c r="R394" s="5" t="s">
        <v>56</v>
      </c>
      <c r="T394" s="5">
        <v>10</v>
      </c>
      <c r="U394" s="5">
        <v>1</v>
      </c>
      <c r="W394" s="5">
        <f t="shared" si="3"/>
        <v>0</v>
      </c>
    </row>
    <row r="395" spans="1:23" ht="15.75" customHeight="1" x14ac:dyDescent="0.25">
      <c r="A395" s="5" t="s">
        <v>702</v>
      </c>
      <c r="B395" s="6">
        <v>45048</v>
      </c>
      <c r="C395" s="5" t="s">
        <v>408</v>
      </c>
      <c r="D395" s="5" t="s">
        <v>116</v>
      </c>
      <c r="E395" s="5" t="s">
        <v>49</v>
      </c>
      <c r="F395" s="5" t="s">
        <v>50</v>
      </c>
      <c r="G395" s="5" t="s">
        <v>75</v>
      </c>
      <c r="H395" s="5" t="s">
        <v>76</v>
      </c>
      <c r="I395" s="5" t="s">
        <v>77</v>
      </c>
      <c r="J395" s="5">
        <v>1054</v>
      </c>
      <c r="K395" s="7">
        <v>1251.2839400287828</v>
      </c>
      <c r="L395" s="5">
        <v>3</v>
      </c>
      <c r="M395" s="5">
        <v>0</v>
      </c>
      <c r="N395" s="8">
        <f t="shared" si="0"/>
        <v>3753.8518200863482</v>
      </c>
      <c r="O395" s="5">
        <f t="shared" si="1"/>
        <v>3162</v>
      </c>
      <c r="P395" s="5">
        <f t="shared" si="2"/>
        <v>591.8518200863482</v>
      </c>
      <c r="Q395" s="5" t="s">
        <v>83</v>
      </c>
      <c r="R395" s="5" t="s">
        <v>32</v>
      </c>
      <c r="S395" s="6">
        <v>45053</v>
      </c>
      <c r="T395" s="5">
        <v>1</v>
      </c>
      <c r="U395" s="5">
        <v>5</v>
      </c>
      <c r="V395" s="5" t="s">
        <v>33</v>
      </c>
      <c r="W395" s="5">
        <f t="shared" si="3"/>
        <v>0</v>
      </c>
    </row>
    <row r="396" spans="1:23" ht="15.75" customHeight="1" x14ac:dyDescent="0.25">
      <c r="A396" s="5" t="s">
        <v>703</v>
      </c>
      <c r="B396" s="6">
        <v>45049</v>
      </c>
      <c r="C396" s="5" t="s">
        <v>704</v>
      </c>
      <c r="D396" s="5" t="s">
        <v>150</v>
      </c>
      <c r="E396" s="5" t="s">
        <v>60</v>
      </c>
      <c r="F396" s="5" t="s">
        <v>61</v>
      </c>
      <c r="G396" s="5" t="s">
        <v>106</v>
      </c>
      <c r="H396" s="5" t="s">
        <v>98</v>
      </c>
      <c r="I396" s="5" t="s">
        <v>107</v>
      </c>
      <c r="J396" s="5">
        <v>763</v>
      </c>
      <c r="K396" s="7">
        <v>1262.8982100792341</v>
      </c>
      <c r="L396" s="5">
        <v>2</v>
      </c>
      <c r="M396" s="5">
        <v>10</v>
      </c>
      <c r="N396" s="8">
        <f t="shared" si="0"/>
        <v>2273.2167781426215</v>
      </c>
      <c r="O396" s="5">
        <f t="shared" si="1"/>
        <v>1526</v>
      </c>
      <c r="P396" s="5">
        <f t="shared" si="2"/>
        <v>747.21677814262148</v>
      </c>
      <c r="Q396" s="5" t="s">
        <v>83</v>
      </c>
      <c r="R396" s="5" t="s">
        <v>56</v>
      </c>
      <c r="T396" s="5">
        <v>10</v>
      </c>
      <c r="U396" s="5">
        <v>1</v>
      </c>
      <c r="W396" s="5">
        <f t="shared" si="3"/>
        <v>0</v>
      </c>
    </row>
    <row r="397" spans="1:23" ht="15.75" customHeight="1" x14ac:dyDescent="0.25">
      <c r="A397" s="5" t="s">
        <v>705</v>
      </c>
      <c r="B397" s="6">
        <v>45049</v>
      </c>
      <c r="C397" s="5" t="s">
        <v>170</v>
      </c>
      <c r="D397" s="5" t="s">
        <v>181</v>
      </c>
      <c r="E397" s="5" t="s">
        <v>60</v>
      </c>
      <c r="F397" s="5" t="s">
        <v>61</v>
      </c>
      <c r="G397" s="5" t="s">
        <v>81</v>
      </c>
      <c r="H397" s="5" t="s">
        <v>44</v>
      </c>
      <c r="I397" s="5" t="s">
        <v>82</v>
      </c>
      <c r="J397" s="5">
        <v>2020</v>
      </c>
      <c r="K397" s="7">
        <v>2585.6101556863673</v>
      </c>
      <c r="L397" s="5">
        <v>5</v>
      </c>
      <c r="M397" s="5">
        <v>20</v>
      </c>
      <c r="N397" s="8">
        <f t="shared" si="0"/>
        <v>10342.440622745469</v>
      </c>
      <c r="O397" s="5">
        <f t="shared" si="1"/>
        <v>10100</v>
      </c>
      <c r="P397" s="5">
        <f t="shared" si="2"/>
        <v>242.44062274546923</v>
      </c>
      <c r="Q397" s="5" t="s">
        <v>46</v>
      </c>
      <c r="R397" s="5" t="s">
        <v>32</v>
      </c>
      <c r="S397" s="6">
        <v>45061</v>
      </c>
      <c r="T397" s="5">
        <v>6</v>
      </c>
      <c r="U397" s="5">
        <v>2</v>
      </c>
      <c r="V397" s="5" t="s">
        <v>33</v>
      </c>
      <c r="W397" s="5">
        <f t="shared" si="3"/>
        <v>0</v>
      </c>
    </row>
    <row r="398" spans="1:23" ht="15.75" customHeight="1" x14ac:dyDescent="0.25">
      <c r="A398" s="5" t="s">
        <v>706</v>
      </c>
      <c r="B398" s="6">
        <v>45049</v>
      </c>
      <c r="C398" s="5" t="s">
        <v>413</v>
      </c>
      <c r="D398" s="5" t="s">
        <v>138</v>
      </c>
      <c r="E398" s="5" t="s">
        <v>112</v>
      </c>
      <c r="F398" s="5" t="s">
        <v>113</v>
      </c>
      <c r="G398" s="5" t="s">
        <v>119</v>
      </c>
      <c r="H398" s="5" t="s">
        <v>76</v>
      </c>
      <c r="I398" s="5" t="s">
        <v>120</v>
      </c>
      <c r="J398" s="5">
        <v>42067</v>
      </c>
      <c r="K398" s="7">
        <v>43325.886442761352</v>
      </c>
      <c r="L398" s="5">
        <v>4</v>
      </c>
      <c r="M398" s="5">
        <v>15</v>
      </c>
      <c r="N398" s="8">
        <f t="shared" si="0"/>
        <v>147308.01390538859</v>
      </c>
      <c r="O398" s="5">
        <f t="shared" si="1"/>
        <v>168268</v>
      </c>
      <c r="P398" s="5">
        <f t="shared" si="2"/>
        <v>-20959.986094611406</v>
      </c>
      <c r="Q398" s="5" t="s">
        <v>46</v>
      </c>
      <c r="R398" s="5" t="s">
        <v>32</v>
      </c>
      <c r="S398" s="6">
        <v>45059</v>
      </c>
      <c r="T398" s="5">
        <v>5</v>
      </c>
      <c r="U398" s="5">
        <v>2</v>
      </c>
      <c r="V398" s="5" t="s">
        <v>33</v>
      </c>
      <c r="W398" s="5">
        <f t="shared" si="3"/>
        <v>0</v>
      </c>
    </row>
    <row r="399" spans="1:23" ht="15.75" customHeight="1" x14ac:dyDescent="0.25">
      <c r="A399" s="5" t="s">
        <v>707</v>
      </c>
      <c r="B399" s="6">
        <v>45049</v>
      </c>
      <c r="C399" s="5" t="s">
        <v>137</v>
      </c>
      <c r="D399" s="5" t="s">
        <v>74</v>
      </c>
      <c r="E399" s="5" t="s">
        <v>26</v>
      </c>
      <c r="F399" s="5" t="s">
        <v>27</v>
      </c>
      <c r="G399" s="5" t="s">
        <v>28</v>
      </c>
      <c r="H399" s="5" t="s">
        <v>29</v>
      </c>
      <c r="I399" s="5" t="s">
        <v>30</v>
      </c>
      <c r="J399" s="5">
        <v>3094</v>
      </c>
      <c r="K399" s="7">
        <v>5537.4756984826508</v>
      </c>
      <c r="L399" s="5">
        <v>1</v>
      </c>
      <c r="M399" s="5">
        <v>5</v>
      </c>
      <c r="N399" s="8">
        <f t="shared" si="0"/>
        <v>5260.6019135585184</v>
      </c>
      <c r="O399" s="5">
        <f t="shared" si="1"/>
        <v>3094</v>
      </c>
      <c r="P399" s="5">
        <f t="shared" si="2"/>
        <v>2166.6019135585184</v>
      </c>
      <c r="Q399" s="5" t="s">
        <v>46</v>
      </c>
      <c r="R399" s="5" t="s">
        <v>32</v>
      </c>
      <c r="S399" s="6">
        <v>45060</v>
      </c>
      <c r="T399" s="5">
        <v>6</v>
      </c>
      <c r="U399" s="5">
        <v>3</v>
      </c>
      <c r="V399" s="5" t="s">
        <v>33</v>
      </c>
      <c r="W399" s="5">
        <f t="shared" si="3"/>
        <v>0</v>
      </c>
    </row>
    <row r="400" spans="1:23" ht="15.75" customHeight="1" x14ac:dyDescent="0.25">
      <c r="A400" s="5" t="s">
        <v>708</v>
      </c>
      <c r="B400" s="6">
        <v>45049</v>
      </c>
      <c r="C400" s="5" t="s">
        <v>352</v>
      </c>
      <c r="D400" s="5" t="s">
        <v>188</v>
      </c>
      <c r="E400" s="5" t="s">
        <v>49</v>
      </c>
      <c r="F400" s="5" t="s">
        <v>50</v>
      </c>
      <c r="G400" s="5" t="s">
        <v>43</v>
      </c>
      <c r="H400" s="5" t="s">
        <v>44</v>
      </c>
      <c r="I400" s="5" t="s">
        <v>45</v>
      </c>
      <c r="J400" s="5">
        <v>323</v>
      </c>
      <c r="K400" s="7">
        <v>505.98441629326203</v>
      </c>
      <c r="L400" s="5">
        <v>3</v>
      </c>
      <c r="M400" s="5">
        <v>10</v>
      </c>
      <c r="N400" s="8">
        <f t="shared" si="0"/>
        <v>1366.1579239918076</v>
      </c>
      <c r="O400" s="5">
        <f t="shared" si="1"/>
        <v>969</v>
      </c>
      <c r="P400" s="5">
        <f t="shared" si="2"/>
        <v>397.15792399180759</v>
      </c>
      <c r="Q400" s="5" t="s">
        <v>39</v>
      </c>
      <c r="R400" s="5" t="s">
        <v>32</v>
      </c>
      <c r="S400" s="6">
        <v>45058</v>
      </c>
      <c r="T400" s="5">
        <v>4</v>
      </c>
      <c r="U400" s="5">
        <v>3</v>
      </c>
      <c r="V400" s="5" t="s">
        <v>33</v>
      </c>
      <c r="W400" s="5">
        <f t="shared" si="3"/>
        <v>0</v>
      </c>
    </row>
    <row r="401" spans="1:23" ht="15.75" customHeight="1" x14ac:dyDescent="0.25">
      <c r="A401" s="5" t="s">
        <v>709</v>
      </c>
      <c r="B401" s="6">
        <v>45049</v>
      </c>
      <c r="C401" s="5" t="s">
        <v>574</v>
      </c>
      <c r="D401" s="5" t="s">
        <v>42</v>
      </c>
      <c r="E401" s="5" t="s">
        <v>37</v>
      </c>
      <c r="F401" s="5" t="s">
        <v>38</v>
      </c>
      <c r="G401" s="5" t="s">
        <v>70</v>
      </c>
      <c r="H401" s="5" t="s">
        <v>44</v>
      </c>
      <c r="I401" s="5" t="s">
        <v>71</v>
      </c>
      <c r="J401" s="5">
        <v>1425</v>
      </c>
      <c r="K401" s="7">
        <v>1782.4515921215914</v>
      </c>
      <c r="L401" s="5">
        <v>2</v>
      </c>
      <c r="M401" s="5">
        <v>10</v>
      </c>
      <c r="N401" s="8">
        <f t="shared" si="0"/>
        <v>3208.4128658188647</v>
      </c>
      <c r="O401" s="5">
        <f t="shared" si="1"/>
        <v>2850</v>
      </c>
      <c r="P401" s="5">
        <f t="shared" si="2"/>
        <v>358.4128658188647</v>
      </c>
      <c r="Q401" s="5" t="s">
        <v>31</v>
      </c>
      <c r="R401" s="5" t="s">
        <v>56</v>
      </c>
      <c r="T401" s="5">
        <v>10</v>
      </c>
      <c r="U401" s="5">
        <v>1</v>
      </c>
      <c r="W401" s="5">
        <f t="shared" si="3"/>
        <v>0</v>
      </c>
    </row>
    <row r="402" spans="1:23" ht="15.75" customHeight="1" x14ac:dyDescent="0.25">
      <c r="A402" s="5" t="s">
        <v>710</v>
      </c>
      <c r="B402" s="6">
        <v>45050</v>
      </c>
      <c r="C402" s="5" t="s">
        <v>711</v>
      </c>
      <c r="D402" s="5" t="s">
        <v>102</v>
      </c>
      <c r="E402" s="5" t="s">
        <v>80</v>
      </c>
      <c r="F402" s="5" t="s">
        <v>80</v>
      </c>
      <c r="G402" s="5" t="s">
        <v>92</v>
      </c>
      <c r="H402" s="5" t="s">
        <v>44</v>
      </c>
      <c r="I402" s="5" t="s">
        <v>45</v>
      </c>
      <c r="J402" s="5">
        <v>955</v>
      </c>
      <c r="K402" s="7">
        <v>1144.0778751651708</v>
      </c>
      <c r="L402" s="5">
        <v>4</v>
      </c>
      <c r="M402" s="5">
        <v>15</v>
      </c>
      <c r="N402" s="8">
        <f t="shared" si="0"/>
        <v>3889.8647755615807</v>
      </c>
      <c r="O402" s="5">
        <f t="shared" si="1"/>
        <v>3820</v>
      </c>
      <c r="P402" s="5">
        <f t="shared" si="2"/>
        <v>69.8647755615807</v>
      </c>
      <c r="Q402" s="5" t="s">
        <v>83</v>
      </c>
      <c r="R402" s="5" t="s">
        <v>32</v>
      </c>
      <c r="S402" s="6">
        <v>45058</v>
      </c>
      <c r="T402" s="5">
        <v>1</v>
      </c>
      <c r="U402" s="5">
        <v>4</v>
      </c>
      <c r="V402" s="5" t="s">
        <v>33</v>
      </c>
      <c r="W402" s="5">
        <f t="shared" si="3"/>
        <v>0</v>
      </c>
    </row>
    <row r="403" spans="1:23" ht="15.75" customHeight="1" x14ac:dyDescent="0.25">
      <c r="A403" s="5" t="s">
        <v>712</v>
      </c>
      <c r="B403" s="6">
        <v>45050</v>
      </c>
      <c r="C403" s="5" t="s">
        <v>41</v>
      </c>
      <c r="D403" s="5" t="s">
        <v>146</v>
      </c>
      <c r="E403" s="5" t="s">
        <v>49</v>
      </c>
      <c r="F403" s="5" t="s">
        <v>50</v>
      </c>
      <c r="G403" s="5" t="s">
        <v>106</v>
      </c>
      <c r="H403" s="5" t="s">
        <v>98</v>
      </c>
      <c r="I403" s="5" t="s">
        <v>107</v>
      </c>
      <c r="J403" s="5">
        <v>643</v>
      </c>
      <c r="K403" s="7">
        <v>674.86425020712261</v>
      </c>
      <c r="L403" s="5">
        <v>1</v>
      </c>
      <c r="M403" s="5">
        <v>5</v>
      </c>
      <c r="N403" s="8">
        <f t="shared" si="0"/>
        <v>641.12103769676639</v>
      </c>
      <c r="O403" s="5">
        <f t="shared" si="1"/>
        <v>643</v>
      </c>
      <c r="P403" s="5">
        <f t="shared" si="2"/>
        <v>-1.8789623032336067</v>
      </c>
      <c r="Q403" s="5" t="s">
        <v>39</v>
      </c>
      <c r="R403" s="5" t="s">
        <v>32</v>
      </c>
      <c r="S403" s="6">
        <v>45056</v>
      </c>
      <c r="T403" s="5">
        <v>1</v>
      </c>
      <c r="U403" s="5">
        <v>5</v>
      </c>
      <c r="V403" s="5" t="s">
        <v>33</v>
      </c>
      <c r="W403" s="5">
        <f t="shared" si="3"/>
        <v>0</v>
      </c>
    </row>
    <row r="404" spans="1:23" ht="15.75" customHeight="1" x14ac:dyDescent="0.25">
      <c r="A404" s="5" t="s">
        <v>713</v>
      </c>
      <c r="B404" s="6">
        <v>45050</v>
      </c>
      <c r="C404" s="5" t="s">
        <v>383</v>
      </c>
      <c r="D404" s="5" t="s">
        <v>188</v>
      </c>
      <c r="E404" s="5" t="s">
        <v>49</v>
      </c>
      <c r="F404" s="5" t="s">
        <v>50</v>
      </c>
      <c r="G404" s="5" t="s">
        <v>119</v>
      </c>
      <c r="H404" s="5" t="s">
        <v>76</v>
      </c>
      <c r="I404" s="5" t="s">
        <v>120</v>
      </c>
      <c r="J404" s="5">
        <v>46864</v>
      </c>
      <c r="K404" s="7">
        <v>66908.68052204237</v>
      </c>
      <c r="L404" s="5">
        <v>2</v>
      </c>
      <c r="M404" s="5">
        <v>0</v>
      </c>
      <c r="N404" s="8">
        <f t="shared" si="0"/>
        <v>133817.36104408474</v>
      </c>
      <c r="O404" s="5">
        <f t="shared" si="1"/>
        <v>93728</v>
      </c>
      <c r="P404" s="5">
        <f t="shared" si="2"/>
        <v>40089.361044084741</v>
      </c>
      <c r="Q404" s="5" t="s">
        <v>39</v>
      </c>
      <c r="R404" s="5" t="s">
        <v>56</v>
      </c>
      <c r="T404" s="5">
        <v>10</v>
      </c>
      <c r="U404" s="5">
        <v>1</v>
      </c>
      <c r="W404" s="5">
        <f t="shared" si="3"/>
        <v>0</v>
      </c>
    </row>
    <row r="405" spans="1:23" ht="15.75" customHeight="1" x14ac:dyDescent="0.25">
      <c r="A405" s="5" t="s">
        <v>714</v>
      </c>
      <c r="B405" s="6">
        <v>45050</v>
      </c>
      <c r="C405" s="5" t="s">
        <v>466</v>
      </c>
      <c r="D405" s="5" t="s">
        <v>64</v>
      </c>
      <c r="E405" s="5" t="s">
        <v>54</v>
      </c>
      <c r="F405" s="5" t="s">
        <v>55</v>
      </c>
      <c r="G405" s="5" t="s">
        <v>124</v>
      </c>
      <c r="H405" s="5" t="s">
        <v>76</v>
      </c>
      <c r="I405" s="5" t="s">
        <v>125</v>
      </c>
      <c r="J405" s="5">
        <v>52795</v>
      </c>
      <c r="K405" s="7">
        <v>82781.689732734754</v>
      </c>
      <c r="L405" s="5">
        <v>4</v>
      </c>
      <c r="M405" s="5">
        <v>15</v>
      </c>
      <c r="N405" s="8">
        <f t="shared" si="0"/>
        <v>281457.74509129813</v>
      </c>
      <c r="O405" s="5">
        <f t="shared" si="1"/>
        <v>211180</v>
      </c>
      <c r="P405" s="5">
        <f t="shared" si="2"/>
        <v>70277.745091298129</v>
      </c>
      <c r="Q405" s="5" t="s">
        <v>83</v>
      </c>
      <c r="R405" s="5" t="s">
        <v>32</v>
      </c>
      <c r="S405" s="6">
        <v>45058</v>
      </c>
      <c r="T405" s="5">
        <v>3</v>
      </c>
      <c r="U405" s="5">
        <v>4</v>
      </c>
      <c r="V405" s="5" t="s">
        <v>33</v>
      </c>
      <c r="W405" s="5">
        <f t="shared" si="3"/>
        <v>0</v>
      </c>
    </row>
    <row r="406" spans="1:23" ht="15.75" customHeight="1" x14ac:dyDescent="0.25">
      <c r="A406" s="5" t="s">
        <v>715</v>
      </c>
      <c r="B406" s="6">
        <v>45051</v>
      </c>
      <c r="C406" s="5" t="s">
        <v>199</v>
      </c>
      <c r="D406" s="5" t="s">
        <v>53</v>
      </c>
      <c r="E406" s="5" t="s">
        <v>37</v>
      </c>
      <c r="F406" s="5" t="s">
        <v>38</v>
      </c>
      <c r="G406" s="5" t="s">
        <v>139</v>
      </c>
      <c r="H406" s="5" t="s">
        <v>76</v>
      </c>
      <c r="I406" s="5" t="s">
        <v>140</v>
      </c>
      <c r="J406" s="5">
        <v>34329</v>
      </c>
      <c r="K406" s="7">
        <v>36945.567364903793</v>
      </c>
      <c r="L406" s="5">
        <v>2</v>
      </c>
      <c r="M406" s="5">
        <v>5</v>
      </c>
      <c r="N406" s="8">
        <f t="shared" si="0"/>
        <v>70196.577993317202</v>
      </c>
      <c r="O406" s="5">
        <f t="shared" si="1"/>
        <v>68658</v>
      </c>
      <c r="P406" s="5">
        <f t="shared" si="2"/>
        <v>1538.5779933172016</v>
      </c>
      <c r="Q406" s="5" t="s">
        <v>83</v>
      </c>
      <c r="R406" s="5" t="s">
        <v>32</v>
      </c>
      <c r="S406" s="6">
        <v>45057</v>
      </c>
      <c r="T406" s="5">
        <v>1</v>
      </c>
      <c r="U406" s="5">
        <v>4</v>
      </c>
      <c r="V406" s="5" t="s">
        <v>33</v>
      </c>
      <c r="W406" s="5">
        <f t="shared" si="3"/>
        <v>0</v>
      </c>
    </row>
    <row r="407" spans="1:23" ht="15.75" customHeight="1" x14ac:dyDescent="0.25">
      <c r="A407" s="5" t="s">
        <v>716</v>
      </c>
      <c r="B407" s="6">
        <v>45051</v>
      </c>
      <c r="C407" s="5" t="s">
        <v>681</v>
      </c>
      <c r="D407" s="5" t="s">
        <v>105</v>
      </c>
      <c r="E407" s="5" t="s">
        <v>54</v>
      </c>
      <c r="F407" s="5" t="s">
        <v>55</v>
      </c>
      <c r="G407" s="5" t="s">
        <v>43</v>
      </c>
      <c r="H407" s="5" t="s">
        <v>44</v>
      </c>
      <c r="I407" s="5" t="s">
        <v>45</v>
      </c>
      <c r="J407" s="5">
        <v>676</v>
      </c>
      <c r="K407" s="7">
        <v>1086.7322832194259</v>
      </c>
      <c r="L407" s="5">
        <v>4</v>
      </c>
      <c r="M407" s="5">
        <v>10</v>
      </c>
      <c r="N407" s="8">
        <f t="shared" si="0"/>
        <v>3912.2362195899332</v>
      </c>
      <c r="O407" s="5">
        <f t="shared" si="1"/>
        <v>2704</v>
      </c>
      <c r="P407" s="5">
        <f t="shared" si="2"/>
        <v>1208.2362195899332</v>
      </c>
      <c r="Q407" s="5" t="s">
        <v>31</v>
      </c>
      <c r="R407" s="5" t="s">
        <v>56</v>
      </c>
      <c r="T407" s="5">
        <v>7</v>
      </c>
      <c r="U407" s="5">
        <v>2</v>
      </c>
      <c r="W407" s="5">
        <f t="shared" si="3"/>
        <v>0</v>
      </c>
    </row>
    <row r="408" spans="1:23" ht="15.75" customHeight="1" x14ac:dyDescent="0.25">
      <c r="A408" s="5" t="s">
        <v>717</v>
      </c>
      <c r="B408" s="6">
        <v>45051</v>
      </c>
      <c r="C408" s="5" t="s">
        <v>392</v>
      </c>
      <c r="D408" s="5" t="s">
        <v>59</v>
      </c>
      <c r="E408" s="5" t="s">
        <v>49</v>
      </c>
      <c r="F408" s="5" t="s">
        <v>50</v>
      </c>
      <c r="G408" s="5" t="s">
        <v>87</v>
      </c>
      <c r="H408" s="5" t="s">
        <v>29</v>
      </c>
      <c r="I408" s="5" t="s">
        <v>88</v>
      </c>
      <c r="J408" s="5">
        <v>29221</v>
      </c>
      <c r="K408" s="7">
        <v>34543.87985887278</v>
      </c>
      <c r="L408" s="5">
        <v>3</v>
      </c>
      <c r="M408" s="5">
        <v>10</v>
      </c>
      <c r="N408" s="8">
        <f t="shared" si="0"/>
        <v>93268.475618956509</v>
      </c>
      <c r="O408" s="5">
        <f t="shared" si="1"/>
        <v>87663</v>
      </c>
      <c r="P408" s="5">
        <f t="shared" si="2"/>
        <v>5605.4756189565087</v>
      </c>
      <c r="Q408" s="5" t="s">
        <v>83</v>
      </c>
      <c r="R408" s="5" t="s">
        <v>56</v>
      </c>
      <c r="T408" s="5">
        <v>7</v>
      </c>
      <c r="U408" s="5">
        <v>4</v>
      </c>
      <c r="W408" s="5">
        <f t="shared" si="3"/>
        <v>0</v>
      </c>
    </row>
    <row r="409" spans="1:23" ht="15.75" customHeight="1" x14ac:dyDescent="0.25">
      <c r="A409" s="5" t="s">
        <v>718</v>
      </c>
      <c r="B409" s="6">
        <v>45051</v>
      </c>
      <c r="C409" s="5" t="s">
        <v>667</v>
      </c>
      <c r="D409" s="5" t="s">
        <v>64</v>
      </c>
      <c r="E409" s="5" t="s">
        <v>60</v>
      </c>
      <c r="F409" s="5" t="s">
        <v>61</v>
      </c>
      <c r="G409" s="5" t="s">
        <v>92</v>
      </c>
      <c r="H409" s="5" t="s">
        <v>44</v>
      </c>
      <c r="I409" s="5" t="s">
        <v>45</v>
      </c>
      <c r="J409" s="5">
        <v>884</v>
      </c>
      <c r="K409" s="7">
        <v>1189.7336881702261</v>
      </c>
      <c r="L409" s="5">
        <v>2</v>
      </c>
      <c r="M409" s="5">
        <v>20</v>
      </c>
      <c r="N409" s="8">
        <f t="shared" si="0"/>
        <v>1903.5739010723619</v>
      </c>
      <c r="O409" s="5">
        <f t="shared" si="1"/>
        <v>1768</v>
      </c>
      <c r="P409" s="5">
        <f t="shared" si="2"/>
        <v>135.57390107236188</v>
      </c>
      <c r="Q409" s="5" t="s">
        <v>39</v>
      </c>
      <c r="R409" s="5" t="s">
        <v>56</v>
      </c>
      <c r="T409" s="5">
        <v>8</v>
      </c>
      <c r="U409" s="5">
        <v>3</v>
      </c>
      <c r="W409" s="5">
        <f t="shared" si="3"/>
        <v>0</v>
      </c>
    </row>
    <row r="410" spans="1:23" ht="15.75" customHeight="1" x14ac:dyDescent="0.25">
      <c r="A410" s="5" t="s">
        <v>719</v>
      </c>
      <c r="B410" s="6">
        <v>45052</v>
      </c>
      <c r="C410" s="5" t="s">
        <v>466</v>
      </c>
      <c r="D410" s="5" t="s">
        <v>116</v>
      </c>
      <c r="E410" s="5" t="s">
        <v>54</v>
      </c>
      <c r="F410" s="5" t="s">
        <v>55</v>
      </c>
      <c r="G410" s="5" t="s">
        <v>43</v>
      </c>
      <c r="H410" s="5" t="s">
        <v>44</v>
      </c>
      <c r="I410" s="5" t="s">
        <v>45</v>
      </c>
      <c r="J410" s="5">
        <v>443</v>
      </c>
      <c r="K410" s="7">
        <v>588.93532515383856</v>
      </c>
      <c r="L410" s="5">
        <v>4</v>
      </c>
      <c r="M410" s="5">
        <v>10</v>
      </c>
      <c r="N410" s="8">
        <f t="shared" si="0"/>
        <v>2120.1671705538188</v>
      </c>
      <c r="O410" s="5">
        <f t="shared" si="1"/>
        <v>1772</v>
      </c>
      <c r="P410" s="5">
        <f t="shared" si="2"/>
        <v>348.16717055381878</v>
      </c>
      <c r="Q410" s="5" t="s">
        <v>31</v>
      </c>
      <c r="R410" s="5" t="s">
        <v>56</v>
      </c>
      <c r="T410" s="5">
        <v>9</v>
      </c>
      <c r="U410" s="5">
        <v>1</v>
      </c>
      <c r="W410" s="5">
        <f t="shared" si="3"/>
        <v>0</v>
      </c>
    </row>
    <row r="411" spans="1:23" ht="15.75" customHeight="1" x14ac:dyDescent="0.25">
      <c r="A411" s="5" t="s">
        <v>720</v>
      </c>
      <c r="B411" s="6">
        <v>45052</v>
      </c>
      <c r="C411" s="5" t="s">
        <v>132</v>
      </c>
      <c r="D411" s="5" t="s">
        <v>59</v>
      </c>
      <c r="E411" s="5" t="s">
        <v>26</v>
      </c>
      <c r="F411" s="5" t="s">
        <v>27</v>
      </c>
      <c r="G411" s="5" t="s">
        <v>75</v>
      </c>
      <c r="H411" s="5" t="s">
        <v>76</v>
      </c>
      <c r="I411" s="5" t="s">
        <v>77</v>
      </c>
      <c r="J411" s="5">
        <v>705</v>
      </c>
      <c r="K411" s="7">
        <v>1052.4201140105238</v>
      </c>
      <c r="L411" s="5">
        <v>3</v>
      </c>
      <c r="M411" s="5">
        <v>10</v>
      </c>
      <c r="N411" s="8">
        <f t="shared" si="0"/>
        <v>2841.5343078284141</v>
      </c>
      <c r="O411" s="5">
        <f t="shared" si="1"/>
        <v>2115</v>
      </c>
      <c r="P411" s="5">
        <f t="shared" si="2"/>
        <v>726.53430782841406</v>
      </c>
      <c r="Q411" s="5" t="s">
        <v>46</v>
      </c>
      <c r="R411" s="5" t="s">
        <v>32</v>
      </c>
      <c r="S411" s="6">
        <v>45060</v>
      </c>
      <c r="T411" s="5">
        <v>2</v>
      </c>
      <c r="U411" s="5">
        <v>5</v>
      </c>
      <c r="V411" s="5" t="s">
        <v>33</v>
      </c>
      <c r="W411" s="5">
        <f t="shared" si="3"/>
        <v>0</v>
      </c>
    </row>
    <row r="412" spans="1:23" ht="15.75" customHeight="1" x14ac:dyDescent="0.25">
      <c r="A412" s="5" t="s">
        <v>721</v>
      </c>
      <c r="B412" s="6">
        <v>45052</v>
      </c>
      <c r="C412" s="5" t="s">
        <v>722</v>
      </c>
      <c r="D412" s="5" t="s">
        <v>146</v>
      </c>
      <c r="E412" s="5" t="s">
        <v>26</v>
      </c>
      <c r="F412" s="5" t="s">
        <v>27</v>
      </c>
      <c r="G412" s="5" t="s">
        <v>75</v>
      </c>
      <c r="H412" s="5" t="s">
        <v>76</v>
      </c>
      <c r="I412" s="5" t="s">
        <v>77</v>
      </c>
      <c r="J412" s="5">
        <v>1997</v>
      </c>
      <c r="K412" s="7">
        <v>3223.8861377282783</v>
      </c>
      <c r="L412" s="5">
        <v>5</v>
      </c>
      <c r="M412" s="5">
        <v>15</v>
      </c>
      <c r="N412" s="8">
        <f t="shared" si="0"/>
        <v>13701.516085345182</v>
      </c>
      <c r="O412" s="5">
        <f t="shared" si="1"/>
        <v>9985</v>
      </c>
      <c r="P412" s="5">
        <f t="shared" si="2"/>
        <v>3716.5160853451816</v>
      </c>
      <c r="Q412" s="5" t="s">
        <v>39</v>
      </c>
      <c r="R412" s="5" t="s">
        <v>56</v>
      </c>
      <c r="T412" s="5">
        <v>9</v>
      </c>
      <c r="U412" s="5">
        <v>1</v>
      </c>
      <c r="W412" s="5">
        <f t="shared" si="3"/>
        <v>0</v>
      </c>
    </row>
    <row r="413" spans="1:23" ht="15.75" customHeight="1" x14ac:dyDescent="0.25">
      <c r="A413" s="5" t="s">
        <v>723</v>
      </c>
      <c r="B413" s="6">
        <v>45052</v>
      </c>
      <c r="C413" s="5" t="s">
        <v>205</v>
      </c>
      <c r="D413" s="5" t="s">
        <v>59</v>
      </c>
      <c r="E413" s="5" t="s">
        <v>69</v>
      </c>
      <c r="F413" s="5" t="s">
        <v>55</v>
      </c>
      <c r="G413" s="5" t="s">
        <v>106</v>
      </c>
      <c r="H413" s="5" t="s">
        <v>98</v>
      </c>
      <c r="I413" s="5" t="s">
        <v>107</v>
      </c>
      <c r="J413" s="5">
        <v>752</v>
      </c>
      <c r="K413" s="7">
        <v>1081.1197205981935</v>
      </c>
      <c r="L413" s="5">
        <v>3</v>
      </c>
      <c r="M413" s="5">
        <v>0</v>
      </c>
      <c r="N413" s="8">
        <f t="shared" si="0"/>
        <v>3243.3591617945804</v>
      </c>
      <c r="O413" s="5">
        <f t="shared" si="1"/>
        <v>2256</v>
      </c>
      <c r="P413" s="5">
        <f t="shared" si="2"/>
        <v>987.35916179458036</v>
      </c>
      <c r="Q413" s="5" t="s">
        <v>83</v>
      </c>
      <c r="R413" s="5" t="s">
        <v>56</v>
      </c>
      <c r="T413" s="5">
        <v>9</v>
      </c>
      <c r="U413" s="5">
        <v>1</v>
      </c>
      <c r="W413" s="5">
        <f t="shared" si="3"/>
        <v>0</v>
      </c>
    </row>
    <row r="414" spans="1:23" ht="15.75" customHeight="1" x14ac:dyDescent="0.25">
      <c r="A414" s="5" t="s">
        <v>724</v>
      </c>
      <c r="B414" s="6">
        <v>45052</v>
      </c>
      <c r="C414" s="5" t="s">
        <v>233</v>
      </c>
      <c r="D414" s="5" t="s">
        <v>184</v>
      </c>
      <c r="E414" s="5" t="s">
        <v>80</v>
      </c>
      <c r="F414" s="5" t="s">
        <v>80</v>
      </c>
      <c r="G414" s="5" t="s">
        <v>81</v>
      </c>
      <c r="H414" s="5" t="s">
        <v>44</v>
      </c>
      <c r="I414" s="5" t="s">
        <v>82</v>
      </c>
      <c r="J414" s="5">
        <v>708</v>
      </c>
      <c r="K414" s="7">
        <v>1208.0924803263963</v>
      </c>
      <c r="L414" s="5">
        <v>4</v>
      </c>
      <c r="M414" s="5">
        <v>20</v>
      </c>
      <c r="N414" s="8">
        <f t="shared" si="0"/>
        <v>3865.8959370444682</v>
      </c>
      <c r="O414" s="5">
        <f t="shared" si="1"/>
        <v>2832</v>
      </c>
      <c r="P414" s="5">
        <f t="shared" si="2"/>
        <v>1033.8959370444682</v>
      </c>
      <c r="Q414" s="5" t="s">
        <v>46</v>
      </c>
      <c r="R414" s="5" t="s">
        <v>32</v>
      </c>
      <c r="S414" s="6">
        <v>45061</v>
      </c>
      <c r="T414" s="5">
        <v>6</v>
      </c>
      <c r="U414" s="5">
        <v>4</v>
      </c>
      <c r="V414" s="5" t="s">
        <v>89</v>
      </c>
      <c r="W414" s="5">
        <f t="shared" si="3"/>
        <v>1</v>
      </c>
    </row>
    <row r="415" spans="1:23" ht="15.75" customHeight="1" x14ac:dyDescent="0.25">
      <c r="A415" s="5" t="s">
        <v>725</v>
      </c>
      <c r="B415" s="6">
        <v>45052</v>
      </c>
      <c r="C415" s="5" t="s">
        <v>180</v>
      </c>
      <c r="D415" s="5" t="s">
        <v>64</v>
      </c>
      <c r="E415" s="5" t="s">
        <v>54</v>
      </c>
      <c r="F415" s="5" t="s">
        <v>55</v>
      </c>
      <c r="G415" s="5" t="s">
        <v>106</v>
      </c>
      <c r="H415" s="5" t="s">
        <v>98</v>
      </c>
      <c r="I415" s="5" t="s">
        <v>107</v>
      </c>
      <c r="J415" s="5">
        <v>865</v>
      </c>
      <c r="K415" s="7">
        <v>1522.5908085604458</v>
      </c>
      <c r="L415" s="5">
        <v>2</v>
      </c>
      <c r="M415" s="5">
        <v>5</v>
      </c>
      <c r="N415" s="8">
        <f t="shared" si="0"/>
        <v>2892.9225362648467</v>
      </c>
      <c r="O415" s="5">
        <f t="shared" si="1"/>
        <v>1730</v>
      </c>
      <c r="P415" s="5">
        <f t="shared" si="2"/>
        <v>1162.9225362648467</v>
      </c>
      <c r="Q415" s="5" t="s">
        <v>46</v>
      </c>
      <c r="R415" s="5" t="s">
        <v>32</v>
      </c>
      <c r="S415" s="6">
        <v>45062</v>
      </c>
      <c r="T415" s="5">
        <v>6</v>
      </c>
      <c r="U415" s="5">
        <v>4</v>
      </c>
      <c r="V415" s="5" t="s">
        <v>89</v>
      </c>
      <c r="W415" s="5">
        <f t="shared" si="3"/>
        <v>1</v>
      </c>
    </row>
    <row r="416" spans="1:23" ht="15.75" customHeight="1" x14ac:dyDescent="0.25">
      <c r="A416" s="5" t="s">
        <v>726</v>
      </c>
      <c r="B416" s="6">
        <v>45052</v>
      </c>
      <c r="C416" s="5" t="s">
        <v>400</v>
      </c>
      <c r="D416" s="5" t="s">
        <v>116</v>
      </c>
      <c r="E416" s="5" t="s">
        <v>37</v>
      </c>
      <c r="F416" s="5" t="s">
        <v>38</v>
      </c>
      <c r="G416" s="5" t="s">
        <v>70</v>
      </c>
      <c r="H416" s="5" t="s">
        <v>44</v>
      </c>
      <c r="I416" s="5" t="s">
        <v>71</v>
      </c>
      <c r="J416" s="5">
        <v>999</v>
      </c>
      <c r="K416" s="7">
        <v>1420.8417085224626</v>
      </c>
      <c r="L416" s="5">
        <v>2</v>
      </c>
      <c r="M416" s="5">
        <v>20</v>
      </c>
      <c r="N416" s="8">
        <f t="shared" si="0"/>
        <v>2273.3467336359404</v>
      </c>
      <c r="O416" s="5">
        <f t="shared" si="1"/>
        <v>1998</v>
      </c>
      <c r="P416" s="5">
        <f t="shared" si="2"/>
        <v>275.34673363594038</v>
      </c>
      <c r="Q416" s="5" t="s">
        <v>83</v>
      </c>
      <c r="R416" s="5" t="s">
        <v>32</v>
      </c>
      <c r="S416" s="6">
        <v>45056</v>
      </c>
      <c r="T416" s="5">
        <v>1</v>
      </c>
      <c r="U416" s="5">
        <v>5</v>
      </c>
      <c r="V416" s="5" t="s">
        <v>33</v>
      </c>
      <c r="W416" s="5">
        <f t="shared" si="3"/>
        <v>0</v>
      </c>
    </row>
    <row r="417" spans="1:23" ht="15.75" customHeight="1" x14ac:dyDescent="0.25">
      <c r="A417" s="5" t="s">
        <v>727</v>
      </c>
      <c r="B417" s="6">
        <v>45053</v>
      </c>
      <c r="C417" s="5" t="s">
        <v>172</v>
      </c>
      <c r="D417" s="5" t="s">
        <v>150</v>
      </c>
      <c r="E417" s="5" t="s">
        <v>112</v>
      </c>
      <c r="F417" s="5" t="s">
        <v>113</v>
      </c>
      <c r="G417" s="5" t="s">
        <v>87</v>
      </c>
      <c r="H417" s="5" t="s">
        <v>29</v>
      </c>
      <c r="I417" s="5" t="s">
        <v>88</v>
      </c>
      <c r="J417" s="5">
        <v>40491</v>
      </c>
      <c r="K417" s="7">
        <v>52232.813688725648</v>
      </c>
      <c r="L417" s="5">
        <v>5</v>
      </c>
      <c r="M417" s="5">
        <v>5</v>
      </c>
      <c r="N417" s="8">
        <f t="shared" si="0"/>
        <v>248105.86502144681</v>
      </c>
      <c r="O417" s="5">
        <f t="shared" si="1"/>
        <v>202455</v>
      </c>
      <c r="P417" s="5">
        <f t="shared" si="2"/>
        <v>45650.865021446807</v>
      </c>
      <c r="Q417" s="5" t="s">
        <v>46</v>
      </c>
      <c r="R417" s="5" t="s">
        <v>32</v>
      </c>
      <c r="S417" s="6">
        <v>45060</v>
      </c>
      <c r="T417" s="5">
        <v>3</v>
      </c>
      <c r="U417" s="5">
        <v>2</v>
      </c>
      <c r="V417" s="5" t="s">
        <v>33</v>
      </c>
      <c r="W417" s="5">
        <f t="shared" si="3"/>
        <v>0</v>
      </c>
    </row>
    <row r="418" spans="1:23" ht="15.75" customHeight="1" x14ac:dyDescent="0.25">
      <c r="A418" s="5" t="s">
        <v>728</v>
      </c>
      <c r="B418" s="6">
        <v>45053</v>
      </c>
      <c r="C418" s="5" t="s">
        <v>521</v>
      </c>
      <c r="D418" s="5" t="s">
        <v>74</v>
      </c>
      <c r="E418" s="5" t="s">
        <v>60</v>
      </c>
      <c r="F418" s="5" t="s">
        <v>61</v>
      </c>
      <c r="G418" s="5" t="s">
        <v>92</v>
      </c>
      <c r="H418" s="5" t="s">
        <v>44</v>
      </c>
      <c r="I418" s="5" t="s">
        <v>45</v>
      </c>
      <c r="J418" s="5">
        <v>906</v>
      </c>
      <c r="K418" s="7">
        <v>1337.4732475026233</v>
      </c>
      <c r="L418" s="5">
        <v>1</v>
      </c>
      <c r="M418" s="5">
        <v>5</v>
      </c>
      <c r="N418" s="8">
        <f t="shared" si="0"/>
        <v>1270.599585127492</v>
      </c>
      <c r="O418" s="5">
        <f t="shared" si="1"/>
        <v>906</v>
      </c>
      <c r="P418" s="5">
        <f t="shared" si="2"/>
        <v>364.59958512749199</v>
      </c>
      <c r="Q418" s="5" t="s">
        <v>46</v>
      </c>
      <c r="R418" s="5" t="s">
        <v>32</v>
      </c>
      <c r="S418" s="6">
        <v>45060</v>
      </c>
      <c r="T418" s="5">
        <v>3</v>
      </c>
      <c r="U418" s="5">
        <v>4</v>
      </c>
      <c r="V418" s="5" t="s">
        <v>33</v>
      </c>
      <c r="W418" s="5">
        <f t="shared" si="3"/>
        <v>0</v>
      </c>
    </row>
    <row r="419" spans="1:23" ht="15.75" customHeight="1" x14ac:dyDescent="0.25">
      <c r="A419" s="5" t="s">
        <v>729</v>
      </c>
      <c r="B419" s="6">
        <v>45053</v>
      </c>
      <c r="C419" s="5" t="s">
        <v>318</v>
      </c>
      <c r="D419" s="5" t="s">
        <v>74</v>
      </c>
      <c r="E419" s="5" t="s">
        <v>54</v>
      </c>
      <c r="F419" s="5" t="s">
        <v>55</v>
      </c>
      <c r="G419" s="5" t="s">
        <v>81</v>
      </c>
      <c r="H419" s="5" t="s">
        <v>44</v>
      </c>
      <c r="I419" s="5" t="s">
        <v>82</v>
      </c>
      <c r="J419" s="5">
        <v>1264</v>
      </c>
      <c r="K419" s="7">
        <v>1649.7510342754645</v>
      </c>
      <c r="L419" s="5">
        <v>2</v>
      </c>
      <c r="M419" s="5">
        <v>20</v>
      </c>
      <c r="N419" s="8">
        <f t="shared" si="0"/>
        <v>2639.6016548407433</v>
      </c>
      <c r="O419" s="5">
        <f t="shared" si="1"/>
        <v>2528</v>
      </c>
      <c r="P419" s="5">
        <f t="shared" si="2"/>
        <v>111.60165484074332</v>
      </c>
      <c r="Q419" s="5" t="s">
        <v>83</v>
      </c>
      <c r="R419" s="5" t="s">
        <v>32</v>
      </c>
      <c r="S419" s="6">
        <v>45059</v>
      </c>
      <c r="T419" s="5">
        <v>3</v>
      </c>
      <c r="U419" s="5">
        <v>3</v>
      </c>
      <c r="V419" s="5" t="s">
        <v>33</v>
      </c>
      <c r="W419" s="5">
        <f t="shared" si="3"/>
        <v>0</v>
      </c>
    </row>
    <row r="420" spans="1:23" ht="15.75" customHeight="1" x14ac:dyDescent="0.25">
      <c r="A420" s="5" t="s">
        <v>730</v>
      </c>
      <c r="B420" s="6">
        <v>45054</v>
      </c>
      <c r="C420" s="5" t="s">
        <v>197</v>
      </c>
      <c r="D420" s="5" t="s">
        <v>148</v>
      </c>
      <c r="E420" s="5" t="s">
        <v>80</v>
      </c>
      <c r="F420" s="5" t="s">
        <v>80</v>
      </c>
      <c r="G420" s="5" t="s">
        <v>28</v>
      </c>
      <c r="H420" s="5" t="s">
        <v>29</v>
      </c>
      <c r="I420" s="5" t="s">
        <v>30</v>
      </c>
      <c r="J420" s="5">
        <v>5890</v>
      </c>
      <c r="K420" s="7">
        <v>8460.7308768148487</v>
      </c>
      <c r="L420" s="5">
        <v>5</v>
      </c>
      <c r="M420" s="5">
        <v>5</v>
      </c>
      <c r="N420" s="8">
        <f t="shared" si="0"/>
        <v>40188.471664870529</v>
      </c>
      <c r="O420" s="5">
        <f t="shared" si="1"/>
        <v>29450</v>
      </c>
      <c r="P420" s="5">
        <f t="shared" si="2"/>
        <v>10738.471664870529</v>
      </c>
      <c r="Q420" s="5" t="s">
        <v>39</v>
      </c>
      <c r="R420" s="5" t="s">
        <v>56</v>
      </c>
      <c r="T420" s="5">
        <v>9</v>
      </c>
      <c r="U420" s="5">
        <v>1</v>
      </c>
      <c r="W420" s="5">
        <f t="shared" si="3"/>
        <v>0</v>
      </c>
    </row>
    <row r="421" spans="1:23" ht="15.75" customHeight="1" x14ac:dyDescent="0.25">
      <c r="A421" s="5" t="s">
        <v>731</v>
      </c>
      <c r="B421" s="6">
        <v>45054</v>
      </c>
      <c r="C421" s="5" t="s">
        <v>161</v>
      </c>
      <c r="D421" s="5" t="s">
        <v>148</v>
      </c>
      <c r="E421" s="5" t="s">
        <v>49</v>
      </c>
      <c r="F421" s="5" t="s">
        <v>50</v>
      </c>
      <c r="G421" s="5" t="s">
        <v>81</v>
      </c>
      <c r="H421" s="5" t="s">
        <v>44</v>
      </c>
      <c r="I421" s="5" t="s">
        <v>82</v>
      </c>
      <c r="J421" s="5">
        <v>1701</v>
      </c>
      <c r="K421" s="7">
        <v>1803.8538169027443</v>
      </c>
      <c r="L421" s="5">
        <v>5</v>
      </c>
      <c r="M421" s="5">
        <v>15</v>
      </c>
      <c r="N421" s="8">
        <f t="shared" si="0"/>
        <v>7666.3787218366633</v>
      </c>
      <c r="O421" s="5">
        <f t="shared" si="1"/>
        <v>8505</v>
      </c>
      <c r="P421" s="5">
        <f t="shared" si="2"/>
        <v>-838.62127816333668</v>
      </c>
      <c r="Q421" s="5" t="s">
        <v>39</v>
      </c>
      <c r="R421" s="5" t="s">
        <v>56</v>
      </c>
      <c r="T421" s="5">
        <v>9</v>
      </c>
      <c r="U421" s="5">
        <v>1</v>
      </c>
      <c r="W421" s="5">
        <f t="shared" si="3"/>
        <v>0</v>
      </c>
    </row>
    <row r="422" spans="1:23" ht="15.75" customHeight="1" x14ac:dyDescent="0.25">
      <c r="A422" s="5" t="s">
        <v>732</v>
      </c>
      <c r="B422" s="6">
        <v>45054</v>
      </c>
      <c r="C422" s="5" t="s">
        <v>589</v>
      </c>
      <c r="D422" s="5" t="s">
        <v>64</v>
      </c>
      <c r="E422" s="5" t="s">
        <v>49</v>
      </c>
      <c r="F422" s="5" t="s">
        <v>50</v>
      </c>
      <c r="G422" s="5" t="s">
        <v>43</v>
      </c>
      <c r="H422" s="5" t="s">
        <v>44</v>
      </c>
      <c r="I422" s="5" t="s">
        <v>45</v>
      </c>
      <c r="J422" s="5">
        <v>204</v>
      </c>
      <c r="K422" s="7">
        <v>243.06827965904188</v>
      </c>
      <c r="L422" s="5">
        <v>4</v>
      </c>
      <c r="M422" s="5">
        <v>20</v>
      </c>
      <c r="N422" s="8">
        <f t="shared" si="0"/>
        <v>777.8184949089341</v>
      </c>
      <c r="O422" s="5">
        <f t="shared" si="1"/>
        <v>816</v>
      </c>
      <c r="P422" s="5">
        <f t="shared" si="2"/>
        <v>-38.181505091065901</v>
      </c>
      <c r="Q422" s="5" t="s">
        <v>39</v>
      </c>
      <c r="R422" s="5" t="s">
        <v>32</v>
      </c>
      <c r="S422" s="6">
        <v>45067</v>
      </c>
      <c r="T422" s="5">
        <v>6</v>
      </c>
      <c r="U422" s="5">
        <v>3</v>
      </c>
      <c r="V422" s="5" t="s">
        <v>33</v>
      </c>
      <c r="W422" s="5">
        <f t="shared" si="3"/>
        <v>0</v>
      </c>
    </row>
    <row r="423" spans="1:23" ht="15.75" customHeight="1" x14ac:dyDescent="0.25">
      <c r="A423" s="5" t="s">
        <v>733</v>
      </c>
      <c r="B423" s="6">
        <v>45055</v>
      </c>
      <c r="C423" s="5" t="s">
        <v>274</v>
      </c>
      <c r="D423" s="5" t="s">
        <v>148</v>
      </c>
      <c r="E423" s="5" t="s">
        <v>80</v>
      </c>
      <c r="F423" s="5" t="s">
        <v>80</v>
      </c>
      <c r="G423" s="5" t="s">
        <v>119</v>
      </c>
      <c r="H423" s="5" t="s">
        <v>76</v>
      </c>
      <c r="I423" s="5" t="s">
        <v>120</v>
      </c>
      <c r="J423" s="5">
        <v>52318</v>
      </c>
      <c r="K423" s="7">
        <v>84672.039962775831</v>
      </c>
      <c r="L423" s="5">
        <v>3</v>
      </c>
      <c r="M423" s="5">
        <v>15</v>
      </c>
      <c r="N423" s="8">
        <f t="shared" si="0"/>
        <v>215913.70190507837</v>
      </c>
      <c r="O423" s="5">
        <f t="shared" si="1"/>
        <v>156954</v>
      </c>
      <c r="P423" s="5">
        <f t="shared" si="2"/>
        <v>58959.701905078371</v>
      </c>
      <c r="Q423" s="5" t="s">
        <v>39</v>
      </c>
      <c r="R423" s="5" t="s">
        <v>32</v>
      </c>
      <c r="S423" s="6">
        <v>45066</v>
      </c>
      <c r="T423" s="5">
        <v>6</v>
      </c>
      <c r="U423" s="5">
        <v>3</v>
      </c>
      <c r="V423" s="5" t="s">
        <v>33</v>
      </c>
      <c r="W423" s="5">
        <f t="shared" si="3"/>
        <v>0</v>
      </c>
    </row>
    <row r="424" spans="1:23" ht="15.75" customHeight="1" x14ac:dyDescent="0.25">
      <c r="A424" s="5" t="s">
        <v>734</v>
      </c>
      <c r="B424" s="6">
        <v>45055</v>
      </c>
      <c r="C424" s="5" t="s">
        <v>127</v>
      </c>
      <c r="D424" s="5" t="s">
        <v>74</v>
      </c>
      <c r="E424" s="5" t="s">
        <v>69</v>
      </c>
      <c r="F424" s="5" t="s">
        <v>55</v>
      </c>
      <c r="G424" s="5" t="s">
        <v>124</v>
      </c>
      <c r="H424" s="5" t="s">
        <v>76</v>
      </c>
      <c r="I424" s="5" t="s">
        <v>125</v>
      </c>
      <c r="J424" s="5">
        <v>63089</v>
      </c>
      <c r="K424" s="7">
        <v>106033.32914851046</v>
      </c>
      <c r="L424" s="5">
        <v>5</v>
      </c>
      <c r="M424" s="5">
        <v>20</v>
      </c>
      <c r="N424" s="8">
        <f t="shared" si="0"/>
        <v>424133.31659404183</v>
      </c>
      <c r="O424" s="5">
        <f t="shared" si="1"/>
        <v>315445</v>
      </c>
      <c r="P424" s="5">
        <f t="shared" si="2"/>
        <v>108688.31659404183</v>
      </c>
      <c r="Q424" s="5" t="s">
        <v>83</v>
      </c>
      <c r="R424" s="5" t="s">
        <v>32</v>
      </c>
      <c r="S424" s="6">
        <v>45065</v>
      </c>
      <c r="T424" s="5">
        <v>5</v>
      </c>
      <c r="U424" s="5">
        <v>3</v>
      </c>
      <c r="V424" s="5" t="s">
        <v>33</v>
      </c>
      <c r="W424" s="5">
        <f t="shared" si="3"/>
        <v>0</v>
      </c>
    </row>
    <row r="425" spans="1:23" ht="15.75" customHeight="1" x14ac:dyDescent="0.25">
      <c r="A425" s="5" t="s">
        <v>735</v>
      </c>
      <c r="B425" s="6">
        <v>45055</v>
      </c>
      <c r="C425" s="5" t="s">
        <v>649</v>
      </c>
      <c r="D425" s="5" t="s">
        <v>146</v>
      </c>
      <c r="E425" s="5" t="s">
        <v>26</v>
      </c>
      <c r="F425" s="5" t="s">
        <v>27</v>
      </c>
      <c r="G425" s="5" t="s">
        <v>124</v>
      </c>
      <c r="H425" s="5" t="s">
        <v>76</v>
      </c>
      <c r="I425" s="5" t="s">
        <v>125</v>
      </c>
      <c r="J425" s="5">
        <v>71069</v>
      </c>
      <c r="K425" s="7">
        <v>110041.98515632011</v>
      </c>
      <c r="L425" s="5">
        <v>4</v>
      </c>
      <c r="M425" s="5">
        <v>15</v>
      </c>
      <c r="N425" s="8">
        <f t="shared" si="0"/>
        <v>374142.74953148834</v>
      </c>
      <c r="O425" s="5">
        <f t="shared" si="1"/>
        <v>284276</v>
      </c>
      <c r="P425" s="5">
        <f t="shared" si="2"/>
        <v>89866.749531488342</v>
      </c>
      <c r="Q425" s="5" t="s">
        <v>31</v>
      </c>
      <c r="R425" s="5" t="s">
        <v>32</v>
      </c>
      <c r="S425" s="6">
        <v>45065</v>
      </c>
      <c r="T425" s="5">
        <v>4</v>
      </c>
      <c r="U425" s="5">
        <v>2</v>
      </c>
      <c r="V425" s="5" t="s">
        <v>33</v>
      </c>
      <c r="W425" s="5">
        <f t="shared" si="3"/>
        <v>0</v>
      </c>
    </row>
    <row r="426" spans="1:23" ht="15.75" customHeight="1" x14ac:dyDescent="0.25">
      <c r="A426" s="5" t="s">
        <v>736</v>
      </c>
      <c r="B426" s="6">
        <v>45056</v>
      </c>
      <c r="C426" s="5" t="s">
        <v>416</v>
      </c>
      <c r="D426" s="5" t="s">
        <v>148</v>
      </c>
      <c r="E426" s="5" t="s">
        <v>37</v>
      </c>
      <c r="F426" s="5" t="s">
        <v>38</v>
      </c>
      <c r="G426" s="5" t="s">
        <v>106</v>
      </c>
      <c r="H426" s="5" t="s">
        <v>98</v>
      </c>
      <c r="I426" s="5" t="s">
        <v>107</v>
      </c>
      <c r="J426" s="5">
        <v>872</v>
      </c>
      <c r="K426" s="7">
        <v>1282.6656570492435</v>
      </c>
      <c r="L426" s="5">
        <v>5</v>
      </c>
      <c r="M426" s="5">
        <v>0</v>
      </c>
      <c r="N426" s="8">
        <f t="shared" si="0"/>
        <v>6413.3282852462171</v>
      </c>
      <c r="O426" s="5">
        <f t="shared" si="1"/>
        <v>4360</v>
      </c>
      <c r="P426" s="5">
        <f t="shared" si="2"/>
        <v>2053.3282852462171</v>
      </c>
      <c r="Q426" s="5" t="s">
        <v>83</v>
      </c>
      <c r="R426" s="5" t="s">
        <v>32</v>
      </c>
      <c r="S426" s="6">
        <v>45064</v>
      </c>
      <c r="T426" s="5">
        <v>4</v>
      </c>
      <c r="U426" s="5">
        <v>3</v>
      </c>
      <c r="V426" s="5" t="s">
        <v>33</v>
      </c>
      <c r="W426" s="5">
        <f t="shared" si="3"/>
        <v>0</v>
      </c>
    </row>
    <row r="427" spans="1:23" ht="15.75" customHeight="1" x14ac:dyDescent="0.25">
      <c r="A427" s="5" t="s">
        <v>737</v>
      </c>
      <c r="B427" s="6">
        <v>45056</v>
      </c>
      <c r="C427" s="5" t="s">
        <v>359</v>
      </c>
      <c r="D427" s="5" t="s">
        <v>116</v>
      </c>
      <c r="E427" s="5" t="s">
        <v>69</v>
      </c>
      <c r="F427" s="5" t="s">
        <v>55</v>
      </c>
      <c r="G427" s="5" t="s">
        <v>124</v>
      </c>
      <c r="H427" s="5" t="s">
        <v>76</v>
      </c>
      <c r="I427" s="5" t="s">
        <v>125</v>
      </c>
      <c r="J427" s="5">
        <v>65756</v>
      </c>
      <c r="K427" s="7">
        <v>70562.149527601519</v>
      </c>
      <c r="L427" s="5">
        <v>2</v>
      </c>
      <c r="M427" s="5">
        <v>20</v>
      </c>
      <c r="N427" s="8">
        <f t="shared" si="0"/>
        <v>112899.43924416244</v>
      </c>
      <c r="O427" s="5">
        <f t="shared" si="1"/>
        <v>131512</v>
      </c>
      <c r="P427" s="5">
        <f t="shared" si="2"/>
        <v>-18612.560755837563</v>
      </c>
      <c r="Q427" s="5" t="s">
        <v>31</v>
      </c>
      <c r="R427" s="5" t="s">
        <v>56</v>
      </c>
      <c r="T427" s="5">
        <v>9</v>
      </c>
      <c r="U427" s="5">
        <v>1</v>
      </c>
      <c r="W427" s="5">
        <f t="shared" si="3"/>
        <v>0</v>
      </c>
    </row>
    <row r="428" spans="1:23" ht="15.75" customHeight="1" x14ac:dyDescent="0.25">
      <c r="A428" s="5" t="s">
        <v>738</v>
      </c>
      <c r="B428" s="6">
        <v>45056</v>
      </c>
      <c r="C428" s="5" t="s">
        <v>739</v>
      </c>
      <c r="D428" s="5" t="s">
        <v>74</v>
      </c>
      <c r="E428" s="5" t="s">
        <v>54</v>
      </c>
      <c r="F428" s="5" t="s">
        <v>55</v>
      </c>
      <c r="G428" s="5" t="s">
        <v>97</v>
      </c>
      <c r="H428" s="5" t="s">
        <v>98</v>
      </c>
      <c r="I428" s="5" t="s">
        <v>99</v>
      </c>
      <c r="J428" s="5">
        <v>519</v>
      </c>
      <c r="K428" s="7">
        <v>869.20144309057264</v>
      </c>
      <c r="L428" s="5">
        <v>3</v>
      </c>
      <c r="M428" s="5">
        <v>0</v>
      </c>
      <c r="N428" s="8">
        <f t="shared" si="0"/>
        <v>2607.6043292717177</v>
      </c>
      <c r="O428" s="5">
        <f t="shared" si="1"/>
        <v>1557</v>
      </c>
      <c r="P428" s="5">
        <f t="shared" si="2"/>
        <v>1050.6043292717177</v>
      </c>
      <c r="Q428" s="5" t="s">
        <v>31</v>
      </c>
      <c r="R428" s="5" t="s">
        <v>56</v>
      </c>
      <c r="T428" s="5">
        <v>10</v>
      </c>
      <c r="U428" s="5">
        <v>1</v>
      </c>
      <c r="W428" s="5">
        <f t="shared" si="3"/>
        <v>0</v>
      </c>
    </row>
    <row r="429" spans="1:23" ht="15.75" customHeight="1" x14ac:dyDescent="0.25">
      <c r="A429" s="5" t="s">
        <v>740</v>
      </c>
      <c r="B429" s="6">
        <v>45056</v>
      </c>
      <c r="C429" s="5" t="s">
        <v>482</v>
      </c>
      <c r="D429" s="5" t="s">
        <v>135</v>
      </c>
      <c r="E429" s="5" t="s">
        <v>69</v>
      </c>
      <c r="F429" s="5" t="s">
        <v>55</v>
      </c>
      <c r="G429" s="5" t="s">
        <v>28</v>
      </c>
      <c r="H429" s="5" t="s">
        <v>29</v>
      </c>
      <c r="I429" s="5" t="s">
        <v>30</v>
      </c>
      <c r="J429" s="5">
        <v>4314</v>
      </c>
      <c r="K429" s="7">
        <v>4858.7696030090729</v>
      </c>
      <c r="L429" s="5">
        <v>5</v>
      </c>
      <c r="M429" s="5">
        <v>10</v>
      </c>
      <c r="N429" s="8">
        <f t="shared" si="0"/>
        <v>21864.463213540828</v>
      </c>
      <c r="O429" s="5">
        <f t="shared" si="1"/>
        <v>21570</v>
      </c>
      <c r="P429" s="5">
        <f t="shared" si="2"/>
        <v>294.46321354082829</v>
      </c>
      <c r="Q429" s="5" t="s">
        <v>31</v>
      </c>
      <c r="R429" s="5" t="s">
        <v>56</v>
      </c>
      <c r="T429" s="5">
        <v>9</v>
      </c>
      <c r="U429" s="5">
        <v>1</v>
      </c>
      <c r="W429" s="5">
        <f t="shared" si="3"/>
        <v>0</v>
      </c>
    </row>
    <row r="430" spans="1:23" ht="15.75" customHeight="1" x14ac:dyDescent="0.25">
      <c r="A430" s="5" t="s">
        <v>741</v>
      </c>
      <c r="B430" s="6">
        <v>45057</v>
      </c>
      <c r="C430" s="5" t="s">
        <v>418</v>
      </c>
      <c r="D430" s="5" t="s">
        <v>138</v>
      </c>
      <c r="E430" s="5" t="s">
        <v>112</v>
      </c>
      <c r="F430" s="5" t="s">
        <v>113</v>
      </c>
      <c r="G430" s="5" t="s">
        <v>139</v>
      </c>
      <c r="H430" s="5" t="s">
        <v>76</v>
      </c>
      <c r="I430" s="5" t="s">
        <v>140</v>
      </c>
      <c r="J430" s="5">
        <v>37641</v>
      </c>
      <c r="K430" s="7">
        <v>57126.205958113715</v>
      </c>
      <c r="L430" s="5">
        <v>2</v>
      </c>
      <c r="M430" s="5">
        <v>20</v>
      </c>
      <c r="N430" s="8">
        <f t="shared" si="0"/>
        <v>91401.929532981943</v>
      </c>
      <c r="O430" s="5">
        <f t="shared" si="1"/>
        <v>75282</v>
      </c>
      <c r="P430" s="5">
        <f t="shared" si="2"/>
        <v>16119.929532981943</v>
      </c>
      <c r="Q430" s="5" t="s">
        <v>39</v>
      </c>
      <c r="R430" s="5" t="s">
        <v>56</v>
      </c>
      <c r="T430" s="5">
        <v>8</v>
      </c>
      <c r="U430" s="5">
        <v>2</v>
      </c>
      <c r="W430" s="5">
        <f t="shared" si="3"/>
        <v>0</v>
      </c>
    </row>
    <row r="431" spans="1:23" ht="15.75" customHeight="1" x14ac:dyDescent="0.25">
      <c r="A431" s="5" t="s">
        <v>742</v>
      </c>
      <c r="B431" s="6">
        <v>45057</v>
      </c>
      <c r="C431" s="5" t="s">
        <v>452</v>
      </c>
      <c r="D431" s="5" t="s">
        <v>36</v>
      </c>
      <c r="E431" s="5" t="s">
        <v>69</v>
      </c>
      <c r="F431" s="5" t="s">
        <v>55</v>
      </c>
      <c r="G431" s="5" t="s">
        <v>92</v>
      </c>
      <c r="H431" s="5" t="s">
        <v>44</v>
      </c>
      <c r="I431" s="5" t="s">
        <v>45</v>
      </c>
      <c r="J431" s="5">
        <v>1295</v>
      </c>
      <c r="K431" s="7">
        <v>1794.0881983032061</v>
      </c>
      <c r="L431" s="5">
        <v>5</v>
      </c>
      <c r="M431" s="5">
        <v>20</v>
      </c>
      <c r="N431" s="8">
        <f t="shared" si="0"/>
        <v>7176.3527932128245</v>
      </c>
      <c r="O431" s="5">
        <f t="shared" si="1"/>
        <v>6475</v>
      </c>
      <c r="P431" s="5">
        <f t="shared" si="2"/>
        <v>701.35279321282451</v>
      </c>
      <c r="Q431" s="5" t="s">
        <v>39</v>
      </c>
      <c r="R431" s="5" t="s">
        <v>56</v>
      </c>
      <c r="T431" s="5">
        <v>9</v>
      </c>
      <c r="U431" s="5">
        <v>1</v>
      </c>
      <c r="W431" s="5">
        <f t="shared" si="3"/>
        <v>0</v>
      </c>
    </row>
    <row r="432" spans="1:23" ht="15.75" customHeight="1" x14ac:dyDescent="0.25">
      <c r="A432" s="5" t="s">
        <v>743</v>
      </c>
      <c r="B432" s="6">
        <v>45057</v>
      </c>
      <c r="C432" s="5" t="s">
        <v>744</v>
      </c>
      <c r="D432" s="5" t="s">
        <v>42</v>
      </c>
      <c r="E432" s="5" t="s">
        <v>37</v>
      </c>
      <c r="F432" s="5" t="s">
        <v>38</v>
      </c>
      <c r="G432" s="5" t="s">
        <v>28</v>
      </c>
      <c r="H432" s="5" t="s">
        <v>29</v>
      </c>
      <c r="I432" s="5" t="s">
        <v>30</v>
      </c>
      <c r="J432" s="5">
        <v>3222</v>
      </c>
      <c r="K432" s="7">
        <v>4874.8562575384658</v>
      </c>
      <c r="L432" s="5">
        <v>4</v>
      </c>
      <c r="M432" s="5">
        <v>5</v>
      </c>
      <c r="N432" s="8">
        <f t="shared" si="0"/>
        <v>18524.45377864617</v>
      </c>
      <c r="O432" s="5">
        <f t="shared" si="1"/>
        <v>12888</v>
      </c>
      <c r="P432" s="5">
        <f t="shared" si="2"/>
        <v>5636.4537786461697</v>
      </c>
      <c r="Q432" s="5" t="s">
        <v>83</v>
      </c>
      <c r="R432" s="5" t="s">
        <v>56</v>
      </c>
      <c r="T432" s="5">
        <v>8</v>
      </c>
      <c r="U432" s="5">
        <v>3</v>
      </c>
      <c r="W432" s="5">
        <f t="shared" si="3"/>
        <v>0</v>
      </c>
    </row>
    <row r="433" spans="1:23" ht="15.75" customHeight="1" x14ac:dyDescent="0.25">
      <c r="A433" s="5" t="s">
        <v>745</v>
      </c>
      <c r="B433" s="6">
        <v>45058</v>
      </c>
      <c r="C433" s="5" t="s">
        <v>746</v>
      </c>
      <c r="D433" s="5" t="s">
        <v>86</v>
      </c>
      <c r="E433" s="5" t="s">
        <v>49</v>
      </c>
      <c r="F433" s="5" t="s">
        <v>50</v>
      </c>
      <c r="G433" s="5" t="s">
        <v>97</v>
      </c>
      <c r="H433" s="5" t="s">
        <v>98</v>
      </c>
      <c r="I433" s="5" t="s">
        <v>99</v>
      </c>
      <c r="J433" s="5">
        <v>391</v>
      </c>
      <c r="K433" s="7">
        <v>517.68752312955291</v>
      </c>
      <c r="L433" s="5">
        <v>3</v>
      </c>
      <c r="M433" s="5">
        <v>15</v>
      </c>
      <c r="N433" s="8">
        <f t="shared" si="0"/>
        <v>1320.1031839803597</v>
      </c>
      <c r="O433" s="5">
        <f t="shared" si="1"/>
        <v>1173</v>
      </c>
      <c r="P433" s="5">
        <f t="shared" si="2"/>
        <v>147.10318398035974</v>
      </c>
      <c r="Q433" s="5" t="s">
        <v>31</v>
      </c>
      <c r="R433" s="5" t="s">
        <v>56</v>
      </c>
      <c r="T433" s="5">
        <v>10</v>
      </c>
      <c r="U433" s="5">
        <v>1</v>
      </c>
      <c r="W433" s="5">
        <f t="shared" si="3"/>
        <v>0</v>
      </c>
    </row>
    <row r="434" spans="1:23" ht="15.75" customHeight="1" x14ac:dyDescent="0.25">
      <c r="A434" s="5" t="s">
        <v>747</v>
      </c>
      <c r="B434" s="6">
        <v>45058</v>
      </c>
      <c r="C434" s="5" t="s">
        <v>515</v>
      </c>
      <c r="D434" s="5" t="s">
        <v>208</v>
      </c>
      <c r="E434" s="5" t="s">
        <v>54</v>
      </c>
      <c r="F434" s="5" t="s">
        <v>55</v>
      </c>
      <c r="G434" s="5" t="s">
        <v>139</v>
      </c>
      <c r="H434" s="5" t="s">
        <v>76</v>
      </c>
      <c r="I434" s="5" t="s">
        <v>140</v>
      </c>
      <c r="J434" s="5">
        <v>36406</v>
      </c>
      <c r="K434" s="7">
        <v>41151.253011718392</v>
      </c>
      <c r="L434" s="5">
        <v>5</v>
      </c>
      <c r="M434" s="5">
        <v>20</v>
      </c>
      <c r="N434" s="8">
        <f t="shared" si="0"/>
        <v>164605.01204687357</v>
      </c>
      <c r="O434" s="5">
        <f t="shared" si="1"/>
        <v>182030</v>
      </c>
      <c r="P434" s="5">
        <f t="shared" si="2"/>
        <v>-17424.987953126431</v>
      </c>
      <c r="Q434" s="5" t="s">
        <v>31</v>
      </c>
      <c r="R434" s="5" t="s">
        <v>56</v>
      </c>
      <c r="T434" s="5">
        <v>8</v>
      </c>
      <c r="U434" s="5">
        <v>4</v>
      </c>
      <c r="W434" s="5">
        <f t="shared" si="3"/>
        <v>0</v>
      </c>
    </row>
    <row r="435" spans="1:23" ht="15.75" customHeight="1" x14ac:dyDescent="0.25">
      <c r="A435" s="5" t="s">
        <v>748</v>
      </c>
      <c r="B435" s="6">
        <v>45058</v>
      </c>
      <c r="C435" s="5" t="s">
        <v>334</v>
      </c>
      <c r="D435" s="5" t="s">
        <v>188</v>
      </c>
      <c r="E435" s="5" t="s">
        <v>49</v>
      </c>
      <c r="F435" s="5" t="s">
        <v>50</v>
      </c>
      <c r="G435" s="5" t="s">
        <v>124</v>
      </c>
      <c r="H435" s="5" t="s">
        <v>76</v>
      </c>
      <c r="I435" s="5" t="s">
        <v>125</v>
      </c>
      <c r="J435" s="5">
        <v>58702</v>
      </c>
      <c r="K435" s="7">
        <v>80183.205790670836</v>
      </c>
      <c r="L435" s="5">
        <v>2</v>
      </c>
      <c r="M435" s="5">
        <v>5</v>
      </c>
      <c r="N435" s="8">
        <f t="shared" si="0"/>
        <v>152348.0910022746</v>
      </c>
      <c r="O435" s="5">
        <f t="shared" si="1"/>
        <v>117404</v>
      </c>
      <c r="P435" s="5">
        <f t="shared" si="2"/>
        <v>34944.091002274596</v>
      </c>
      <c r="Q435" s="5" t="s">
        <v>83</v>
      </c>
      <c r="R435" s="5" t="s">
        <v>32</v>
      </c>
      <c r="S435" s="6">
        <v>45068</v>
      </c>
      <c r="T435" s="5">
        <v>5</v>
      </c>
      <c r="U435" s="5">
        <v>3</v>
      </c>
      <c r="V435" s="5" t="s">
        <v>33</v>
      </c>
      <c r="W435" s="5">
        <f t="shared" si="3"/>
        <v>0</v>
      </c>
    </row>
    <row r="436" spans="1:23" ht="15.75" customHeight="1" x14ac:dyDescent="0.25">
      <c r="A436" s="5" t="s">
        <v>749</v>
      </c>
      <c r="B436" s="6">
        <v>45058</v>
      </c>
      <c r="C436" s="5" t="s">
        <v>193</v>
      </c>
      <c r="D436" s="5" t="s">
        <v>42</v>
      </c>
      <c r="E436" s="5" t="s">
        <v>112</v>
      </c>
      <c r="F436" s="5" t="s">
        <v>113</v>
      </c>
      <c r="G436" s="5" t="s">
        <v>124</v>
      </c>
      <c r="H436" s="5" t="s">
        <v>76</v>
      </c>
      <c r="I436" s="5" t="s">
        <v>125</v>
      </c>
      <c r="J436" s="5">
        <v>56787</v>
      </c>
      <c r="K436" s="7">
        <v>68636.078730111039</v>
      </c>
      <c r="L436" s="5">
        <v>2</v>
      </c>
      <c r="M436" s="5">
        <v>5</v>
      </c>
      <c r="N436" s="8">
        <f t="shared" si="0"/>
        <v>130408.54958721098</v>
      </c>
      <c r="O436" s="5">
        <f t="shared" si="1"/>
        <v>113574</v>
      </c>
      <c r="P436" s="5">
        <f t="shared" si="2"/>
        <v>16834.549587210975</v>
      </c>
      <c r="Q436" s="5" t="s">
        <v>83</v>
      </c>
      <c r="R436" s="5" t="s">
        <v>32</v>
      </c>
      <c r="S436" s="6">
        <v>45068</v>
      </c>
      <c r="T436" s="5">
        <v>5</v>
      </c>
      <c r="U436" s="5">
        <v>4</v>
      </c>
      <c r="V436" s="5" t="s">
        <v>33</v>
      </c>
      <c r="W436" s="5">
        <f t="shared" si="3"/>
        <v>0</v>
      </c>
    </row>
    <row r="437" spans="1:23" ht="15.75" customHeight="1" x14ac:dyDescent="0.25">
      <c r="A437" s="5" t="s">
        <v>750</v>
      </c>
      <c r="B437" s="6">
        <v>45058</v>
      </c>
      <c r="C437" s="5" t="s">
        <v>662</v>
      </c>
      <c r="D437" s="5" t="s">
        <v>135</v>
      </c>
      <c r="E437" s="5" t="s">
        <v>49</v>
      </c>
      <c r="F437" s="5" t="s">
        <v>50</v>
      </c>
      <c r="G437" s="5" t="s">
        <v>106</v>
      </c>
      <c r="H437" s="5" t="s">
        <v>98</v>
      </c>
      <c r="I437" s="5" t="s">
        <v>107</v>
      </c>
      <c r="J437" s="5">
        <v>633</v>
      </c>
      <c r="K437" s="7">
        <v>889.27311677915225</v>
      </c>
      <c r="L437" s="5">
        <v>2</v>
      </c>
      <c r="M437" s="5">
        <v>20</v>
      </c>
      <c r="N437" s="8">
        <f t="shared" si="0"/>
        <v>1422.8369868466436</v>
      </c>
      <c r="O437" s="5">
        <f t="shared" si="1"/>
        <v>1266</v>
      </c>
      <c r="P437" s="5">
        <f t="shared" si="2"/>
        <v>156.83698684664364</v>
      </c>
      <c r="Q437" s="5" t="s">
        <v>46</v>
      </c>
      <c r="R437" s="5" t="s">
        <v>56</v>
      </c>
      <c r="T437" s="5">
        <v>7</v>
      </c>
      <c r="U437" s="5">
        <v>4</v>
      </c>
      <c r="W437" s="5">
        <f t="shared" si="3"/>
        <v>0</v>
      </c>
    </row>
    <row r="438" spans="1:23" ht="15.75" customHeight="1" x14ac:dyDescent="0.25">
      <c r="A438" s="5" t="s">
        <v>751</v>
      </c>
      <c r="B438" s="6">
        <v>45058</v>
      </c>
      <c r="C438" s="5" t="s">
        <v>248</v>
      </c>
      <c r="D438" s="5" t="s">
        <v>53</v>
      </c>
      <c r="E438" s="5" t="s">
        <v>80</v>
      </c>
      <c r="F438" s="5" t="s">
        <v>80</v>
      </c>
      <c r="G438" s="5" t="s">
        <v>124</v>
      </c>
      <c r="H438" s="5" t="s">
        <v>76</v>
      </c>
      <c r="I438" s="5" t="s">
        <v>125</v>
      </c>
      <c r="J438" s="5">
        <v>76051</v>
      </c>
      <c r="K438" s="7">
        <v>78788.755204325134</v>
      </c>
      <c r="L438" s="5">
        <v>5</v>
      </c>
      <c r="M438" s="5">
        <v>0</v>
      </c>
      <c r="N438" s="8">
        <f t="shared" si="0"/>
        <v>393943.77602162567</v>
      </c>
      <c r="O438" s="5">
        <f t="shared" si="1"/>
        <v>380255</v>
      </c>
      <c r="P438" s="5">
        <f t="shared" si="2"/>
        <v>13688.776021625672</v>
      </c>
      <c r="Q438" s="5" t="s">
        <v>39</v>
      </c>
      <c r="R438" s="5" t="s">
        <v>32</v>
      </c>
      <c r="S438" s="6">
        <v>45067</v>
      </c>
      <c r="T438" s="5">
        <v>2</v>
      </c>
      <c r="U438" s="5">
        <v>4</v>
      </c>
      <c r="V438" s="5" t="s">
        <v>33</v>
      </c>
      <c r="W438" s="5">
        <f t="shared" si="3"/>
        <v>0</v>
      </c>
    </row>
    <row r="439" spans="1:23" ht="15.75" customHeight="1" x14ac:dyDescent="0.25">
      <c r="A439" s="5" t="s">
        <v>752</v>
      </c>
      <c r="B439" s="6">
        <v>45059</v>
      </c>
      <c r="C439" s="5" t="s">
        <v>94</v>
      </c>
      <c r="D439" s="5" t="s">
        <v>146</v>
      </c>
      <c r="E439" s="5" t="s">
        <v>112</v>
      </c>
      <c r="F439" s="5" t="s">
        <v>113</v>
      </c>
      <c r="G439" s="5" t="s">
        <v>75</v>
      </c>
      <c r="H439" s="5" t="s">
        <v>76</v>
      </c>
      <c r="I439" s="5" t="s">
        <v>77</v>
      </c>
      <c r="J439" s="5">
        <v>758</v>
      </c>
      <c r="K439" s="7">
        <v>1046.2601314650019</v>
      </c>
      <c r="L439" s="5">
        <v>1</v>
      </c>
      <c r="M439" s="5">
        <v>20</v>
      </c>
      <c r="N439" s="8">
        <f t="shared" si="0"/>
        <v>837.00810517200159</v>
      </c>
      <c r="O439" s="5">
        <f t="shared" si="1"/>
        <v>758</v>
      </c>
      <c r="P439" s="5">
        <f t="shared" si="2"/>
        <v>79.008105172001592</v>
      </c>
      <c r="Q439" s="5" t="s">
        <v>83</v>
      </c>
      <c r="R439" s="5" t="s">
        <v>32</v>
      </c>
      <c r="S439" s="6">
        <v>45074</v>
      </c>
      <c r="T439" s="5">
        <v>8</v>
      </c>
      <c r="U439" s="5">
        <v>3</v>
      </c>
      <c r="V439" s="5" t="s">
        <v>33</v>
      </c>
      <c r="W439" s="5">
        <f t="shared" si="3"/>
        <v>0</v>
      </c>
    </row>
    <row r="440" spans="1:23" ht="15.75" customHeight="1" x14ac:dyDescent="0.25">
      <c r="A440" s="5" t="s">
        <v>753</v>
      </c>
      <c r="B440" s="6">
        <v>45059</v>
      </c>
      <c r="C440" s="5" t="s">
        <v>272</v>
      </c>
      <c r="D440" s="5" t="s">
        <v>148</v>
      </c>
      <c r="E440" s="5" t="s">
        <v>37</v>
      </c>
      <c r="F440" s="5" t="s">
        <v>38</v>
      </c>
      <c r="G440" s="5" t="s">
        <v>75</v>
      </c>
      <c r="H440" s="5" t="s">
        <v>76</v>
      </c>
      <c r="I440" s="5" t="s">
        <v>77</v>
      </c>
      <c r="J440" s="5">
        <v>754</v>
      </c>
      <c r="K440" s="7">
        <v>1037.9309579765122</v>
      </c>
      <c r="L440" s="5">
        <v>4</v>
      </c>
      <c r="M440" s="5">
        <v>20</v>
      </c>
      <c r="N440" s="8">
        <f t="shared" si="0"/>
        <v>3321.3790655248395</v>
      </c>
      <c r="O440" s="5">
        <f t="shared" si="1"/>
        <v>3016</v>
      </c>
      <c r="P440" s="5">
        <f t="shared" si="2"/>
        <v>305.37906552483946</v>
      </c>
      <c r="Q440" s="5" t="s">
        <v>83</v>
      </c>
      <c r="R440" s="5" t="s">
        <v>32</v>
      </c>
      <c r="S440" s="6">
        <v>45067</v>
      </c>
      <c r="T440" s="5">
        <v>4</v>
      </c>
      <c r="U440" s="5">
        <v>2</v>
      </c>
      <c r="V440" s="5" t="s">
        <v>33</v>
      </c>
      <c r="W440" s="5">
        <f t="shared" si="3"/>
        <v>0</v>
      </c>
    </row>
    <row r="441" spans="1:23" ht="15.75" customHeight="1" x14ac:dyDescent="0.25">
      <c r="A441" s="5" t="s">
        <v>754</v>
      </c>
      <c r="B441" s="6">
        <v>45060</v>
      </c>
      <c r="C441" s="5" t="s">
        <v>152</v>
      </c>
      <c r="D441" s="5" t="s">
        <v>42</v>
      </c>
      <c r="E441" s="5" t="s">
        <v>69</v>
      </c>
      <c r="F441" s="5" t="s">
        <v>55</v>
      </c>
      <c r="G441" s="5" t="s">
        <v>87</v>
      </c>
      <c r="H441" s="5" t="s">
        <v>29</v>
      </c>
      <c r="I441" s="5" t="s">
        <v>88</v>
      </c>
      <c r="J441" s="5">
        <v>47742</v>
      </c>
      <c r="K441" s="7">
        <v>75752.564764161551</v>
      </c>
      <c r="L441" s="5">
        <v>5</v>
      </c>
      <c r="M441" s="5">
        <v>5</v>
      </c>
      <c r="N441" s="8">
        <f t="shared" si="0"/>
        <v>359824.68262976734</v>
      </c>
      <c r="O441" s="5">
        <f t="shared" si="1"/>
        <v>238710</v>
      </c>
      <c r="P441" s="5">
        <f t="shared" si="2"/>
        <v>121114.68262976734</v>
      </c>
      <c r="Q441" s="5" t="s">
        <v>39</v>
      </c>
      <c r="R441" s="5" t="s">
        <v>32</v>
      </c>
      <c r="S441" s="6">
        <v>45070</v>
      </c>
      <c r="T441" s="5">
        <v>4</v>
      </c>
      <c r="U441" s="5">
        <v>3</v>
      </c>
      <c r="V441" s="5" t="s">
        <v>33</v>
      </c>
      <c r="W441" s="5">
        <f t="shared" si="3"/>
        <v>0</v>
      </c>
    </row>
    <row r="442" spans="1:23" ht="15.75" customHeight="1" x14ac:dyDescent="0.25">
      <c r="A442" s="5" t="s">
        <v>755</v>
      </c>
      <c r="B442" s="6">
        <v>45060</v>
      </c>
      <c r="C442" s="5" t="s">
        <v>137</v>
      </c>
      <c r="D442" s="5" t="s">
        <v>208</v>
      </c>
      <c r="E442" s="5" t="s">
        <v>49</v>
      </c>
      <c r="F442" s="5" t="s">
        <v>50</v>
      </c>
      <c r="G442" s="5" t="s">
        <v>124</v>
      </c>
      <c r="H442" s="5" t="s">
        <v>76</v>
      </c>
      <c r="I442" s="5" t="s">
        <v>125</v>
      </c>
      <c r="J442" s="5">
        <v>79010</v>
      </c>
      <c r="K442" s="7">
        <v>115892.53302237405</v>
      </c>
      <c r="L442" s="5">
        <v>1</v>
      </c>
      <c r="M442" s="5">
        <v>0</v>
      </c>
      <c r="N442" s="8">
        <f t="shared" si="0"/>
        <v>115892.53302237405</v>
      </c>
      <c r="O442" s="5">
        <f t="shared" si="1"/>
        <v>79010</v>
      </c>
      <c r="P442" s="5">
        <f t="shared" si="2"/>
        <v>36882.533022374046</v>
      </c>
      <c r="Q442" s="5" t="s">
        <v>46</v>
      </c>
      <c r="R442" s="5" t="s">
        <v>32</v>
      </c>
      <c r="S442" s="6">
        <v>45065</v>
      </c>
      <c r="T442" s="5">
        <v>2</v>
      </c>
      <c r="U442" s="5">
        <v>5</v>
      </c>
      <c r="V442" s="5" t="s">
        <v>33</v>
      </c>
      <c r="W442" s="5">
        <f t="shared" si="3"/>
        <v>0</v>
      </c>
    </row>
    <row r="443" spans="1:23" ht="15.75" customHeight="1" x14ac:dyDescent="0.25">
      <c r="A443" s="5" t="s">
        <v>756</v>
      </c>
      <c r="B443" s="6">
        <v>45060</v>
      </c>
      <c r="C443" s="5" t="s">
        <v>214</v>
      </c>
      <c r="D443" s="5" t="s">
        <v>150</v>
      </c>
      <c r="E443" s="5" t="s">
        <v>49</v>
      </c>
      <c r="F443" s="5" t="s">
        <v>50</v>
      </c>
      <c r="G443" s="5" t="s">
        <v>87</v>
      </c>
      <c r="H443" s="5" t="s">
        <v>29</v>
      </c>
      <c r="I443" s="5" t="s">
        <v>88</v>
      </c>
      <c r="J443" s="5">
        <v>31506</v>
      </c>
      <c r="K443" s="7">
        <v>39779.788361724735</v>
      </c>
      <c r="L443" s="5">
        <v>1</v>
      </c>
      <c r="M443" s="5">
        <v>20</v>
      </c>
      <c r="N443" s="8">
        <f t="shared" si="0"/>
        <v>31823.830689379789</v>
      </c>
      <c r="O443" s="5">
        <f t="shared" si="1"/>
        <v>31506</v>
      </c>
      <c r="P443" s="5">
        <f t="shared" si="2"/>
        <v>317.83068937978896</v>
      </c>
      <c r="Q443" s="5" t="s">
        <v>31</v>
      </c>
      <c r="R443" s="5" t="s">
        <v>32</v>
      </c>
      <c r="S443" s="6">
        <v>45069</v>
      </c>
      <c r="T443" s="5">
        <v>2</v>
      </c>
      <c r="U443" s="5">
        <v>4</v>
      </c>
      <c r="V443" s="5" t="s">
        <v>33</v>
      </c>
      <c r="W443" s="5">
        <f t="shared" si="3"/>
        <v>0</v>
      </c>
    </row>
    <row r="444" spans="1:23" ht="15.75" customHeight="1" x14ac:dyDescent="0.25">
      <c r="A444" s="5" t="s">
        <v>757</v>
      </c>
      <c r="B444" s="6">
        <v>45060</v>
      </c>
      <c r="C444" s="5" t="s">
        <v>487</v>
      </c>
      <c r="D444" s="5" t="s">
        <v>135</v>
      </c>
      <c r="E444" s="5" t="s">
        <v>49</v>
      </c>
      <c r="F444" s="5" t="s">
        <v>50</v>
      </c>
      <c r="G444" s="5" t="s">
        <v>92</v>
      </c>
      <c r="H444" s="5" t="s">
        <v>44</v>
      </c>
      <c r="I444" s="5" t="s">
        <v>45</v>
      </c>
      <c r="J444" s="5">
        <v>1060</v>
      </c>
      <c r="K444" s="7">
        <v>1201.1057324716899</v>
      </c>
      <c r="L444" s="5">
        <v>2</v>
      </c>
      <c r="M444" s="5">
        <v>0</v>
      </c>
      <c r="N444" s="8">
        <f t="shared" si="0"/>
        <v>2402.2114649433797</v>
      </c>
      <c r="O444" s="5">
        <f t="shared" si="1"/>
        <v>2120</v>
      </c>
      <c r="P444" s="5">
        <f t="shared" si="2"/>
        <v>282.21146494337972</v>
      </c>
      <c r="Q444" s="5" t="s">
        <v>46</v>
      </c>
      <c r="R444" s="5" t="s">
        <v>32</v>
      </c>
      <c r="S444" s="6">
        <v>45067</v>
      </c>
      <c r="T444" s="5">
        <v>1</v>
      </c>
      <c r="U444" s="5">
        <v>4</v>
      </c>
      <c r="V444" s="5" t="s">
        <v>33</v>
      </c>
      <c r="W444" s="5">
        <f t="shared" si="3"/>
        <v>0</v>
      </c>
    </row>
    <row r="445" spans="1:23" ht="15.75" customHeight="1" x14ac:dyDescent="0.25">
      <c r="A445" s="5" t="s">
        <v>758</v>
      </c>
      <c r="B445" s="6">
        <v>45061</v>
      </c>
      <c r="C445" s="5" t="s">
        <v>759</v>
      </c>
      <c r="D445" s="5" t="s">
        <v>25</v>
      </c>
      <c r="E445" s="5" t="s">
        <v>80</v>
      </c>
      <c r="F445" s="5" t="s">
        <v>80</v>
      </c>
      <c r="G445" s="5" t="s">
        <v>139</v>
      </c>
      <c r="H445" s="5" t="s">
        <v>76</v>
      </c>
      <c r="I445" s="5" t="s">
        <v>140</v>
      </c>
      <c r="J445" s="5">
        <v>32134</v>
      </c>
      <c r="K445" s="7">
        <v>41758.616133832977</v>
      </c>
      <c r="L445" s="5">
        <v>1</v>
      </c>
      <c r="M445" s="5">
        <v>15</v>
      </c>
      <c r="N445" s="8">
        <f t="shared" si="0"/>
        <v>35494.823713758029</v>
      </c>
      <c r="O445" s="5">
        <f t="shared" si="1"/>
        <v>32134</v>
      </c>
      <c r="P445" s="5">
        <f t="shared" si="2"/>
        <v>3360.823713758029</v>
      </c>
      <c r="Q445" s="5" t="s">
        <v>83</v>
      </c>
      <c r="R445" s="5" t="s">
        <v>32</v>
      </c>
      <c r="S445" s="6">
        <v>45068</v>
      </c>
      <c r="T445" s="5">
        <v>1</v>
      </c>
      <c r="U445" s="5">
        <v>5</v>
      </c>
      <c r="V445" s="5" t="s">
        <v>33</v>
      </c>
      <c r="W445" s="5">
        <f t="shared" si="3"/>
        <v>0</v>
      </c>
    </row>
    <row r="446" spans="1:23" ht="15.75" customHeight="1" x14ac:dyDescent="0.25">
      <c r="A446" s="5" t="s">
        <v>760</v>
      </c>
      <c r="B446" s="6">
        <v>45061</v>
      </c>
      <c r="C446" s="5" t="s">
        <v>159</v>
      </c>
      <c r="D446" s="5" t="s">
        <v>102</v>
      </c>
      <c r="E446" s="5" t="s">
        <v>54</v>
      </c>
      <c r="F446" s="5" t="s">
        <v>55</v>
      </c>
      <c r="G446" s="5" t="s">
        <v>92</v>
      </c>
      <c r="H446" s="5" t="s">
        <v>44</v>
      </c>
      <c r="I446" s="5" t="s">
        <v>45</v>
      </c>
      <c r="J446" s="5">
        <v>955</v>
      </c>
      <c r="K446" s="7">
        <v>1168.3101861937289</v>
      </c>
      <c r="L446" s="5">
        <v>4</v>
      </c>
      <c r="M446" s="5">
        <v>0</v>
      </c>
      <c r="N446" s="8">
        <f t="shared" si="0"/>
        <v>4673.2407447749156</v>
      </c>
      <c r="O446" s="5">
        <f t="shared" si="1"/>
        <v>3820</v>
      </c>
      <c r="P446" s="5">
        <f t="shared" si="2"/>
        <v>853.24074477491558</v>
      </c>
      <c r="Q446" s="5" t="s">
        <v>39</v>
      </c>
      <c r="R446" s="5" t="s">
        <v>32</v>
      </c>
      <c r="S446" s="6">
        <v>45066</v>
      </c>
      <c r="T446" s="5">
        <v>2</v>
      </c>
      <c r="U446" s="5">
        <v>4</v>
      </c>
      <c r="V446" s="5" t="s">
        <v>33</v>
      </c>
      <c r="W446" s="5">
        <f t="shared" si="3"/>
        <v>0</v>
      </c>
    </row>
    <row r="447" spans="1:23" ht="15.75" customHeight="1" x14ac:dyDescent="0.25">
      <c r="A447" s="5" t="s">
        <v>761</v>
      </c>
      <c r="B447" s="6">
        <v>45061</v>
      </c>
      <c r="C447" s="5" t="s">
        <v>511</v>
      </c>
      <c r="D447" s="5" t="s">
        <v>146</v>
      </c>
      <c r="E447" s="5" t="s">
        <v>26</v>
      </c>
      <c r="F447" s="5" t="s">
        <v>27</v>
      </c>
      <c r="G447" s="5" t="s">
        <v>43</v>
      </c>
      <c r="H447" s="5" t="s">
        <v>44</v>
      </c>
      <c r="I447" s="5" t="s">
        <v>45</v>
      </c>
      <c r="J447" s="5">
        <v>733</v>
      </c>
      <c r="K447" s="7">
        <v>1155.9688879262542</v>
      </c>
      <c r="L447" s="5">
        <v>2</v>
      </c>
      <c r="M447" s="5">
        <v>0</v>
      </c>
      <c r="N447" s="8">
        <f t="shared" si="0"/>
        <v>2311.9377758525084</v>
      </c>
      <c r="O447" s="5">
        <f t="shared" si="1"/>
        <v>1466</v>
      </c>
      <c r="P447" s="5">
        <f t="shared" si="2"/>
        <v>845.93777585250837</v>
      </c>
      <c r="Q447" s="5" t="s">
        <v>31</v>
      </c>
      <c r="R447" s="5" t="s">
        <v>32</v>
      </c>
      <c r="S447" s="6">
        <v>45067</v>
      </c>
      <c r="T447" s="5">
        <v>1</v>
      </c>
      <c r="U447" s="5">
        <v>5</v>
      </c>
      <c r="V447" s="5" t="s">
        <v>33</v>
      </c>
      <c r="W447" s="5">
        <f t="shared" si="3"/>
        <v>0</v>
      </c>
    </row>
    <row r="448" spans="1:23" ht="15.75" customHeight="1" x14ac:dyDescent="0.25">
      <c r="A448" s="5" t="s">
        <v>762</v>
      </c>
      <c r="B448" s="6">
        <v>45061</v>
      </c>
      <c r="C448" s="5" t="s">
        <v>500</v>
      </c>
      <c r="D448" s="5" t="s">
        <v>86</v>
      </c>
      <c r="E448" s="5" t="s">
        <v>49</v>
      </c>
      <c r="F448" s="5" t="s">
        <v>50</v>
      </c>
      <c r="G448" s="5" t="s">
        <v>106</v>
      </c>
      <c r="H448" s="5" t="s">
        <v>98</v>
      </c>
      <c r="I448" s="5" t="s">
        <v>107</v>
      </c>
      <c r="J448" s="5">
        <v>672</v>
      </c>
      <c r="K448" s="7">
        <v>756.16895123189647</v>
      </c>
      <c r="L448" s="5">
        <v>1</v>
      </c>
      <c r="M448" s="5">
        <v>0</v>
      </c>
      <c r="N448" s="8">
        <f t="shared" si="0"/>
        <v>756.16895123189647</v>
      </c>
      <c r="O448" s="5">
        <f t="shared" si="1"/>
        <v>672</v>
      </c>
      <c r="P448" s="5">
        <f t="shared" si="2"/>
        <v>84.168951231896472</v>
      </c>
      <c r="Q448" s="5" t="s">
        <v>31</v>
      </c>
      <c r="R448" s="5" t="s">
        <v>32</v>
      </c>
      <c r="S448" s="6">
        <v>45071</v>
      </c>
      <c r="T448" s="5">
        <v>5</v>
      </c>
      <c r="U448" s="5">
        <v>3</v>
      </c>
      <c r="V448" s="5" t="s">
        <v>33</v>
      </c>
      <c r="W448" s="5">
        <f t="shared" si="3"/>
        <v>0</v>
      </c>
    </row>
    <row r="449" spans="1:23" ht="15.75" customHeight="1" x14ac:dyDescent="0.25">
      <c r="A449" s="5" t="s">
        <v>763</v>
      </c>
      <c r="B449" s="6">
        <v>45061</v>
      </c>
      <c r="C449" s="5" t="s">
        <v>270</v>
      </c>
      <c r="D449" s="5" t="s">
        <v>135</v>
      </c>
      <c r="E449" s="5" t="s">
        <v>69</v>
      </c>
      <c r="F449" s="5" t="s">
        <v>55</v>
      </c>
      <c r="G449" s="5" t="s">
        <v>87</v>
      </c>
      <c r="H449" s="5" t="s">
        <v>29</v>
      </c>
      <c r="I449" s="5" t="s">
        <v>88</v>
      </c>
      <c r="J449" s="5">
        <v>28769</v>
      </c>
      <c r="K449" s="7">
        <v>29733.860102632509</v>
      </c>
      <c r="L449" s="5">
        <v>5</v>
      </c>
      <c r="M449" s="5">
        <v>20</v>
      </c>
      <c r="N449" s="8">
        <f t="shared" si="0"/>
        <v>118935.44041053003</v>
      </c>
      <c r="O449" s="5">
        <f t="shared" si="1"/>
        <v>143845</v>
      </c>
      <c r="P449" s="5">
        <f t="shared" si="2"/>
        <v>-24909.559589469965</v>
      </c>
      <c r="Q449" s="5" t="s">
        <v>46</v>
      </c>
      <c r="R449" s="5" t="s">
        <v>32</v>
      </c>
      <c r="S449" s="6">
        <v>45069</v>
      </c>
      <c r="T449" s="5">
        <v>5</v>
      </c>
      <c r="U449" s="5">
        <v>3</v>
      </c>
      <c r="V449" s="5" t="s">
        <v>33</v>
      </c>
      <c r="W449" s="5">
        <f t="shared" si="3"/>
        <v>0</v>
      </c>
    </row>
    <row r="450" spans="1:23" ht="15.75" customHeight="1" x14ac:dyDescent="0.25">
      <c r="A450" s="5" t="s">
        <v>764</v>
      </c>
      <c r="B450" s="6">
        <v>45061</v>
      </c>
      <c r="C450" s="5" t="s">
        <v>765</v>
      </c>
      <c r="D450" s="5" t="s">
        <v>148</v>
      </c>
      <c r="E450" s="5" t="s">
        <v>60</v>
      </c>
      <c r="F450" s="5" t="s">
        <v>61</v>
      </c>
      <c r="G450" s="5" t="s">
        <v>124</v>
      </c>
      <c r="H450" s="5" t="s">
        <v>76</v>
      </c>
      <c r="I450" s="5" t="s">
        <v>125</v>
      </c>
      <c r="J450" s="5">
        <v>55193</v>
      </c>
      <c r="K450" s="7">
        <v>77876.89902061547</v>
      </c>
      <c r="L450" s="5">
        <v>3</v>
      </c>
      <c r="M450" s="5">
        <v>20</v>
      </c>
      <c r="N450" s="8">
        <f t="shared" si="0"/>
        <v>186904.55764947715</v>
      </c>
      <c r="O450" s="5">
        <f t="shared" si="1"/>
        <v>165579</v>
      </c>
      <c r="P450" s="5">
        <f t="shared" si="2"/>
        <v>21325.557649477152</v>
      </c>
      <c r="Q450" s="5" t="s">
        <v>83</v>
      </c>
      <c r="R450" s="5" t="s">
        <v>32</v>
      </c>
      <c r="S450" s="6">
        <v>45071</v>
      </c>
      <c r="T450" s="5">
        <v>6</v>
      </c>
      <c r="U450" s="5">
        <v>2</v>
      </c>
      <c r="V450" s="5" t="s">
        <v>33</v>
      </c>
      <c r="W450" s="5">
        <f t="shared" si="3"/>
        <v>0</v>
      </c>
    </row>
    <row r="451" spans="1:23" ht="15.75" customHeight="1" x14ac:dyDescent="0.25">
      <c r="A451" s="5" t="s">
        <v>766</v>
      </c>
      <c r="B451" s="6">
        <v>45062</v>
      </c>
      <c r="C451" s="5" t="s">
        <v>478</v>
      </c>
      <c r="D451" s="5" t="s">
        <v>59</v>
      </c>
      <c r="E451" s="5" t="s">
        <v>112</v>
      </c>
      <c r="F451" s="5" t="s">
        <v>113</v>
      </c>
      <c r="G451" s="5" t="s">
        <v>70</v>
      </c>
      <c r="H451" s="5" t="s">
        <v>44</v>
      </c>
      <c r="I451" s="5" t="s">
        <v>71</v>
      </c>
      <c r="J451" s="5">
        <v>981</v>
      </c>
      <c r="K451" s="7">
        <v>1076.6225307514503</v>
      </c>
      <c r="L451" s="5">
        <v>5</v>
      </c>
      <c r="M451" s="5">
        <v>5</v>
      </c>
      <c r="N451" s="8">
        <f t="shared" si="0"/>
        <v>5113.9570210693892</v>
      </c>
      <c r="O451" s="5">
        <f t="shared" si="1"/>
        <v>4905</v>
      </c>
      <c r="P451" s="5">
        <f t="shared" si="2"/>
        <v>208.95702106938916</v>
      </c>
      <c r="Q451" s="5" t="s">
        <v>31</v>
      </c>
      <c r="R451" s="5" t="s">
        <v>32</v>
      </c>
      <c r="S451" s="6">
        <v>45077</v>
      </c>
      <c r="T451" s="5">
        <v>8</v>
      </c>
      <c r="U451" s="5">
        <v>4</v>
      </c>
      <c r="V451" s="5" t="s">
        <v>89</v>
      </c>
      <c r="W451" s="5">
        <f t="shared" si="3"/>
        <v>1</v>
      </c>
    </row>
    <row r="452" spans="1:23" ht="15.75" customHeight="1" x14ac:dyDescent="0.25">
      <c r="A452" s="5" t="s">
        <v>767</v>
      </c>
      <c r="B452" s="6">
        <v>45062</v>
      </c>
      <c r="C452" s="5" t="s">
        <v>534</v>
      </c>
      <c r="D452" s="5" t="s">
        <v>116</v>
      </c>
      <c r="E452" s="5" t="s">
        <v>69</v>
      </c>
      <c r="F452" s="5" t="s">
        <v>55</v>
      </c>
      <c r="G452" s="5" t="s">
        <v>70</v>
      </c>
      <c r="H452" s="5" t="s">
        <v>44</v>
      </c>
      <c r="I452" s="5" t="s">
        <v>71</v>
      </c>
      <c r="J452" s="5">
        <v>549</v>
      </c>
      <c r="K452" s="7">
        <v>689.87268472263179</v>
      </c>
      <c r="L452" s="5">
        <v>3</v>
      </c>
      <c r="M452" s="5">
        <v>0</v>
      </c>
      <c r="N452" s="8">
        <f t="shared" si="0"/>
        <v>2069.6180541678955</v>
      </c>
      <c r="O452" s="5">
        <f t="shared" si="1"/>
        <v>1647</v>
      </c>
      <c r="P452" s="5">
        <f t="shared" si="2"/>
        <v>422.61805416789548</v>
      </c>
      <c r="Q452" s="5" t="s">
        <v>31</v>
      </c>
      <c r="R452" s="5" t="s">
        <v>32</v>
      </c>
      <c r="S452" s="6">
        <v>45067</v>
      </c>
      <c r="T452" s="5">
        <v>1</v>
      </c>
      <c r="U452" s="5">
        <v>5</v>
      </c>
      <c r="V452" s="5" t="s">
        <v>33</v>
      </c>
      <c r="W452" s="5">
        <f t="shared" si="3"/>
        <v>0</v>
      </c>
    </row>
    <row r="453" spans="1:23" ht="15.75" customHeight="1" x14ac:dyDescent="0.25">
      <c r="A453" s="5" t="s">
        <v>768</v>
      </c>
      <c r="B453" s="6">
        <v>45062</v>
      </c>
      <c r="C453" s="5" t="s">
        <v>123</v>
      </c>
      <c r="D453" s="5" t="s">
        <v>150</v>
      </c>
      <c r="E453" s="5" t="s">
        <v>54</v>
      </c>
      <c r="F453" s="5" t="s">
        <v>55</v>
      </c>
      <c r="G453" s="5" t="s">
        <v>87</v>
      </c>
      <c r="H453" s="5" t="s">
        <v>29</v>
      </c>
      <c r="I453" s="5" t="s">
        <v>88</v>
      </c>
      <c r="J453" s="5">
        <v>43757</v>
      </c>
      <c r="K453" s="7">
        <v>49059.901740350739</v>
      </c>
      <c r="L453" s="5">
        <v>1</v>
      </c>
      <c r="M453" s="5">
        <v>15</v>
      </c>
      <c r="N453" s="8">
        <f t="shared" si="0"/>
        <v>41700.916479298125</v>
      </c>
      <c r="O453" s="5">
        <f t="shared" si="1"/>
        <v>43757</v>
      </c>
      <c r="P453" s="5">
        <f t="shared" si="2"/>
        <v>-2056.0835207018754</v>
      </c>
      <c r="Q453" s="5" t="s">
        <v>39</v>
      </c>
      <c r="R453" s="5" t="s">
        <v>32</v>
      </c>
      <c r="S453" s="6">
        <v>45073</v>
      </c>
      <c r="T453" s="5">
        <v>4</v>
      </c>
      <c r="U453" s="5">
        <v>4</v>
      </c>
      <c r="V453" s="5" t="s">
        <v>33</v>
      </c>
      <c r="W453" s="5">
        <f t="shared" si="3"/>
        <v>0</v>
      </c>
    </row>
    <row r="454" spans="1:23" ht="15.75" customHeight="1" x14ac:dyDescent="0.25">
      <c r="A454" s="5" t="s">
        <v>769</v>
      </c>
      <c r="B454" s="6">
        <v>45062</v>
      </c>
      <c r="C454" s="5" t="s">
        <v>159</v>
      </c>
      <c r="D454" s="5" t="s">
        <v>42</v>
      </c>
      <c r="E454" s="5" t="s">
        <v>80</v>
      </c>
      <c r="F454" s="5" t="s">
        <v>80</v>
      </c>
      <c r="G454" s="5" t="s">
        <v>119</v>
      </c>
      <c r="H454" s="5" t="s">
        <v>76</v>
      </c>
      <c r="I454" s="5" t="s">
        <v>120</v>
      </c>
      <c r="J454" s="5">
        <v>62557</v>
      </c>
      <c r="K454" s="7">
        <v>75411.846851558541</v>
      </c>
      <c r="L454" s="5">
        <v>2</v>
      </c>
      <c r="M454" s="5">
        <v>20</v>
      </c>
      <c r="N454" s="8">
        <f t="shared" si="0"/>
        <v>120658.95496249368</v>
      </c>
      <c r="O454" s="5">
        <f t="shared" si="1"/>
        <v>125114</v>
      </c>
      <c r="P454" s="5">
        <f t="shared" si="2"/>
        <v>-4455.0450375063228</v>
      </c>
      <c r="Q454" s="5" t="s">
        <v>46</v>
      </c>
      <c r="R454" s="5" t="s">
        <v>56</v>
      </c>
      <c r="T454" s="5">
        <v>9</v>
      </c>
      <c r="U454" s="5">
        <v>1</v>
      </c>
      <c r="W454" s="5">
        <f t="shared" si="3"/>
        <v>0</v>
      </c>
    </row>
    <row r="455" spans="1:23" ht="15.75" customHeight="1" x14ac:dyDescent="0.25">
      <c r="A455" s="5" t="s">
        <v>770</v>
      </c>
      <c r="B455" s="6">
        <v>45062</v>
      </c>
      <c r="C455" s="5" t="s">
        <v>272</v>
      </c>
      <c r="D455" s="5" t="s">
        <v>59</v>
      </c>
      <c r="E455" s="5" t="s">
        <v>60</v>
      </c>
      <c r="F455" s="5" t="s">
        <v>61</v>
      </c>
      <c r="G455" s="5" t="s">
        <v>97</v>
      </c>
      <c r="H455" s="5" t="s">
        <v>98</v>
      </c>
      <c r="I455" s="5" t="s">
        <v>99</v>
      </c>
      <c r="J455" s="5">
        <v>243</v>
      </c>
      <c r="K455" s="7">
        <v>334.61182272956989</v>
      </c>
      <c r="L455" s="5">
        <v>4</v>
      </c>
      <c r="M455" s="5">
        <v>5</v>
      </c>
      <c r="N455" s="8">
        <f t="shared" si="0"/>
        <v>1271.5249263723656</v>
      </c>
      <c r="O455" s="5">
        <f t="shared" si="1"/>
        <v>972</v>
      </c>
      <c r="P455" s="5">
        <f t="shared" si="2"/>
        <v>299.5249263723656</v>
      </c>
      <c r="Q455" s="5" t="s">
        <v>39</v>
      </c>
      <c r="R455" s="5" t="s">
        <v>56</v>
      </c>
      <c r="T455" s="5">
        <v>9</v>
      </c>
      <c r="U455" s="5">
        <v>1</v>
      </c>
      <c r="W455" s="5">
        <f t="shared" si="3"/>
        <v>0</v>
      </c>
    </row>
    <row r="456" spans="1:23" ht="15.75" customHeight="1" x14ac:dyDescent="0.25">
      <c r="A456" s="5" t="s">
        <v>771</v>
      </c>
      <c r="B456" s="6">
        <v>45063</v>
      </c>
      <c r="C456" s="5" t="s">
        <v>68</v>
      </c>
      <c r="D456" s="5" t="s">
        <v>74</v>
      </c>
      <c r="E456" s="5" t="s">
        <v>37</v>
      </c>
      <c r="F456" s="5" t="s">
        <v>38</v>
      </c>
      <c r="G456" s="5" t="s">
        <v>124</v>
      </c>
      <c r="H456" s="5" t="s">
        <v>76</v>
      </c>
      <c r="I456" s="5" t="s">
        <v>125</v>
      </c>
      <c r="J456" s="5">
        <v>75875</v>
      </c>
      <c r="K456" s="7">
        <v>88114.324522147086</v>
      </c>
      <c r="L456" s="5">
        <v>4</v>
      </c>
      <c r="M456" s="5">
        <v>0</v>
      </c>
      <c r="N456" s="8">
        <f t="shared" si="0"/>
        <v>352457.29808858834</v>
      </c>
      <c r="O456" s="5">
        <f t="shared" si="1"/>
        <v>303500</v>
      </c>
      <c r="P456" s="5">
        <f t="shared" si="2"/>
        <v>48957.298088588344</v>
      </c>
      <c r="Q456" s="5" t="s">
        <v>31</v>
      </c>
      <c r="R456" s="5" t="s">
        <v>32</v>
      </c>
      <c r="S456" s="6">
        <v>45072</v>
      </c>
      <c r="T456" s="5">
        <v>2</v>
      </c>
      <c r="U456" s="5">
        <v>5</v>
      </c>
      <c r="V456" s="5" t="s">
        <v>33</v>
      </c>
      <c r="W456" s="5">
        <f t="shared" si="3"/>
        <v>0</v>
      </c>
    </row>
    <row r="457" spans="1:23" ht="15.75" customHeight="1" x14ac:dyDescent="0.25">
      <c r="A457" s="5" t="s">
        <v>772</v>
      </c>
      <c r="B457" s="6">
        <v>45063</v>
      </c>
      <c r="C457" s="5" t="s">
        <v>560</v>
      </c>
      <c r="D457" s="5" t="s">
        <v>102</v>
      </c>
      <c r="E457" s="5" t="s">
        <v>37</v>
      </c>
      <c r="F457" s="5" t="s">
        <v>38</v>
      </c>
      <c r="G457" s="5" t="s">
        <v>75</v>
      </c>
      <c r="H457" s="5" t="s">
        <v>76</v>
      </c>
      <c r="I457" s="5" t="s">
        <v>77</v>
      </c>
      <c r="J457" s="5">
        <v>1106</v>
      </c>
      <c r="K457" s="7">
        <v>1557.8622876407362</v>
      </c>
      <c r="L457" s="5">
        <v>1</v>
      </c>
      <c r="M457" s="5">
        <v>10</v>
      </c>
      <c r="N457" s="8">
        <f t="shared" si="0"/>
        <v>1402.0760588766627</v>
      </c>
      <c r="O457" s="5">
        <f t="shared" si="1"/>
        <v>1106</v>
      </c>
      <c r="P457" s="5">
        <f t="shared" si="2"/>
        <v>296.07605887666273</v>
      </c>
      <c r="Q457" s="5" t="s">
        <v>31</v>
      </c>
      <c r="R457" s="5" t="s">
        <v>32</v>
      </c>
      <c r="S457" s="6">
        <v>45072</v>
      </c>
      <c r="T457" s="5">
        <v>3</v>
      </c>
      <c r="U457" s="5">
        <v>4</v>
      </c>
      <c r="V457" s="5" t="s">
        <v>33</v>
      </c>
      <c r="W457" s="5">
        <f t="shared" si="3"/>
        <v>0</v>
      </c>
    </row>
    <row r="458" spans="1:23" ht="15.75" customHeight="1" x14ac:dyDescent="0.25">
      <c r="A458" s="5" t="s">
        <v>773</v>
      </c>
      <c r="B458" s="6">
        <v>45063</v>
      </c>
      <c r="C458" s="5" t="s">
        <v>346</v>
      </c>
      <c r="D458" s="5" t="s">
        <v>188</v>
      </c>
      <c r="E458" s="5" t="s">
        <v>37</v>
      </c>
      <c r="F458" s="5" t="s">
        <v>38</v>
      </c>
      <c r="G458" s="5" t="s">
        <v>97</v>
      </c>
      <c r="H458" s="5" t="s">
        <v>98</v>
      </c>
      <c r="I458" s="5" t="s">
        <v>99</v>
      </c>
      <c r="J458" s="5">
        <v>243</v>
      </c>
      <c r="K458" s="7">
        <v>339.95512873621698</v>
      </c>
      <c r="L458" s="5">
        <v>1</v>
      </c>
      <c r="M458" s="5">
        <v>10</v>
      </c>
      <c r="N458" s="8">
        <f t="shared" si="0"/>
        <v>305.95961586259529</v>
      </c>
      <c r="O458" s="5">
        <f t="shared" si="1"/>
        <v>243</v>
      </c>
      <c r="P458" s="5">
        <f t="shared" si="2"/>
        <v>62.959615862595285</v>
      </c>
      <c r="Q458" s="5" t="s">
        <v>46</v>
      </c>
      <c r="R458" s="5" t="s">
        <v>32</v>
      </c>
      <c r="S458" s="6">
        <v>45072</v>
      </c>
      <c r="T458" s="5">
        <v>6</v>
      </c>
      <c r="U458" s="5">
        <v>2</v>
      </c>
      <c r="V458" s="5" t="s">
        <v>33</v>
      </c>
      <c r="W458" s="5">
        <f t="shared" si="3"/>
        <v>0</v>
      </c>
    </row>
    <row r="459" spans="1:23" ht="15.75" customHeight="1" x14ac:dyDescent="0.25">
      <c r="A459" s="5" t="s">
        <v>774</v>
      </c>
      <c r="B459" s="6">
        <v>45063</v>
      </c>
      <c r="C459" s="5" t="s">
        <v>775</v>
      </c>
      <c r="D459" s="5" t="s">
        <v>188</v>
      </c>
      <c r="E459" s="5" t="s">
        <v>54</v>
      </c>
      <c r="F459" s="5" t="s">
        <v>55</v>
      </c>
      <c r="G459" s="5" t="s">
        <v>75</v>
      </c>
      <c r="H459" s="5" t="s">
        <v>76</v>
      </c>
      <c r="I459" s="5" t="s">
        <v>77</v>
      </c>
      <c r="J459" s="5">
        <v>1306</v>
      </c>
      <c r="K459" s="7">
        <v>1964.3234737812006</v>
      </c>
      <c r="L459" s="5">
        <v>3</v>
      </c>
      <c r="M459" s="5">
        <v>0</v>
      </c>
      <c r="N459" s="8">
        <f t="shared" si="0"/>
        <v>5892.9704213436016</v>
      </c>
      <c r="O459" s="5">
        <f t="shared" si="1"/>
        <v>3918</v>
      </c>
      <c r="P459" s="5">
        <f t="shared" si="2"/>
        <v>1974.9704213436016</v>
      </c>
      <c r="Q459" s="5" t="s">
        <v>46</v>
      </c>
      <c r="R459" s="5" t="s">
        <v>32</v>
      </c>
      <c r="S459" s="6">
        <v>45074</v>
      </c>
      <c r="T459" s="5">
        <v>5</v>
      </c>
      <c r="U459" s="5">
        <v>2</v>
      </c>
      <c r="V459" s="5" t="s">
        <v>33</v>
      </c>
      <c r="W459" s="5">
        <f t="shared" si="3"/>
        <v>0</v>
      </c>
    </row>
    <row r="460" spans="1:23" ht="15.75" customHeight="1" x14ac:dyDescent="0.25">
      <c r="A460" s="5" t="s">
        <v>776</v>
      </c>
      <c r="B460" s="6">
        <v>45064</v>
      </c>
      <c r="C460" s="5" t="s">
        <v>180</v>
      </c>
      <c r="D460" s="5" t="s">
        <v>138</v>
      </c>
      <c r="E460" s="5" t="s">
        <v>112</v>
      </c>
      <c r="F460" s="5" t="s">
        <v>113</v>
      </c>
      <c r="G460" s="5" t="s">
        <v>106</v>
      </c>
      <c r="H460" s="5" t="s">
        <v>98</v>
      </c>
      <c r="I460" s="5" t="s">
        <v>107</v>
      </c>
      <c r="J460" s="5">
        <v>591</v>
      </c>
      <c r="K460" s="7">
        <v>699.12916145457211</v>
      </c>
      <c r="L460" s="5">
        <v>5</v>
      </c>
      <c r="M460" s="5">
        <v>10</v>
      </c>
      <c r="N460" s="8">
        <f t="shared" si="0"/>
        <v>3146.0812265455747</v>
      </c>
      <c r="O460" s="5">
        <f t="shared" si="1"/>
        <v>2955</v>
      </c>
      <c r="P460" s="5">
        <f t="shared" si="2"/>
        <v>191.08122654557474</v>
      </c>
      <c r="Q460" s="5" t="s">
        <v>46</v>
      </c>
      <c r="R460" s="5" t="s">
        <v>32</v>
      </c>
      <c r="S460" s="6">
        <v>45072</v>
      </c>
      <c r="T460" s="5">
        <v>4</v>
      </c>
      <c r="U460" s="5">
        <v>4</v>
      </c>
      <c r="V460" s="5" t="s">
        <v>33</v>
      </c>
      <c r="W460" s="5">
        <f t="shared" si="3"/>
        <v>0</v>
      </c>
    </row>
    <row r="461" spans="1:23" ht="15.75" customHeight="1" x14ac:dyDescent="0.25">
      <c r="A461" s="5" t="s">
        <v>777</v>
      </c>
      <c r="B461" s="6">
        <v>45065</v>
      </c>
      <c r="C461" s="5" t="s">
        <v>778</v>
      </c>
      <c r="D461" s="5" t="s">
        <v>184</v>
      </c>
      <c r="E461" s="5" t="s">
        <v>37</v>
      </c>
      <c r="F461" s="5" t="s">
        <v>38</v>
      </c>
      <c r="G461" s="5" t="s">
        <v>124</v>
      </c>
      <c r="H461" s="5" t="s">
        <v>76</v>
      </c>
      <c r="I461" s="5" t="s">
        <v>125</v>
      </c>
      <c r="J461" s="5">
        <v>86071</v>
      </c>
      <c r="K461" s="7">
        <v>121441.45681063199</v>
      </c>
      <c r="L461" s="5">
        <v>2</v>
      </c>
      <c r="M461" s="5">
        <v>15</v>
      </c>
      <c r="N461" s="8">
        <f t="shared" si="0"/>
        <v>206450.47657807439</v>
      </c>
      <c r="O461" s="5">
        <f t="shared" si="1"/>
        <v>172142</v>
      </c>
      <c r="P461" s="5">
        <f t="shared" si="2"/>
        <v>34308.476578074391</v>
      </c>
      <c r="Q461" s="5" t="s">
        <v>46</v>
      </c>
      <c r="R461" s="5" t="s">
        <v>56</v>
      </c>
      <c r="T461" s="5">
        <v>9</v>
      </c>
      <c r="U461" s="5">
        <v>1</v>
      </c>
      <c r="W461" s="5">
        <f t="shared" si="3"/>
        <v>0</v>
      </c>
    </row>
    <row r="462" spans="1:23" ht="15.75" customHeight="1" x14ac:dyDescent="0.25">
      <c r="A462" s="5" t="s">
        <v>779</v>
      </c>
      <c r="B462" s="6">
        <v>45065</v>
      </c>
      <c r="C462" s="5" t="s">
        <v>241</v>
      </c>
      <c r="D462" s="5" t="s">
        <v>36</v>
      </c>
      <c r="E462" s="5" t="s">
        <v>54</v>
      </c>
      <c r="F462" s="5" t="s">
        <v>55</v>
      </c>
      <c r="G462" s="5" t="s">
        <v>43</v>
      </c>
      <c r="H462" s="5" t="s">
        <v>44</v>
      </c>
      <c r="I462" s="5" t="s">
        <v>45</v>
      </c>
      <c r="J462" s="5">
        <v>209</v>
      </c>
      <c r="K462" s="7">
        <v>229.14707558803752</v>
      </c>
      <c r="L462" s="5">
        <v>1</v>
      </c>
      <c r="M462" s="5">
        <v>20</v>
      </c>
      <c r="N462" s="8">
        <f t="shared" si="0"/>
        <v>183.31766047043004</v>
      </c>
      <c r="O462" s="5">
        <f t="shared" si="1"/>
        <v>209</v>
      </c>
      <c r="P462" s="5">
        <f t="shared" si="2"/>
        <v>-25.682339529569958</v>
      </c>
      <c r="Q462" s="5" t="s">
        <v>46</v>
      </c>
      <c r="R462" s="5" t="s">
        <v>32</v>
      </c>
      <c r="S462" s="6">
        <v>45071</v>
      </c>
      <c r="T462" s="5">
        <v>3</v>
      </c>
      <c r="U462" s="5">
        <v>3</v>
      </c>
      <c r="V462" s="5" t="s">
        <v>33</v>
      </c>
      <c r="W462" s="5">
        <f t="shared" si="3"/>
        <v>0</v>
      </c>
    </row>
    <row r="463" spans="1:23" ht="15.75" customHeight="1" x14ac:dyDescent="0.25">
      <c r="A463" s="5" t="s">
        <v>780</v>
      </c>
      <c r="B463" s="6">
        <v>45065</v>
      </c>
      <c r="C463" s="5" t="s">
        <v>389</v>
      </c>
      <c r="D463" s="5" t="s">
        <v>102</v>
      </c>
      <c r="E463" s="5" t="s">
        <v>112</v>
      </c>
      <c r="F463" s="5" t="s">
        <v>113</v>
      </c>
      <c r="G463" s="5" t="s">
        <v>92</v>
      </c>
      <c r="H463" s="5" t="s">
        <v>44</v>
      </c>
      <c r="I463" s="5" t="s">
        <v>45</v>
      </c>
      <c r="J463" s="5">
        <v>965</v>
      </c>
      <c r="K463" s="7">
        <v>1344.561226487649</v>
      </c>
      <c r="L463" s="5">
        <v>4</v>
      </c>
      <c r="M463" s="5">
        <v>15</v>
      </c>
      <c r="N463" s="8">
        <f t="shared" si="0"/>
        <v>4571.5081700580067</v>
      </c>
      <c r="O463" s="5">
        <f t="shared" si="1"/>
        <v>3860</v>
      </c>
      <c r="P463" s="5">
        <f t="shared" si="2"/>
        <v>711.50817005800673</v>
      </c>
      <c r="Q463" s="5" t="s">
        <v>46</v>
      </c>
      <c r="R463" s="5" t="s">
        <v>56</v>
      </c>
      <c r="T463" s="5">
        <v>9</v>
      </c>
      <c r="U463" s="5">
        <v>1</v>
      </c>
      <c r="W463" s="5">
        <f t="shared" si="3"/>
        <v>0</v>
      </c>
    </row>
    <row r="464" spans="1:23" ht="15.75" customHeight="1" x14ac:dyDescent="0.25">
      <c r="A464" s="5" t="s">
        <v>781</v>
      </c>
      <c r="B464" s="6">
        <v>45066</v>
      </c>
      <c r="C464" s="5" t="s">
        <v>183</v>
      </c>
      <c r="D464" s="5" t="s">
        <v>148</v>
      </c>
      <c r="E464" s="5" t="s">
        <v>69</v>
      </c>
      <c r="F464" s="5" t="s">
        <v>55</v>
      </c>
      <c r="G464" s="5" t="s">
        <v>75</v>
      </c>
      <c r="H464" s="5" t="s">
        <v>76</v>
      </c>
      <c r="I464" s="5" t="s">
        <v>77</v>
      </c>
      <c r="J464" s="5">
        <v>1463</v>
      </c>
      <c r="K464" s="7">
        <v>2557.3896380746332</v>
      </c>
      <c r="L464" s="5">
        <v>3</v>
      </c>
      <c r="M464" s="5">
        <v>20</v>
      </c>
      <c r="N464" s="8">
        <f t="shared" si="0"/>
        <v>6137.7351313791196</v>
      </c>
      <c r="O464" s="5">
        <f t="shared" si="1"/>
        <v>4389</v>
      </c>
      <c r="P464" s="5">
        <f t="shared" si="2"/>
        <v>1748.7351313791196</v>
      </c>
      <c r="Q464" s="5" t="s">
        <v>46</v>
      </c>
      <c r="R464" s="5" t="s">
        <v>32</v>
      </c>
      <c r="S464" s="6">
        <v>45077</v>
      </c>
      <c r="T464" s="5">
        <v>8</v>
      </c>
      <c r="U464" s="5">
        <v>4</v>
      </c>
      <c r="V464" s="5" t="s">
        <v>89</v>
      </c>
      <c r="W464" s="5">
        <f t="shared" si="3"/>
        <v>1</v>
      </c>
    </row>
    <row r="465" spans="1:23" ht="15.75" customHeight="1" x14ac:dyDescent="0.25">
      <c r="A465" s="5" t="s">
        <v>782</v>
      </c>
      <c r="B465" s="6">
        <v>45066</v>
      </c>
      <c r="C465" s="5" t="s">
        <v>306</v>
      </c>
      <c r="D465" s="5" t="s">
        <v>181</v>
      </c>
      <c r="E465" s="5" t="s">
        <v>60</v>
      </c>
      <c r="F465" s="5" t="s">
        <v>61</v>
      </c>
      <c r="G465" s="5" t="s">
        <v>75</v>
      </c>
      <c r="H465" s="5" t="s">
        <v>76</v>
      </c>
      <c r="I465" s="5" t="s">
        <v>77</v>
      </c>
      <c r="J465" s="5">
        <v>1004</v>
      </c>
      <c r="K465" s="7">
        <v>1214.9615168279581</v>
      </c>
      <c r="L465" s="5">
        <v>4</v>
      </c>
      <c r="M465" s="5">
        <v>5</v>
      </c>
      <c r="N465" s="8">
        <f t="shared" si="0"/>
        <v>4616.8537639462411</v>
      </c>
      <c r="O465" s="5">
        <f t="shared" si="1"/>
        <v>4016</v>
      </c>
      <c r="P465" s="5">
        <f t="shared" si="2"/>
        <v>600.85376394624109</v>
      </c>
      <c r="Q465" s="5" t="s">
        <v>46</v>
      </c>
      <c r="R465" s="5" t="s">
        <v>32</v>
      </c>
      <c r="S465" s="6">
        <v>45076</v>
      </c>
      <c r="T465" s="5">
        <v>6</v>
      </c>
      <c r="U465" s="5">
        <v>4</v>
      </c>
      <c r="V465" s="5" t="s">
        <v>89</v>
      </c>
      <c r="W465" s="5">
        <f t="shared" si="3"/>
        <v>1</v>
      </c>
    </row>
    <row r="466" spans="1:23" ht="15.75" customHeight="1" x14ac:dyDescent="0.25">
      <c r="A466" s="5" t="s">
        <v>783</v>
      </c>
      <c r="B466" s="6">
        <v>45067</v>
      </c>
      <c r="C466" s="5" t="s">
        <v>368</v>
      </c>
      <c r="D466" s="5" t="s">
        <v>25</v>
      </c>
      <c r="E466" s="5" t="s">
        <v>37</v>
      </c>
      <c r="F466" s="5" t="s">
        <v>38</v>
      </c>
      <c r="G466" s="5" t="s">
        <v>119</v>
      </c>
      <c r="H466" s="5" t="s">
        <v>76</v>
      </c>
      <c r="I466" s="5" t="s">
        <v>120</v>
      </c>
      <c r="J466" s="5">
        <v>63518</v>
      </c>
      <c r="K466" s="7">
        <v>87474.86907119368</v>
      </c>
      <c r="L466" s="5">
        <v>1</v>
      </c>
      <c r="M466" s="5">
        <v>10</v>
      </c>
      <c r="N466" s="8">
        <f t="shared" si="0"/>
        <v>78727.382164074312</v>
      </c>
      <c r="O466" s="5">
        <f t="shared" si="1"/>
        <v>63518</v>
      </c>
      <c r="P466" s="5">
        <f t="shared" si="2"/>
        <v>15209.382164074312</v>
      </c>
      <c r="Q466" s="5" t="s">
        <v>83</v>
      </c>
      <c r="R466" s="5" t="s">
        <v>32</v>
      </c>
      <c r="S466" s="6">
        <v>45073</v>
      </c>
      <c r="T466" s="5">
        <v>3</v>
      </c>
      <c r="U466" s="5">
        <v>3</v>
      </c>
      <c r="V466" s="5" t="s">
        <v>33</v>
      </c>
      <c r="W466" s="5">
        <f t="shared" si="3"/>
        <v>0</v>
      </c>
    </row>
    <row r="467" spans="1:23" ht="15.75" customHeight="1" x14ac:dyDescent="0.25">
      <c r="A467" s="5" t="s">
        <v>784</v>
      </c>
      <c r="B467" s="6">
        <v>45067</v>
      </c>
      <c r="C467" s="5" t="s">
        <v>496</v>
      </c>
      <c r="D467" s="5" t="s">
        <v>59</v>
      </c>
      <c r="E467" s="5" t="s">
        <v>60</v>
      </c>
      <c r="F467" s="5" t="s">
        <v>61</v>
      </c>
      <c r="G467" s="5" t="s">
        <v>139</v>
      </c>
      <c r="H467" s="5" t="s">
        <v>76</v>
      </c>
      <c r="I467" s="5" t="s">
        <v>140</v>
      </c>
      <c r="J467" s="5">
        <v>35929</v>
      </c>
      <c r="K467" s="7">
        <v>51546.648787048005</v>
      </c>
      <c r="L467" s="5">
        <v>1</v>
      </c>
      <c r="M467" s="5">
        <v>15</v>
      </c>
      <c r="N467" s="8">
        <f t="shared" si="0"/>
        <v>43814.6514689908</v>
      </c>
      <c r="O467" s="5">
        <f t="shared" si="1"/>
        <v>35929</v>
      </c>
      <c r="P467" s="5">
        <f t="shared" si="2"/>
        <v>7885.6514689907999</v>
      </c>
      <c r="Q467" s="5" t="s">
        <v>39</v>
      </c>
      <c r="R467" s="5" t="s">
        <v>56</v>
      </c>
      <c r="T467" s="5">
        <v>10</v>
      </c>
      <c r="U467" s="5">
        <v>1</v>
      </c>
      <c r="W467" s="5">
        <f t="shared" si="3"/>
        <v>0</v>
      </c>
    </row>
    <row r="468" spans="1:23" ht="15.75" customHeight="1" x14ac:dyDescent="0.25">
      <c r="A468" s="5" t="s">
        <v>785</v>
      </c>
      <c r="B468" s="6">
        <v>45067</v>
      </c>
      <c r="C468" s="5" t="s">
        <v>786</v>
      </c>
      <c r="D468" s="5" t="s">
        <v>59</v>
      </c>
      <c r="E468" s="5" t="s">
        <v>112</v>
      </c>
      <c r="F468" s="5" t="s">
        <v>113</v>
      </c>
      <c r="G468" s="5" t="s">
        <v>139</v>
      </c>
      <c r="H468" s="5" t="s">
        <v>76</v>
      </c>
      <c r="I468" s="5" t="s">
        <v>140</v>
      </c>
      <c r="J468" s="5">
        <v>37251</v>
      </c>
      <c r="K468" s="7">
        <v>58877.005723266469</v>
      </c>
      <c r="L468" s="5">
        <v>5</v>
      </c>
      <c r="M468" s="5">
        <v>0</v>
      </c>
      <c r="N468" s="8">
        <f t="shared" si="0"/>
        <v>294385.02861633233</v>
      </c>
      <c r="O468" s="5">
        <f t="shared" si="1"/>
        <v>186255</v>
      </c>
      <c r="P468" s="5">
        <f t="shared" si="2"/>
        <v>108130.02861633233</v>
      </c>
      <c r="Q468" s="5" t="s">
        <v>39</v>
      </c>
      <c r="R468" s="5" t="s">
        <v>32</v>
      </c>
      <c r="S468" s="6">
        <v>45073</v>
      </c>
      <c r="T468" s="5">
        <v>3</v>
      </c>
      <c r="U468" s="5">
        <v>3</v>
      </c>
      <c r="V468" s="5" t="s">
        <v>33</v>
      </c>
      <c r="W468" s="5">
        <f t="shared" si="3"/>
        <v>0</v>
      </c>
    </row>
    <row r="469" spans="1:23" ht="15.75" customHeight="1" x14ac:dyDescent="0.25">
      <c r="A469" s="5" t="s">
        <v>787</v>
      </c>
      <c r="B469" s="6">
        <v>45067</v>
      </c>
      <c r="C469" s="5" t="s">
        <v>111</v>
      </c>
      <c r="D469" s="5" t="s">
        <v>42</v>
      </c>
      <c r="E469" s="5" t="s">
        <v>112</v>
      </c>
      <c r="F469" s="5" t="s">
        <v>113</v>
      </c>
      <c r="G469" s="5" t="s">
        <v>87</v>
      </c>
      <c r="H469" s="5" t="s">
        <v>29</v>
      </c>
      <c r="I469" s="5" t="s">
        <v>88</v>
      </c>
      <c r="J469" s="5">
        <v>26425</v>
      </c>
      <c r="K469" s="7">
        <v>27458.839076223972</v>
      </c>
      <c r="L469" s="5">
        <v>4</v>
      </c>
      <c r="M469" s="5">
        <v>15</v>
      </c>
      <c r="N469" s="8">
        <f t="shared" si="0"/>
        <v>93360.0528591615</v>
      </c>
      <c r="O469" s="5">
        <f t="shared" si="1"/>
        <v>105700</v>
      </c>
      <c r="P469" s="5">
        <f t="shared" si="2"/>
        <v>-12339.9471408385</v>
      </c>
      <c r="Q469" s="5" t="s">
        <v>31</v>
      </c>
      <c r="R469" s="5" t="s">
        <v>32</v>
      </c>
      <c r="S469" s="6">
        <v>45077</v>
      </c>
      <c r="T469" s="5">
        <v>3</v>
      </c>
      <c r="U469" s="5">
        <v>4</v>
      </c>
      <c r="V469" s="5" t="s">
        <v>33</v>
      </c>
      <c r="W469" s="5">
        <f t="shared" si="3"/>
        <v>0</v>
      </c>
    </row>
    <row r="470" spans="1:23" ht="15.75" customHeight="1" x14ac:dyDescent="0.25">
      <c r="A470" s="5" t="s">
        <v>788</v>
      </c>
      <c r="B470" s="6">
        <v>45067</v>
      </c>
      <c r="C470" s="5" t="s">
        <v>789</v>
      </c>
      <c r="D470" s="5" t="s">
        <v>208</v>
      </c>
      <c r="E470" s="5" t="s">
        <v>37</v>
      </c>
      <c r="F470" s="5" t="s">
        <v>38</v>
      </c>
      <c r="G470" s="5" t="s">
        <v>92</v>
      </c>
      <c r="H470" s="5" t="s">
        <v>44</v>
      </c>
      <c r="I470" s="5" t="s">
        <v>45</v>
      </c>
      <c r="J470" s="5">
        <v>1204</v>
      </c>
      <c r="K470" s="7">
        <v>1212.3203549273826</v>
      </c>
      <c r="L470" s="5">
        <v>5</v>
      </c>
      <c r="M470" s="5">
        <v>15</v>
      </c>
      <c r="N470" s="8">
        <f t="shared" si="0"/>
        <v>5152.3615084413759</v>
      </c>
      <c r="O470" s="5">
        <f t="shared" si="1"/>
        <v>6020</v>
      </c>
      <c r="P470" s="5">
        <f t="shared" si="2"/>
        <v>-867.63849155862408</v>
      </c>
      <c r="Q470" s="5" t="s">
        <v>83</v>
      </c>
      <c r="R470" s="5" t="s">
        <v>32</v>
      </c>
      <c r="S470" s="6">
        <v>45076</v>
      </c>
      <c r="T470" s="5">
        <v>5</v>
      </c>
      <c r="U470" s="5">
        <v>2</v>
      </c>
      <c r="V470" s="5" t="s">
        <v>33</v>
      </c>
      <c r="W470" s="5">
        <f t="shared" si="3"/>
        <v>0</v>
      </c>
    </row>
    <row r="471" spans="1:23" ht="15.75" customHeight="1" x14ac:dyDescent="0.25">
      <c r="A471" s="5" t="s">
        <v>790</v>
      </c>
      <c r="B471" s="6">
        <v>45068</v>
      </c>
      <c r="C471" s="5" t="s">
        <v>118</v>
      </c>
      <c r="D471" s="5" t="s">
        <v>53</v>
      </c>
      <c r="E471" s="5" t="s">
        <v>60</v>
      </c>
      <c r="F471" s="5" t="s">
        <v>61</v>
      </c>
      <c r="G471" s="5" t="s">
        <v>87</v>
      </c>
      <c r="H471" s="5" t="s">
        <v>29</v>
      </c>
      <c r="I471" s="5" t="s">
        <v>88</v>
      </c>
      <c r="J471" s="5">
        <v>50225</v>
      </c>
      <c r="K471" s="7">
        <v>61534.635574897919</v>
      </c>
      <c r="L471" s="5">
        <v>2</v>
      </c>
      <c r="M471" s="5">
        <v>20</v>
      </c>
      <c r="N471" s="8">
        <f t="shared" si="0"/>
        <v>98455.416919836673</v>
      </c>
      <c r="O471" s="5">
        <f t="shared" si="1"/>
        <v>100450</v>
      </c>
      <c r="P471" s="5">
        <f t="shared" si="2"/>
        <v>-1994.5830801633274</v>
      </c>
      <c r="Q471" s="5" t="s">
        <v>39</v>
      </c>
      <c r="R471" s="5" t="s">
        <v>32</v>
      </c>
      <c r="S471" s="6">
        <v>45074</v>
      </c>
      <c r="T471" s="5">
        <v>3</v>
      </c>
      <c r="U471" s="5">
        <v>3</v>
      </c>
      <c r="V471" s="5" t="s">
        <v>33</v>
      </c>
      <c r="W471" s="5">
        <f t="shared" si="3"/>
        <v>0</v>
      </c>
    </row>
    <row r="472" spans="1:23" ht="15.75" customHeight="1" x14ac:dyDescent="0.25">
      <c r="A472" s="5" t="s">
        <v>791</v>
      </c>
      <c r="B472" s="6">
        <v>45068</v>
      </c>
      <c r="C472" s="5" t="s">
        <v>789</v>
      </c>
      <c r="D472" s="5" t="s">
        <v>36</v>
      </c>
      <c r="E472" s="5" t="s">
        <v>69</v>
      </c>
      <c r="F472" s="5" t="s">
        <v>55</v>
      </c>
      <c r="G472" s="5" t="s">
        <v>43</v>
      </c>
      <c r="H472" s="5" t="s">
        <v>44</v>
      </c>
      <c r="I472" s="5" t="s">
        <v>45</v>
      </c>
      <c r="J472" s="5">
        <v>569</v>
      </c>
      <c r="K472" s="7">
        <v>1016.3129678164028</v>
      </c>
      <c r="L472" s="5">
        <v>4</v>
      </c>
      <c r="M472" s="5">
        <v>5</v>
      </c>
      <c r="N472" s="8">
        <f t="shared" si="0"/>
        <v>3861.9892777023301</v>
      </c>
      <c r="O472" s="5">
        <f t="shared" si="1"/>
        <v>2276</v>
      </c>
      <c r="P472" s="5">
        <f t="shared" si="2"/>
        <v>1585.9892777023301</v>
      </c>
      <c r="Q472" s="5" t="s">
        <v>31</v>
      </c>
      <c r="R472" s="5" t="s">
        <v>32</v>
      </c>
      <c r="S472" s="6">
        <v>45078</v>
      </c>
      <c r="T472" s="5">
        <v>3</v>
      </c>
      <c r="U472" s="5">
        <v>4</v>
      </c>
      <c r="V472" s="5" t="s">
        <v>33</v>
      </c>
      <c r="W472" s="5">
        <f t="shared" si="3"/>
        <v>0</v>
      </c>
    </row>
    <row r="473" spans="1:23" ht="15.75" customHeight="1" x14ac:dyDescent="0.25">
      <c r="A473" s="5" t="s">
        <v>792</v>
      </c>
      <c r="B473" s="6">
        <v>45068</v>
      </c>
      <c r="C473" s="5" t="s">
        <v>793</v>
      </c>
      <c r="D473" s="5" t="s">
        <v>64</v>
      </c>
      <c r="E473" s="5" t="s">
        <v>54</v>
      </c>
      <c r="F473" s="5" t="s">
        <v>55</v>
      </c>
      <c r="G473" s="5" t="s">
        <v>124</v>
      </c>
      <c r="H473" s="5" t="s">
        <v>76</v>
      </c>
      <c r="I473" s="5" t="s">
        <v>125</v>
      </c>
      <c r="J473" s="5">
        <v>81787</v>
      </c>
      <c r="K473" s="7">
        <v>82923.82475678288</v>
      </c>
      <c r="L473" s="5">
        <v>1</v>
      </c>
      <c r="M473" s="5">
        <v>5</v>
      </c>
      <c r="N473" s="8">
        <f t="shared" si="0"/>
        <v>78777.633518943738</v>
      </c>
      <c r="O473" s="5">
        <f t="shared" si="1"/>
        <v>81787</v>
      </c>
      <c r="P473" s="5">
        <f t="shared" si="2"/>
        <v>-3009.3664810562623</v>
      </c>
      <c r="Q473" s="5" t="s">
        <v>46</v>
      </c>
      <c r="R473" s="5" t="s">
        <v>32</v>
      </c>
      <c r="S473" s="6">
        <v>45074</v>
      </c>
      <c r="T473" s="5">
        <v>3</v>
      </c>
      <c r="U473" s="5">
        <v>2</v>
      </c>
      <c r="V473" s="5" t="s">
        <v>33</v>
      </c>
      <c r="W473" s="5">
        <f t="shared" si="3"/>
        <v>0</v>
      </c>
    </row>
    <row r="474" spans="1:23" ht="15.75" customHeight="1" x14ac:dyDescent="0.25">
      <c r="A474" s="5" t="s">
        <v>794</v>
      </c>
      <c r="B474" s="6">
        <v>45069</v>
      </c>
      <c r="C474" s="5" t="s">
        <v>759</v>
      </c>
      <c r="D474" s="5" t="s">
        <v>53</v>
      </c>
      <c r="E474" s="5" t="s">
        <v>60</v>
      </c>
      <c r="F474" s="5" t="s">
        <v>61</v>
      </c>
      <c r="G474" s="5" t="s">
        <v>28</v>
      </c>
      <c r="H474" s="5" t="s">
        <v>29</v>
      </c>
      <c r="I474" s="5" t="s">
        <v>30</v>
      </c>
      <c r="J474" s="5">
        <v>4947</v>
      </c>
      <c r="K474" s="7">
        <v>8794.2629632118351</v>
      </c>
      <c r="L474" s="5">
        <v>4</v>
      </c>
      <c r="M474" s="5">
        <v>5</v>
      </c>
      <c r="N474" s="8">
        <f t="shared" si="0"/>
        <v>33418.199260204972</v>
      </c>
      <c r="O474" s="5">
        <f t="shared" si="1"/>
        <v>19788</v>
      </c>
      <c r="P474" s="5">
        <f t="shared" si="2"/>
        <v>13630.199260204972</v>
      </c>
      <c r="Q474" s="5" t="s">
        <v>46</v>
      </c>
      <c r="R474" s="5" t="s">
        <v>32</v>
      </c>
      <c r="S474" s="6">
        <v>45080</v>
      </c>
      <c r="T474" s="5">
        <v>4</v>
      </c>
      <c r="U474" s="5">
        <v>3</v>
      </c>
      <c r="V474" s="5" t="s">
        <v>33</v>
      </c>
      <c r="W474" s="5">
        <f t="shared" si="3"/>
        <v>0</v>
      </c>
    </row>
    <row r="475" spans="1:23" ht="15.75" customHeight="1" x14ac:dyDescent="0.25">
      <c r="A475" s="5" t="s">
        <v>795</v>
      </c>
      <c r="B475" s="6">
        <v>45069</v>
      </c>
      <c r="C475" s="5" t="s">
        <v>796</v>
      </c>
      <c r="D475" s="5" t="s">
        <v>146</v>
      </c>
      <c r="E475" s="5" t="s">
        <v>54</v>
      </c>
      <c r="F475" s="5" t="s">
        <v>55</v>
      </c>
      <c r="G475" s="5" t="s">
        <v>28</v>
      </c>
      <c r="H475" s="5" t="s">
        <v>29</v>
      </c>
      <c r="I475" s="5" t="s">
        <v>30</v>
      </c>
      <c r="J475" s="5">
        <v>3427</v>
      </c>
      <c r="K475" s="7">
        <v>4228.1233945117965</v>
      </c>
      <c r="L475" s="5">
        <v>3</v>
      </c>
      <c r="M475" s="5">
        <v>20</v>
      </c>
      <c r="N475" s="8">
        <f t="shared" si="0"/>
        <v>10147.496146828313</v>
      </c>
      <c r="O475" s="5">
        <f t="shared" si="1"/>
        <v>10281</v>
      </c>
      <c r="P475" s="5">
        <f t="shared" si="2"/>
        <v>-133.5038531716873</v>
      </c>
      <c r="Q475" s="5" t="s">
        <v>39</v>
      </c>
      <c r="R475" s="5" t="s">
        <v>32</v>
      </c>
      <c r="S475" s="6">
        <v>45081</v>
      </c>
      <c r="T475" s="5">
        <v>5</v>
      </c>
      <c r="U475" s="5">
        <v>3</v>
      </c>
      <c r="V475" s="5" t="s">
        <v>33</v>
      </c>
      <c r="W475" s="5">
        <f t="shared" si="3"/>
        <v>0</v>
      </c>
    </row>
    <row r="476" spans="1:23" ht="15.75" customHeight="1" x14ac:dyDescent="0.25">
      <c r="A476" s="5" t="s">
        <v>797</v>
      </c>
      <c r="B476" s="6">
        <v>45069</v>
      </c>
      <c r="C476" s="5" t="s">
        <v>385</v>
      </c>
      <c r="D476" s="5" t="s">
        <v>138</v>
      </c>
      <c r="E476" s="5" t="s">
        <v>49</v>
      </c>
      <c r="F476" s="5" t="s">
        <v>50</v>
      </c>
      <c r="G476" s="5" t="s">
        <v>43</v>
      </c>
      <c r="H476" s="5" t="s">
        <v>44</v>
      </c>
      <c r="I476" s="5" t="s">
        <v>45</v>
      </c>
      <c r="J476" s="5">
        <v>346</v>
      </c>
      <c r="K476" s="7">
        <v>498.77998113919404</v>
      </c>
      <c r="L476" s="5">
        <v>5</v>
      </c>
      <c r="M476" s="5">
        <v>10</v>
      </c>
      <c r="N476" s="8">
        <f t="shared" si="0"/>
        <v>2244.509915126373</v>
      </c>
      <c r="O476" s="5">
        <f t="shared" si="1"/>
        <v>1730</v>
      </c>
      <c r="P476" s="5">
        <f t="shared" si="2"/>
        <v>514.50991512637302</v>
      </c>
      <c r="Q476" s="5" t="s">
        <v>46</v>
      </c>
      <c r="R476" s="5" t="s">
        <v>32</v>
      </c>
      <c r="S476" s="6">
        <v>45075</v>
      </c>
      <c r="T476" s="5">
        <v>3</v>
      </c>
      <c r="U476" s="5">
        <v>2</v>
      </c>
      <c r="V476" s="5" t="s">
        <v>33</v>
      </c>
      <c r="W476" s="5">
        <f t="shared" si="3"/>
        <v>0</v>
      </c>
    </row>
    <row r="477" spans="1:23" ht="15.75" customHeight="1" x14ac:dyDescent="0.25">
      <c r="A477" s="5" t="s">
        <v>798</v>
      </c>
      <c r="B477" s="6">
        <v>45069</v>
      </c>
      <c r="C477" s="5" t="s">
        <v>301</v>
      </c>
      <c r="D477" s="5" t="s">
        <v>102</v>
      </c>
      <c r="E477" s="5" t="s">
        <v>69</v>
      </c>
      <c r="F477" s="5" t="s">
        <v>55</v>
      </c>
      <c r="G477" s="5" t="s">
        <v>97</v>
      </c>
      <c r="H477" s="5" t="s">
        <v>98</v>
      </c>
      <c r="I477" s="5" t="s">
        <v>99</v>
      </c>
      <c r="J477" s="5">
        <v>448</v>
      </c>
      <c r="K477" s="7">
        <v>631.33078273405465</v>
      </c>
      <c r="L477" s="5">
        <v>2</v>
      </c>
      <c r="M477" s="5">
        <v>20</v>
      </c>
      <c r="N477" s="8">
        <f t="shared" si="0"/>
        <v>1010.1292523744875</v>
      </c>
      <c r="O477" s="5">
        <f t="shared" si="1"/>
        <v>896</v>
      </c>
      <c r="P477" s="5">
        <f t="shared" si="2"/>
        <v>114.12925237448746</v>
      </c>
      <c r="Q477" s="5" t="s">
        <v>39</v>
      </c>
      <c r="R477" s="5" t="s">
        <v>56</v>
      </c>
      <c r="T477" s="5">
        <v>10</v>
      </c>
      <c r="U477" s="5">
        <v>1</v>
      </c>
      <c r="W477" s="5">
        <f t="shared" si="3"/>
        <v>0</v>
      </c>
    </row>
    <row r="478" spans="1:23" ht="15.75" customHeight="1" x14ac:dyDescent="0.25">
      <c r="A478" s="5" t="s">
        <v>799</v>
      </c>
      <c r="B478" s="6">
        <v>45070</v>
      </c>
      <c r="C478" s="5" t="s">
        <v>485</v>
      </c>
      <c r="D478" s="5" t="s">
        <v>138</v>
      </c>
      <c r="E478" s="5" t="s">
        <v>26</v>
      </c>
      <c r="F478" s="5" t="s">
        <v>27</v>
      </c>
      <c r="G478" s="5" t="s">
        <v>43</v>
      </c>
      <c r="H478" s="5" t="s">
        <v>44</v>
      </c>
      <c r="I478" s="5" t="s">
        <v>45</v>
      </c>
      <c r="J478" s="5">
        <v>335</v>
      </c>
      <c r="K478" s="7">
        <v>393.80300255592431</v>
      </c>
      <c r="L478" s="5">
        <v>1</v>
      </c>
      <c r="M478" s="5">
        <v>5</v>
      </c>
      <c r="N478" s="8">
        <f t="shared" si="0"/>
        <v>374.11285242812806</v>
      </c>
      <c r="O478" s="5">
        <f t="shared" si="1"/>
        <v>335</v>
      </c>
      <c r="P478" s="5">
        <f t="shared" si="2"/>
        <v>39.112852428128065</v>
      </c>
      <c r="Q478" s="5" t="s">
        <v>39</v>
      </c>
      <c r="R478" s="5" t="s">
        <v>32</v>
      </c>
      <c r="S478" s="6">
        <v>45076</v>
      </c>
      <c r="T478" s="5">
        <v>1</v>
      </c>
      <c r="U478" s="5">
        <v>5</v>
      </c>
      <c r="V478" s="5" t="s">
        <v>33</v>
      </c>
      <c r="W478" s="5">
        <f t="shared" si="3"/>
        <v>0</v>
      </c>
    </row>
    <row r="479" spans="1:23" ht="15.75" customHeight="1" x14ac:dyDescent="0.25">
      <c r="A479" s="5" t="s">
        <v>800</v>
      </c>
      <c r="B479" s="6">
        <v>45070</v>
      </c>
      <c r="C479" s="5" t="s">
        <v>609</v>
      </c>
      <c r="D479" s="5" t="s">
        <v>102</v>
      </c>
      <c r="E479" s="5" t="s">
        <v>54</v>
      </c>
      <c r="F479" s="5" t="s">
        <v>55</v>
      </c>
      <c r="G479" s="5" t="s">
        <v>106</v>
      </c>
      <c r="H479" s="5" t="s">
        <v>98</v>
      </c>
      <c r="I479" s="5" t="s">
        <v>107</v>
      </c>
      <c r="J479" s="5">
        <v>892</v>
      </c>
      <c r="K479" s="7">
        <v>892.01938227062169</v>
      </c>
      <c r="L479" s="5">
        <v>3</v>
      </c>
      <c r="M479" s="5">
        <v>0</v>
      </c>
      <c r="N479" s="8">
        <f t="shared" si="0"/>
        <v>2676.0581468118653</v>
      </c>
      <c r="O479" s="5">
        <f t="shared" si="1"/>
        <v>2676</v>
      </c>
      <c r="P479" s="5">
        <f t="shared" si="2"/>
        <v>5.8146811865299242E-2</v>
      </c>
      <c r="Q479" s="5" t="s">
        <v>83</v>
      </c>
      <c r="R479" s="5" t="s">
        <v>32</v>
      </c>
      <c r="S479" s="6">
        <v>45079</v>
      </c>
      <c r="T479" s="5">
        <v>2</v>
      </c>
      <c r="U479" s="5">
        <v>5</v>
      </c>
      <c r="V479" s="5" t="s">
        <v>33</v>
      </c>
      <c r="W479" s="5">
        <f t="shared" si="3"/>
        <v>0</v>
      </c>
    </row>
    <row r="480" spans="1:23" ht="15.75" customHeight="1" x14ac:dyDescent="0.25">
      <c r="A480" s="5" t="s">
        <v>801</v>
      </c>
      <c r="B480" s="6">
        <v>45071</v>
      </c>
      <c r="C480" s="5" t="s">
        <v>350</v>
      </c>
      <c r="D480" s="5" t="s">
        <v>64</v>
      </c>
      <c r="E480" s="5" t="s">
        <v>60</v>
      </c>
      <c r="F480" s="5" t="s">
        <v>61</v>
      </c>
      <c r="G480" s="5" t="s">
        <v>28</v>
      </c>
      <c r="H480" s="5" t="s">
        <v>29</v>
      </c>
      <c r="I480" s="5" t="s">
        <v>30</v>
      </c>
      <c r="J480" s="5">
        <v>4153</v>
      </c>
      <c r="K480" s="7">
        <v>7296.0816400456933</v>
      </c>
      <c r="L480" s="5">
        <v>5</v>
      </c>
      <c r="M480" s="5">
        <v>0</v>
      </c>
      <c r="N480" s="8">
        <f t="shared" si="0"/>
        <v>36480.40820022847</v>
      </c>
      <c r="O480" s="5">
        <f t="shared" si="1"/>
        <v>20765</v>
      </c>
      <c r="P480" s="5">
        <f t="shared" si="2"/>
        <v>15715.40820022847</v>
      </c>
      <c r="Q480" s="5" t="s">
        <v>83</v>
      </c>
      <c r="R480" s="5" t="s">
        <v>32</v>
      </c>
      <c r="S480" s="6">
        <v>45082</v>
      </c>
      <c r="T480" s="5">
        <v>6</v>
      </c>
      <c r="U480" s="5">
        <v>4</v>
      </c>
      <c r="V480" s="5" t="s">
        <v>89</v>
      </c>
      <c r="W480" s="5">
        <f t="shared" si="3"/>
        <v>1</v>
      </c>
    </row>
    <row r="481" spans="1:23" ht="15.75" customHeight="1" x14ac:dyDescent="0.25">
      <c r="A481" s="5" t="s">
        <v>802</v>
      </c>
      <c r="B481" s="6">
        <v>45072</v>
      </c>
      <c r="C481" s="5" t="s">
        <v>803</v>
      </c>
      <c r="D481" s="5" t="s">
        <v>135</v>
      </c>
      <c r="E481" s="5" t="s">
        <v>69</v>
      </c>
      <c r="F481" s="5" t="s">
        <v>55</v>
      </c>
      <c r="G481" s="5" t="s">
        <v>97</v>
      </c>
      <c r="H481" s="5" t="s">
        <v>98</v>
      </c>
      <c r="I481" s="5" t="s">
        <v>99</v>
      </c>
      <c r="J481" s="5">
        <v>220</v>
      </c>
      <c r="K481" s="7">
        <v>316.72310445914184</v>
      </c>
      <c r="L481" s="5">
        <v>2</v>
      </c>
      <c r="M481" s="5">
        <v>5</v>
      </c>
      <c r="N481" s="8">
        <f t="shared" si="0"/>
        <v>601.77389847236941</v>
      </c>
      <c r="O481" s="5">
        <f t="shared" si="1"/>
        <v>440</v>
      </c>
      <c r="P481" s="5">
        <f t="shared" si="2"/>
        <v>161.77389847236941</v>
      </c>
      <c r="Q481" s="5" t="s">
        <v>46</v>
      </c>
      <c r="R481" s="5" t="s">
        <v>32</v>
      </c>
      <c r="S481" s="6">
        <v>45084</v>
      </c>
      <c r="T481" s="5">
        <v>8</v>
      </c>
      <c r="U481" s="5">
        <v>3</v>
      </c>
      <c r="V481" s="5" t="s">
        <v>33</v>
      </c>
      <c r="W481" s="5">
        <f t="shared" si="3"/>
        <v>0</v>
      </c>
    </row>
    <row r="482" spans="1:23" ht="15.75" customHeight="1" x14ac:dyDescent="0.25">
      <c r="A482" s="5" t="s">
        <v>804</v>
      </c>
      <c r="B482" s="6">
        <v>45072</v>
      </c>
      <c r="C482" s="5" t="s">
        <v>532</v>
      </c>
      <c r="D482" s="5" t="s">
        <v>184</v>
      </c>
      <c r="E482" s="5" t="s">
        <v>54</v>
      </c>
      <c r="F482" s="5" t="s">
        <v>55</v>
      </c>
      <c r="G482" s="5" t="s">
        <v>28</v>
      </c>
      <c r="H482" s="5" t="s">
        <v>29</v>
      </c>
      <c r="I482" s="5" t="s">
        <v>30</v>
      </c>
      <c r="J482" s="5">
        <v>3388</v>
      </c>
      <c r="K482" s="7">
        <v>3449.0643073767919</v>
      </c>
      <c r="L482" s="5">
        <v>1</v>
      </c>
      <c r="M482" s="5">
        <v>10</v>
      </c>
      <c r="N482" s="8">
        <f t="shared" si="0"/>
        <v>3104.1578766391126</v>
      </c>
      <c r="O482" s="5">
        <f t="shared" si="1"/>
        <v>3388</v>
      </c>
      <c r="P482" s="5">
        <f t="shared" si="2"/>
        <v>-283.8421233608874</v>
      </c>
      <c r="Q482" s="5" t="s">
        <v>39</v>
      </c>
      <c r="R482" s="5" t="s">
        <v>56</v>
      </c>
      <c r="T482" s="5">
        <v>8</v>
      </c>
      <c r="U482" s="5">
        <v>4</v>
      </c>
      <c r="W482" s="5">
        <f t="shared" si="3"/>
        <v>0</v>
      </c>
    </row>
    <row r="483" spans="1:23" ht="15.75" customHeight="1" x14ac:dyDescent="0.25">
      <c r="A483" s="5" t="s">
        <v>805</v>
      </c>
      <c r="B483" s="6">
        <v>45072</v>
      </c>
      <c r="C483" s="5" t="s">
        <v>261</v>
      </c>
      <c r="D483" s="5" t="s">
        <v>36</v>
      </c>
      <c r="E483" s="5" t="s">
        <v>37</v>
      </c>
      <c r="F483" s="5" t="s">
        <v>38</v>
      </c>
      <c r="G483" s="5" t="s">
        <v>75</v>
      </c>
      <c r="H483" s="5" t="s">
        <v>76</v>
      </c>
      <c r="I483" s="5" t="s">
        <v>77</v>
      </c>
      <c r="J483" s="5">
        <v>898</v>
      </c>
      <c r="K483" s="7">
        <v>937.15659110621073</v>
      </c>
      <c r="L483" s="5">
        <v>5</v>
      </c>
      <c r="M483" s="5">
        <v>0</v>
      </c>
      <c r="N483" s="8">
        <f t="shared" si="0"/>
        <v>4685.7829555310536</v>
      </c>
      <c r="O483" s="5">
        <f t="shared" si="1"/>
        <v>4490</v>
      </c>
      <c r="P483" s="5">
        <f t="shared" si="2"/>
        <v>195.78295553105363</v>
      </c>
      <c r="Q483" s="5" t="s">
        <v>39</v>
      </c>
      <c r="R483" s="5" t="s">
        <v>32</v>
      </c>
      <c r="S483" s="6">
        <v>45084</v>
      </c>
      <c r="T483" s="5">
        <v>5</v>
      </c>
      <c r="U483" s="5">
        <v>3</v>
      </c>
      <c r="V483" s="5" t="s">
        <v>33</v>
      </c>
      <c r="W483" s="5">
        <f t="shared" si="3"/>
        <v>0</v>
      </c>
    </row>
    <row r="484" spans="1:23" ht="15.75" customHeight="1" x14ac:dyDescent="0.25">
      <c r="A484" s="5" t="s">
        <v>806</v>
      </c>
      <c r="B484" s="6">
        <v>45073</v>
      </c>
      <c r="C484" s="5" t="s">
        <v>115</v>
      </c>
      <c r="D484" s="5" t="s">
        <v>64</v>
      </c>
      <c r="E484" s="5" t="s">
        <v>80</v>
      </c>
      <c r="F484" s="5" t="s">
        <v>80</v>
      </c>
      <c r="G484" s="5" t="s">
        <v>28</v>
      </c>
      <c r="H484" s="5" t="s">
        <v>29</v>
      </c>
      <c r="I484" s="5" t="s">
        <v>30</v>
      </c>
      <c r="J484" s="5">
        <v>4273</v>
      </c>
      <c r="K484" s="7">
        <v>7412.8585850356849</v>
      </c>
      <c r="L484" s="5">
        <v>2</v>
      </c>
      <c r="M484" s="5">
        <v>0</v>
      </c>
      <c r="N484" s="8">
        <f t="shared" si="0"/>
        <v>14825.71717007137</v>
      </c>
      <c r="O484" s="5">
        <f t="shared" si="1"/>
        <v>8546</v>
      </c>
      <c r="P484" s="5">
        <f t="shared" si="2"/>
        <v>6279.7171700713698</v>
      </c>
      <c r="Q484" s="5" t="s">
        <v>31</v>
      </c>
      <c r="R484" s="5" t="s">
        <v>56</v>
      </c>
      <c r="T484" s="5">
        <v>10</v>
      </c>
      <c r="U484" s="5">
        <v>1</v>
      </c>
      <c r="W484" s="5">
        <f t="shared" si="3"/>
        <v>0</v>
      </c>
    </row>
    <row r="485" spans="1:23" ht="15.75" customHeight="1" x14ac:dyDescent="0.25">
      <c r="A485" s="5" t="s">
        <v>807</v>
      </c>
      <c r="B485" s="6">
        <v>45073</v>
      </c>
      <c r="C485" s="5" t="s">
        <v>808</v>
      </c>
      <c r="D485" s="5" t="s">
        <v>135</v>
      </c>
      <c r="E485" s="5" t="s">
        <v>80</v>
      </c>
      <c r="F485" s="5" t="s">
        <v>80</v>
      </c>
      <c r="G485" s="5" t="s">
        <v>43</v>
      </c>
      <c r="H485" s="5" t="s">
        <v>44</v>
      </c>
      <c r="I485" s="5" t="s">
        <v>45</v>
      </c>
      <c r="J485" s="5">
        <v>257</v>
      </c>
      <c r="K485" s="7">
        <v>281.31793411845473</v>
      </c>
      <c r="L485" s="5">
        <v>1</v>
      </c>
      <c r="M485" s="5">
        <v>0</v>
      </c>
      <c r="N485" s="8">
        <f t="shared" si="0"/>
        <v>281.31793411845473</v>
      </c>
      <c r="O485" s="5">
        <f t="shared" si="1"/>
        <v>257</v>
      </c>
      <c r="P485" s="5">
        <f t="shared" si="2"/>
        <v>24.31793411845473</v>
      </c>
      <c r="Q485" s="5" t="s">
        <v>39</v>
      </c>
      <c r="R485" s="5" t="s">
        <v>32</v>
      </c>
      <c r="S485" s="6">
        <v>45081</v>
      </c>
      <c r="T485" s="5">
        <v>1</v>
      </c>
      <c r="U485" s="5">
        <v>4</v>
      </c>
      <c r="V485" s="5" t="s">
        <v>33</v>
      </c>
      <c r="W485" s="5">
        <f t="shared" si="3"/>
        <v>0</v>
      </c>
    </row>
    <row r="486" spans="1:23" ht="15.75" customHeight="1" x14ac:dyDescent="0.25">
      <c r="A486" s="5" t="s">
        <v>809</v>
      </c>
      <c r="B486" s="6">
        <v>45073</v>
      </c>
      <c r="C486" s="5" t="s">
        <v>130</v>
      </c>
      <c r="D486" s="5" t="s">
        <v>135</v>
      </c>
      <c r="E486" s="5" t="s">
        <v>54</v>
      </c>
      <c r="F486" s="5" t="s">
        <v>55</v>
      </c>
      <c r="G486" s="5" t="s">
        <v>75</v>
      </c>
      <c r="H486" s="5" t="s">
        <v>76</v>
      </c>
      <c r="I486" s="5" t="s">
        <v>77</v>
      </c>
      <c r="J486" s="5">
        <v>1745</v>
      </c>
      <c r="K486" s="7">
        <v>2922.4143401303131</v>
      </c>
      <c r="L486" s="5">
        <v>4</v>
      </c>
      <c r="M486" s="5">
        <v>0</v>
      </c>
      <c r="N486" s="8">
        <f t="shared" si="0"/>
        <v>11689.657360521252</v>
      </c>
      <c r="O486" s="5">
        <f t="shared" si="1"/>
        <v>6980</v>
      </c>
      <c r="P486" s="5">
        <f t="shared" si="2"/>
        <v>4709.6573605212525</v>
      </c>
      <c r="Q486" s="5" t="s">
        <v>46</v>
      </c>
      <c r="R486" s="5" t="s">
        <v>32</v>
      </c>
      <c r="S486" s="6">
        <v>45080</v>
      </c>
      <c r="T486" s="5">
        <v>2</v>
      </c>
      <c r="U486" s="5">
        <v>4</v>
      </c>
      <c r="V486" s="5" t="s">
        <v>33</v>
      </c>
      <c r="W486" s="5">
        <f t="shared" si="3"/>
        <v>0</v>
      </c>
    </row>
    <row r="487" spans="1:23" ht="15.75" customHeight="1" x14ac:dyDescent="0.25">
      <c r="A487" s="5" t="s">
        <v>810</v>
      </c>
      <c r="B487" s="6">
        <v>45073</v>
      </c>
      <c r="C487" s="5" t="s">
        <v>811</v>
      </c>
      <c r="D487" s="5" t="s">
        <v>74</v>
      </c>
      <c r="E487" s="5" t="s">
        <v>49</v>
      </c>
      <c r="F487" s="5" t="s">
        <v>50</v>
      </c>
      <c r="G487" s="5" t="s">
        <v>43</v>
      </c>
      <c r="H487" s="5" t="s">
        <v>44</v>
      </c>
      <c r="I487" s="5" t="s">
        <v>45</v>
      </c>
      <c r="J487" s="5">
        <v>316</v>
      </c>
      <c r="K487" s="7">
        <v>335.59920792982246</v>
      </c>
      <c r="L487" s="5">
        <v>1</v>
      </c>
      <c r="M487" s="5">
        <v>5</v>
      </c>
      <c r="N487" s="8">
        <f t="shared" si="0"/>
        <v>318.81924753333129</v>
      </c>
      <c r="O487" s="5">
        <f t="shared" si="1"/>
        <v>316</v>
      </c>
      <c r="P487" s="5">
        <f t="shared" si="2"/>
        <v>2.8192475333312927</v>
      </c>
      <c r="Q487" s="5" t="s">
        <v>83</v>
      </c>
      <c r="R487" s="5" t="s">
        <v>32</v>
      </c>
      <c r="S487" s="6">
        <v>45083</v>
      </c>
      <c r="T487" s="5">
        <v>7</v>
      </c>
      <c r="U487" s="5">
        <v>3</v>
      </c>
      <c r="V487" s="5" t="s">
        <v>33</v>
      </c>
      <c r="W487" s="5">
        <f t="shared" si="3"/>
        <v>0</v>
      </c>
    </row>
    <row r="488" spans="1:23" ht="15.75" customHeight="1" x14ac:dyDescent="0.25">
      <c r="A488" s="5" t="s">
        <v>812</v>
      </c>
      <c r="B488" s="6">
        <v>45073</v>
      </c>
      <c r="C488" s="5" t="s">
        <v>813</v>
      </c>
      <c r="D488" s="5" t="s">
        <v>135</v>
      </c>
      <c r="E488" s="5" t="s">
        <v>54</v>
      </c>
      <c r="F488" s="5" t="s">
        <v>55</v>
      </c>
      <c r="G488" s="5" t="s">
        <v>97</v>
      </c>
      <c r="H488" s="5" t="s">
        <v>98</v>
      </c>
      <c r="I488" s="5" t="s">
        <v>99</v>
      </c>
      <c r="J488" s="5">
        <v>580</v>
      </c>
      <c r="K488" s="7">
        <v>774.3142652785474</v>
      </c>
      <c r="L488" s="5">
        <v>3</v>
      </c>
      <c r="M488" s="5">
        <v>15</v>
      </c>
      <c r="N488" s="8">
        <f t="shared" si="0"/>
        <v>1974.5013764602959</v>
      </c>
      <c r="O488" s="5">
        <f t="shared" si="1"/>
        <v>1740</v>
      </c>
      <c r="P488" s="5">
        <f t="shared" si="2"/>
        <v>234.50137646029589</v>
      </c>
      <c r="Q488" s="5" t="s">
        <v>39</v>
      </c>
      <c r="R488" s="5" t="s">
        <v>32</v>
      </c>
      <c r="S488" s="6">
        <v>45080</v>
      </c>
      <c r="T488" s="5">
        <v>4</v>
      </c>
      <c r="U488" s="5">
        <v>2</v>
      </c>
      <c r="V488" s="5" t="s">
        <v>33</v>
      </c>
      <c r="W488" s="5">
        <f t="shared" si="3"/>
        <v>0</v>
      </c>
    </row>
    <row r="489" spans="1:23" ht="15.75" customHeight="1" x14ac:dyDescent="0.25">
      <c r="A489" s="5" t="s">
        <v>814</v>
      </c>
      <c r="B489" s="6">
        <v>45074</v>
      </c>
      <c r="C489" s="5" t="s">
        <v>815</v>
      </c>
      <c r="D489" s="5" t="s">
        <v>64</v>
      </c>
      <c r="E489" s="5" t="s">
        <v>54</v>
      </c>
      <c r="F489" s="5" t="s">
        <v>55</v>
      </c>
      <c r="G489" s="5" t="s">
        <v>92</v>
      </c>
      <c r="H489" s="5" t="s">
        <v>44</v>
      </c>
      <c r="I489" s="5" t="s">
        <v>45</v>
      </c>
      <c r="J489" s="5">
        <v>1220</v>
      </c>
      <c r="K489" s="7">
        <v>1695.7279452757653</v>
      </c>
      <c r="L489" s="5">
        <v>4</v>
      </c>
      <c r="M489" s="5">
        <v>20</v>
      </c>
      <c r="N489" s="8">
        <f t="shared" si="0"/>
        <v>5426.3294248824495</v>
      </c>
      <c r="O489" s="5">
        <f t="shared" si="1"/>
        <v>4880</v>
      </c>
      <c r="P489" s="5">
        <f t="shared" si="2"/>
        <v>546.32942488244953</v>
      </c>
      <c r="Q489" s="5" t="s">
        <v>39</v>
      </c>
      <c r="R489" s="5" t="s">
        <v>32</v>
      </c>
      <c r="S489" s="6">
        <v>45083</v>
      </c>
      <c r="T489" s="5">
        <v>2</v>
      </c>
      <c r="U489" s="5">
        <v>5</v>
      </c>
      <c r="V489" s="5" t="s">
        <v>33</v>
      </c>
      <c r="W489" s="5">
        <f t="shared" si="3"/>
        <v>0</v>
      </c>
    </row>
    <row r="490" spans="1:23" ht="15.75" customHeight="1" x14ac:dyDescent="0.25">
      <c r="A490" s="5" t="s">
        <v>816</v>
      </c>
      <c r="B490" s="6">
        <v>45074</v>
      </c>
      <c r="C490" s="5" t="s">
        <v>793</v>
      </c>
      <c r="D490" s="5" t="s">
        <v>105</v>
      </c>
      <c r="E490" s="5" t="s">
        <v>26</v>
      </c>
      <c r="F490" s="5" t="s">
        <v>27</v>
      </c>
      <c r="G490" s="5" t="s">
        <v>92</v>
      </c>
      <c r="H490" s="5" t="s">
        <v>44</v>
      </c>
      <c r="I490" s="5" t="s">
        <v>45</v>
      </c>
      <c r="J490" s="5">
        <v>1143</v>
      </c>
      <c r="K490" s="7">
        <v>1917.1480943305685</v>
      </c>
      <c r="L490" s="5">
        <v>4</v>
      </c>
      <c r="M490" s="5">
        <v>5</v>
      </c>
      <c r="N490" s="8">
        <f t="shared" si="0"/>
        <v>7285.1627584561602</v>
      </c>
      <c r="O490" s="5">
        <f t="shared" si="1"/>
        <v>4572</v>
      </c>
      <c r="P490" s="5">
        <f t="shared" si="2"/>
        <v>2713.1627584561602</v>
      </c>
      <c r="Q490" s="5" t="s">
        <v>39</v>
      </c>
      <c r="R490" s="5" t="s">
        <v>56</v>
      </c>
      <c r="T490" s="5">
        <v>7</v>
      </c>
      <c r="U490" s="5">
        <v>4</v>
      </c>
      <c r="W490" s="5">
        <f t="shared" si="3"/>
        <v>0</v>
      </c>
    </row>
    <row r="491" spans="1:23" ht="15.75" customHeight="1" x14ac:dyDescent="0.25">
      <c r="A491" s="5" t="s">
        <v>817</v>
      </c>
      <c r="B491" s="6">
        <v>45074</v>
      </c>
      <c r="C491" s="5" t="s">
        <v>341</v>
      </c>
      <c r="D491" s="5" t="s">
        <v>135</v>
      </c>
      <c r="E491" s="5" t="s">
        <v>69</v>
      </c>
      <c r="F491" s="5" t="s">
        <v>55</v>
      </c>
      <c r="G491" s="5" t="s">
        <v>106</v>
      </c>
      <c r="H491" s="5" t="s">
        <v>98</v>
      </c>
      <c r="I491" s="5" t="s">
        <v>107</v>
      </c>
      <c r="J491" s="5">
        <v>567</v>
      </c>
      <c r="K491" s="7">
        <v>578.35159577602758</v>
      </c>
      <c r="L491" s="5">
        <v>2</v>
      </c>
      <c r="M491" s="5">
        <v>10</v>
      </c>
      <c r="N491" s="8">
        <f t="shared" si="0"/>
        <v>1041.0328723968496</v>
      </c>
      <c r="O491" s="5">
        <f t="shared" si="1"/>
        <v>1134</v>
      </c>
      <c r="P491" s="5">
        <f t="shared" si="2"/>
        <v>-92.967127603150402</v>
      </c>
      <c r="Q491" s="5" t="s">
        <v>83</v>
      </c>
      <c r="R491" s="5" t="s">
        <v>56</v>
      </c>
      <c r="T491" s="5">
        <v>7</v>
      </c>
      <c r="U491" s="5">
        <v>3</v>
      </c>
      <c r="W491" s="5">
        <f t="shared" si="3"/>
        <v>0</v>
      </c>
    </row>
    <row r="492" spans="1:23" ht="15.75" customHeight="1" x14ac:dyDescent="0.25">
      <c r="A492" s="5" t="s">
        <v>818</v>
      </c>
      <c r="B492" s="6">
        <v>45074</v>
      </c>
      <c r="C492" s="5" t="s">
        <v>490</v>
      </c>
      <c r="D492" s="5" t="s">
        <v>59</v>
      </c>
      <c r="E492" s="5" t="s">
        <v>60</v>
      </c>
      <c r="F492" s="5" t="s">
        <v>61</v>
      </c>
      <c r="G492" s="5" t="s">
        <v>92</v>
      </c>
      <c r="H492" s="5" t="s">
        <v>44</v>
      </c>
      <c r="I492" s="5" t="s">
        <v>45</v>
      </c>
      <c r="J492" s="5">
        <v>901</v>
      </c>
      <c r="K492" s="7">
        <v>1130.8001497429004</v>
      </c>
      <c r="L492" s="5">
        <v>1</v>
      </c>
      <c r="M492" s="5">
        <v>15</v>
      </c>
      <c r="N492" s="8">
        <f t="shared" si="0"/>
        <v>961.18012728146539</v>
      </c>
      <c r="O492" s="5">
        <f t="shared" si="1"/>
        <v>901</v>
      </c>
      <c r="P492" s="5">
        <f t="shared" si="2"/>
        <v>60.180127281465388</v>
      </c>
      <c r="Q492" s="5" t="s">
        <v>31</v>
      </c>
      <c r="R492" s="5" t="s">
        <v>32</v>
      </c>
      <c r="S492" s="6">
        <v>45079</v>
      </c>
      <c r="T492" s="5">
        <v>1</v>
      </c>
      <c r="U492" s="5">
        <v>5</v>
      </c>
      <c r="V492" s="5" t="s">
        <v>33</v>
      </c>
      <c r="W492" s="5">
        <f t="shared" si="3"/>
        <v>0</v>
      </c>
    </row>
    <row r="493" spans="1:23" ht="15.75" customHeight="1" x14ac:dyDescent="0.25">
      <c r="A493" s="5" t="s">
        <v>819</v>
      </c>
      <c r="B493" s="6">
        <v>45074</v>
      </c>
      <c r="C493" s="5" t="s">
        <v>547</v>
      </c>
      <c r="D493" s="5" t="s">
        <v>146</v>
      </c>
      <c r="E493" s="5" t="s">
        <v>60</v>
      </c>
      <c r="F493" s="5" t="s">
        <v>61</v>
      </c>
      <c r="G493" s="5" t="s">
        <v>106</v>
      </c>
      <c r="H493" s="5" t="s">
        <v>98</v>
      </c>
      <c r="I493" s="5" t="s">
        <v>107</v>
      </c>
      <c r="J493" s="5">
        <v>839</v>
      </c>
      <c r="K493" s="7">
        <v>1205.0810281619517</v>
      </c>
      <c r="L493" s="5">
        <v>1</v>
      </c>
      <c r="M493" s="5">
        <v>10</v>
      </c>
      <c r="N493" s="8">
        <f t="shared" si="0"/>
        <v>1084.5729253457566</v>
      </c>
      <c r="O493" s="5">
        <f t="shared" si="1"/>
        <v>839</v>
      </c>
      <c r="P493" s="5">
        <f t="shared" si="2"/>
        <v>245.57292534575663</v>
      </c>
      <c r="Q493" s="5" t="s">
        <v>83</v>
      </c>
      <c r="R493" s="5" t="s">
        <v>32</v>
      </c>
      <c r="S493" s="6">
        <v>45082</v>
      </c>
      <c r="T493" s="5">
        <v>4</v>
      </c>
      <c r="U493" s="5">
        <v>4</v>
      </c>
      <c r="V493" s="5" t="s">
        <v>33</v>
      </c>
      <c r="W493" s="5">
        <f t="shared" si="3"/>
        <v>0</v>
      </c>
    </row>
    <row r="494" spans="1:23" ht="15.75" customHeight="1" x14ac:dyDescent="0.25">
      <c r="A494" s="5" t="s">
        <v>820</v>
      </c>
      <c r="B494" s="6">
        <v>45074</v>
      </c>
      <c r="C494" s="5" t="s">
        <v>509</v>
      </c>
      <c r="D494" s="5" t="s">
        <v>116</v>
      </c>
      <c r="E494" s="5" t="s">
        <v>69</v>
      </c>
      <c r="F494" s="5" t="s">
        <v>55</v>
      </c>
      <c r="G494" s="5" t="s">
        <v>43</v>
      </c>
      <c r="H494" s="5" t="s">
        <v>44</v>
      </c>
      <c r="I494" s="5" t="s">
        <v>45</v>
      </c>
      <c r="J494" s="5">
        <v>683</v>
      </c>
      <c r="K494" s="7">
        <v>782.60823030952849</v>
      </c>
      <c r="L494" s="5">
        <v>3</v>
      </c>
      <c r="M494" s="5">
        <v>5</v>
      </c>
      <c r="N494" s="8">
        <f t="shared" si="0"/>
        <v>2230.4334563821558</v>
      </c>
      <c r="O494" s="5">
        <f t="shared" si="1"/>
        <v>2049</v>
      </c>
      <c r="P494" s="5">
        <f t="shared" si="2"/>
        <v>181.43345638215578</v>
      </c>
      <c r="Q494" s="5" t="s">
        <v>46</v>
      </c>
      <c r="R494" s="5" t="s">
        <v>56</v>
      </c>
      <c r="T494" s="5">
        <v>9</v>
      </c>
      <c r="U494" s="5">
        <v>1</v>
      </c>
      <c r="W494" s="5">
        <f t="shared" si="3"/>
        <v>0</v>
      </c>
    </row>
    <row r="495" spans="1:23" ht="15.75" customHeight="1" x14ac:dyDescent="0.25">
      <c r="A495" s="5" t="s">
        <v>821</v>
      </c>
      <c r="B495" s="6">
        <v>45075</v>
      </c>
      <c r="C495" s="5" t="s">
        <v>329</v>
      </c>
      <c r="D495" s="5" t="s">
        <v>102</v>
      </c>
      <c r="E495" s="5" t="s">
        <v>54</v>
      </c>
      <c r="F495" s="5" t="s">
        <v>55</v>
      </c>
      <c r="G495" s="5" t="s">
        <v>28</v>
      </c>
      <c r="H495" s="5" t="s">
        <v>29</v>
      </c>
      <c r="I495" s="5" t="s">
        <v>30</v>
      </c>
      <c r="J495" s="5">
        <v>4782</v>
      </c>
      <c r="K495" s="7">
        <v>7578.1958118832608</v>
      </c>
      <c r="L495" s="5">
        <v>2</v>
      </c>
      <c r="M495" s="5">
        <v>15</v>
      </c>
      <c r="N495" s="8">
        <f t="shared" si="0"/>
        <v>12882.932880201543</v>
      </c>
      <c r="O495" s="5">
        <f t="shared" si="1"/>
        <v>9564</v>
      </c>
      <c r="P495" s="5">
        <f t="shared" si="2"/>
        <v>3318.9328802015425</v>
      </c>
      <c r="Q495" s="5" t="s">
        <v>46</v>
      </c>
      <c r="R495" s="5" t="s">
        <v>32</v>
      </c>
      <c r="S495" s="6">
        <v>45086</v>
      </c>
      <c r="T495" s="5">
        <v>4</v>
      </c>
      <c r="U495" s="5">
        <v>2</v>
      </c>
      <c r="V495" s="5" t="s">
        <v>33</v>
      </c>
      <c r="W495" s="5">
        <f t="shared" si="3"/>
        <v>0</v>
      </c>
    </row>
    <row r="496" spans="1:23" ht="15.75" customHeight="1" x14ac:dyDescent="0.25">
      <c r="A496" s="5" t="s">
        <v>822</v>
      </c>
      <c r="B496" s="6">
        <v>45076</v>
      </c>
      <c r="C496" s="5" t="s">
        <v>534</v>
      </c>
      <c r="D496" s="5" t="s">
        <v>138</v>
      </c>
      <c r="E496" s="5" t="s">
        <v>49</v>
      </c>
      <c r="F496" s="5" t="s">
        <v>50</v>
      </c>
      <c r="G496" s="5" t="s">
        <v>28</v>
      </c>
      <c r="H496" s="5" t="s">
        <v>29</v>
      </c>
      <c r="I496" s="5" t="s">
        <v>30</v>
      </c>
      <c r="J496" s="5">
        <v>3211</v>
      </c>
      <c r="K496" s="7">
        <v>5059.3134794658554</v>
      </c>
      <c r="L496" s="5">
        <v>3</v>
      </c>
      <c r="M496" s="5">
        <v>10</v>
      </c>
      <c r="N496" s="8">
        <f t="shared" si="0"/>
        <v>13660.146394557811</v>
      </c>
      <c r="O496" s="5">
        <f t="shared" si="1"/>
        <v>9633</v>
      </c>
      <c r="P496" s="5">
        <f t="shared" si="2"/>
        <v>4027.1463945578107</v>
      </c>
      <c r="Q496" s="5" t="s">
        <v>83</v>
      </c>
      <c r="R496" s="5" t="s">
        <v>32</v>
      </c>
      <c r="S496" s="6">
        <v>45085</v>
      </c>
      <c r="T496" s="5">
        <v>4</v>
      </c>
      <c r="U496" s="5">
        <v>3</v>
      </c>
      <c r="V496" s="5" t="s">
        <v>33</v>
      </c>
      <c r="W496" s="5">
        <f t="shared" si="3"/>
        <v>0</v>
      </c>
    </row>
    <row r="497" spans="1:23" ht="15.75" customHeight="1" x14ac:dyDescent="0.25">
      <c r="A497" s="5" t="s">
        <v>823</v>
      </c>
      <c r="B497" s="6">
        <v>45076</v>
      </c>
      <c r="C497" s="5" t="s">
        <v>166</v>
      </c>
      <c r="D497" s="5" t="s">
        <v>150</v>
      </c>
      <c r="E497" s="5" t="s">
        <v>54</v>
      </c>
      <c r="F497" s="5" t="s">
        <v>55</v>
      </c>
      <c r="G497" s="5" t="s">
        <v>70</v>
      </c>
      <c r="H497" s="5" t="s">
        <v>44</v>
      </c>
      <c r="I497" s="5" t="s">
        <v>71</v>
      </c>
      <c r="J497" s="5">
        <v>1452</v>
      </c>
      <c r="K497" s="7">
        <v>1726.3011671264669</v>
      </c>
      <c r="L497" s="5">
        <v>4</v>
      </c>
      <c r="M497" s="5">
        <v>5</v>
      </c>
      <c r="N497" s="8">
        <f t="shared" si="0"/>
        <v>6559.9444350805743</v>
      </c>
      <c r="O497" s="5">
        <f t="shared" si="1"/>
        <v>5808</v>
      </c>
      <c r="P497" s="5">
        <f t="shared" si="2"/>
        <v>751.94443508057429</v>
      </c>
      <c r="Q497" s="5" t="s">
        <v>39</v>
      </c>
      <c r="R497" s="5" t="s">
        <v>32</v>
      </c>
      <c r="S497" s="6">
        <v>45087</v>
      </c>
      <c r="T497" s="5">
        <v>6</v>
      </c>
      <c r="U497" s="5">
        <v>3</v>
      </c>
      <c r="V497" s="5" t="s">
        <v>33</v>
      </c>
      <c r="W497" s="5">
        <f t="shared" si="3"/>
        <v>0</v>
      </c>
    </row>
    <row r="498" spans="1:23" ht="15.75" customHeight="1" x14ac:dyDescent="0.25">
      <c r="A498" s="5" t="s">
        <v>824</v>
      </c>
      <c r="B498" s="6">
        <v>45076</v>
      </c>
      <c r="C498" s="5" t="s">
        <v>490</v>
      </c>
      <c r="D498" s="5" t="s">
        <v>135</v>
      </c>
      <c r="E498" s="5" t="s">
        <v>37</v>
      </c>
      <c r="F498" s="5" t="s">
        <v>38</v>
      </c>
      <c r="G498" s="5" t="s">
        <v>139</v>
      </c>
      <c r="H498" s="5" t="s">
        <v>76</v>
      </c>
      <c r="I498" s="5" t="s">
        <v>140</v>
      </c>
      <c r="J498" s="5">
        <v>42258</v>
      </c>
      <c r="K498" s="7">
        <v>71962.279269820574</v>
      </c>
      <c r="L498" s="5">
        <v>1</v>
      </c>
      <c r="M498" s="5">
        <v>5</v>
      </c>
      <c r="N498" s="8">
        <f t="shared" si="0"/>
        <v>68364.165306329538</v>
      </c>
      <c r="O498" s="5">
        <f t="shared" si="1"/>
        <v>42258</v>
      </c>
      <c r="P498" s="5">
        <f t="shared" si="2"/>
        <v>26106.165306329538</v>
      </c>
      <c r="Q498" s="5" t="s">
        <v>46</v>
      </c>
      <c r="R498" s="5" t="s">
        <v>56</v>
      </c>
      <c r="T498" s="5">
        <v>10</v>
      </c>
      <c r="U498" s="5">
        <v>1</v>
      </c>
      <c r="W498" s="5">
        <f t="shared" si="3"/>
        <v>0</v>
      </c>
    </row>
    <row r="499" spans="1:23" ht="15.75" customHeight="1" x14ac:dyDescent="0.25">
      <c r="A499" s="5" t="s">
        <v>825</v>
      </c>
      <c r="B499" s="6">
        <v>45077</v>
      </c>
      <c r="C499" s="5" t="s">
        <v>803</v>
      </c>
      <c r="D499" s="5" t="s">
        <v>25</v>
      </c>
      <c r="E499" s="5" t="s">
        <v>37</v>
      </c>
      <c r="F499" s="5" t="s">
        <v>38</v>
      </c>
      <c r="G499" s="5" t="s">
        <v>124</v>
      </c>
      <c r="H499" s="5" t="s">
        <v>76</v>
      </c>
      <c r="I499" s="5" t="s">
        <v>125</v>
      </c>
      <c r="J499" s="5">
        <v>89146</v>
      </c>
      <c r="K499" s="7">
        <v>110230.95682603261</v>
      </c>
      <c r="L499" s="5">
        <v>5</v>
      </c>
      <c r="M499" s="5">
        <v>20</v>
      </c>
      <c r="N499" s="8">
        <f t="shared" si="0"/>
        <v>440923.82730413042</v>
      </c>
      <c r="O499" s="5">
        <f t="shared" si="1"/>
        <v>445730</v>
      </c>
      <c r="P499" s="5">
        <f t="shared" si="2"/>
        <v>-4806.1726958695799</v>
      </c>
      <c r="Q499" s="5" t="s">
        <v>39</v>
      </c>
      <c r="R499" s="5" t="s">
        <v>32</v>
      </c>
      <c r="S499" s="6">
        <v>45088</v>
      </c>
      <c r="T499" s="5">
        <v>4</v>
      </c>
      <c r="U499" s="5">
        <v>4</v>
      </c>
      <c r="V499" s="5" t="s">
        <v>33</v>
      </c>
      <c r="W499" s="5">
        <f t="shared" si="3"/>
        <v>0</v>
      </c>
    </row>
    <row r="500" spans="1:23" ht="15.75" customHeight="1" x14ac:dyDescent="0.25">
      <c r="A500" s="5" t="s">
        <v>826</v>
      </c>
      <c r="B500" s="6">
        <v>45077</v>
      </c>
      <c r="C500" s="5" t="s">
        <v>233</v>
      </c>
      <c r="D500" s="5" t="s">
        <v>105</v>
      </c>
      <c r="E500" s="5" t="s">
        <v>26</v>
      </c>
      <c r="F500" s="5" t="s">
        <v>27</v>
      </c>
      <c r="G500" s="5" t="s">
        <v>70</v>
      </c>
      <c r="H500" s="5" t="s">
        <v>44</v>
      </c>
      <c r="I500" s="5" t="s">
        <v>71</v>
      </c>
      <c r="J500" s="5">
        <v>1122</v>
      </c>
      <c r="K500" s="7">
        <v>1202.6741799943059</v>
      </c>
      <c r="L500" s="5">
        <v>2</v>
      </c>
      <c r="M500" s="5">
        <v>0</v>
      </c>
      <c r="N500" s="8">
        <f t="shared" si="0"/>
        <v>2405.3483599886117</v>
      </c>
      <c r="O500" s="5">
        <f t="shared" si="1"/>
        <v>2244</v>
      </c>
      <c r="P500" s="5">
        <f t="shared" si="2"/>
        <v>161.34835998861172</v>
      </c>
      <c r="Q500" s="5" t="s">
        <v>31</v>
      </c>
      <c r="R500" s="5" t="s">
        <v>32</v>
      </c>
      <c r="S500" s="6">
        <v>45084</v>
      </c>
      <c r="T500" s="5">
        <v>2</v>
      </c>
      <c r="U500" s="5">
        <v>5</v>
      </c>
      <c r="V500" s="5" t="s">
        <v>33</v>
      </c>
      <c r="W500" s="5">
        <f t="shared" si="3"/>
        <v>0</v>
      </c>
    </row>
    <row r="501" spans="1:23" ht="15.75" customHeight="1" x14ac:dyDescent="0.25">
      <c r="A501" s="5" t="s">
        <v>827</v>
      </c>
      <c r="B501" s="6">
        <v>45078</v>
      </c>
      <c r="C501" s="5" t="s">
        <v>828</v>
      </c>
      <c r="D501" s="5" t="s">
        <v>42</v>
      </c>
      <c r="E501" s="5" t="s">
        <v>60</v>
      </c>
      <c r="F501" s="5" t="s">
        <v>61</v>
      </c>
      <c r="G501" s="5" t="s">
        <v>75</v>
      </c>
      <c r="H501" s="5" t="s">
        <v>76</v>
      </c>
      <c r="I501" s="5" t="s">
        <v>77</v>
      </c>
      <c r="J501" s="5">
        <v>906</v>
      </c>
      <c r="K501" s="7">
        <v>1295.3949876011995</v>
      </c>
      <c r="L501" s="5">
        <v>4</v>
      </c>
      <c r="M501" s="5">
        <v>5</v>
      </c>
      <c r="N501" s="8">
        <f t="shared" si="0"/>
        <v>4922.5009528845576</v>
      </c>
      <c r="O501" s="5">
        <f t="shared" si="1"/>
        <v>3624</v>
      </c>
      <c r="P501" s="5">
        <f t="shared" si="2"/>
        <v>1298.5009528845576</v>
      </c>
      <c r="Q501" s="5" t="s">
        <v>31</v>
      </c>
      <c r="R501" s="5" t="s">
        <v>32</v>
      </c>
      <c r="S501" s="6">
        <v>45091</v>
      </c>
      <c r="T501" s="5">
        <v>8</v>
      </c>
      <c r="U501" s="5">
        <v>4</v>
      </c>
      <c r="V501" s="5" t="s">
        <v>89</v>
      </c>
      <c r="W501" s="5">
        <f t="shared" si="3"/>
        <v>1</v>
      </c>
    </row>
    <row r="502" spans="1:23" ht="15.75" customHeight="1" x14ac:dyDescent="0.25">
      <c r="A502" s="5" t="s">
        <v>829</v>
      </c>
      <c r="B502" s="6">
        <v>45078</v>
      </c>
      <c r="C502" s="5" t="s">
        <v>321</v>
      </c>
      <c r="D502" s="5" t="s">
        <v>181</v>
      </c>
      <c r="E502" s="5" t="s">
        <v>80</v>
      </c>
      <c r="F502" s="5" t="s">
        <v>80</v>
      </c>
      <c r="G502" s="5" t="s">
        <v>124</v>
      </c>
      <c r="H502" s="5" t="s">
        <v>76</v>
      </c>
      <c r="I502" s="5" t="s">
        <v>125</v>
      </c>
      <c r="J502" s="5">
        <v>52350</v>
      </c>
      <c r="K502" s="7">
        <v>74103.924491641374</v>
      </c>
      <c r="L502" s="5">
        <v>4</v>
      </c>
      <c r="M502" s="5">
        <v>15</v>
      </c>
      <c r="N502" s="8">
        <f t="shared" si="0"/>
        <v>251953.34327158067</v>
      </c>
      <c r="O502" s="5">
        <f t="shared" si="1"/>
        <v>209400</v>
      </c>
      <c r="P502" s="5">
        <f t="shared" si="2"/>
        <v>42553.34327158067</v>
      </c>
      <c r="Q502" s="5" t="s">
        <v>46</v>
      </c>
      <c r="R502" s="5" t="s">
        <v>32</v>
      </c>
      <c r="S502" s="6">
        <v>45091</v>
      </c>
      <c r="T502" s="5">
        <v>6</v>
      </c>
      <c r="U502" s="5">
        <v>2</v>
      </c>
      <c r="V502" s="5" t="s">
        <v>33</v>
      </c>
      <c r="W502" s="5">
        <f t="shared" si="3"/>
        <v>0</v>
      </c>
    </row>
    <row r="503" spans="1:23" ht="15.75" customHeight="1" x14ac:dyDescent="0.25">
      <c r="A503" s="5" t="s">
        <v>830</v>
      </c>
      <c r="B503" s="6">
        <v>45078</v>
      </c>
      <c r="C503" s="5" t="s">
        <v>831</v>
      </c>
      <c r="D503" s="5" t="s">
        <v>64</v>
      </c>
      <c r="E503" s="5" t="s">
        <v>54</v>
      </c>
      <c r="F503" s="5" t="s">
        <v>55</v>
      </c>
      <c r="G503" s="5" t="s">
        <v>119</v>
      </c>
      <c r="H503" s="5" t="s">
        <v>76</v>
      </c>
      <c r="I503" s="5" t="s">
        <v>120</v>
      </c>
      <c r="J503" s="5">
        <v>75477</v>
      </c>
      <c r="K503" s="7">
        <v>127266.134578542</v>
      </c>
      <c r="L503" s="5">
        <v>5</v>
      </c>
      <c r="M503" s="5">
        <v>20</v>
      </c>
      <c r="N503" s="8">
        <f t="shared" si="0"/>
        <v>509064.53831416799</v>
      </c>
      <c r="O503" s="5">
        <f t="shared" si="1"/>
        <v>377385</v>
      </c>
      <c r="P503" s="5">
        <f t="shared" si="2"/>
        <v>131679.53831416799</v>
      </c>
      <c r="Q503" s="5" t="s">
        <v>46</v>
      </c>
      <c r="R503" s="5" t="s">
        <v>56</v>
      </c>
      <c r="T503" s="5">
        <v>9</v>
      </c>
      <c r="U503" s="5">
        <v>1</v>
      </c>
      <c r="W503" s="5">
        <f t="shared" si="3"/>
        <v>0</v>
      </c>
    </row>
    <row r="504" spans="1:23" ht="15.75" customHeight="1" x14ac:dyDescent="0.25">
      <c r="A504" s="5" t="s">
        <v>832</v>
      </c>
      <c r="B504" s="6">
        <v>45078</v>
      </c>
      <c r="C504" s="5" t="s">
        <v>833</v>
      </c>
      <c r="D504" s="5" t="s">
        <v>188</v>
      </c>
      <c r="E504" s="5" t="s">
        <v>80</v>
      </c>
      <c r="F504" s="5" t="s">
        <v>80</v>
      </c>
      <c r="G504" s="5" t="s">
        <v>92</v>
      </c>
      <c r="H504" s="5" t="s">
        <v>44</v>
      </c>
      <c r="I504" s="5" t="s">
        <v>45</v>
      </c>
      <c r="J504" s="5">
        <v>1392</v>
      </c>
      <c r="K504" s="7">
        <v>2472.0321433128206</v>
      </c>
      <c r="L504" s="5">
        <v>4</v>
      </c>
      <c r="M504" s="5">
        <v>20</v>
      </c>
      <c r="N504" s="8">
        <f t="shared" si="0"/>
        <v>7910.5028586010267</v>
      </c>
      <c r="O504" s="5">
        <f t="shared" si="1"/>
        <v>5568</v>
      </c>
      <c r="P504" s="5">
        <f t="shared" si="2"/>
        <v>2342.5028586010267</v>
      </c>
      <c r="Q504" s="5" t="s">
        <v>31</v>
      </c>
      <c r="R504" s="5" t="s">
        <v>32</v>
      </c>
      <c r="S504" s="6">
        <v>45083</v>
      </c>
      <c r="T504" s="5">
        <v>1</v>
      </c>
      <c r="U504" s="5">
        <v>4</v>
      </c>
      <c r="V504" s="5" t="s">
        <v>33</v>
      </c>
      <c r="W504" s="5">
        <f t="shared" si="3"/>
        <v>0</v>
      </c>
    </row>
    <row r="505" spans="1:23" ht="15.75" customHeight="1" x14ac:dyDescent="0.25">
      <c r="A505" s="5" t="s">
        <v>834</v>
      </c>
      <c r="B505" s="6">
        <v>45078</v>
      </c>
      <c r="C505" s="5" t="s">
        <v>109</v>
      </c>
      <c r="D505" s="5" t="s">
        <v>188</v>
      </c>
      <c r="E505" s="5" t="s">
        <v>37</v>
      </c>
      <c r="F505" s="5" t="s">
        <v>38</v>
      </c>
      <c r="G505" s="5" t="s">
        <v>87</v>
      </c>
      <c r="H505" s="5" t="s">
        <v>29</v>
      </c>
      <c r="I505" s="5" t="s">
        <v>88</v>
      </c>
      <c r="J505" s="5">
        <v>47006</v>
      </c>
      <c r="K505" s="7">
        <v>49319.56347223909</v>
      </c>
      <c r="L505" s="5">
        <v>4</v>
      </c>
      <c r="M505" s="5">
        <v>15</v>
      </c>
      <c r="N505" s="8">
        <f t="shared" si="0"/>
        <v>167686.5158056129</v>
      </c>
      <c r="O505" s="5">
        <f t="shared" si="1"/>
        <v>188024</v>
      </c>
      <c r="P505" s="5">
        <f t="shared" si="2"/>
        <v>-20337.4841943871</v>
      </c>
      <c r="Q505" s="5" t="s">
        <v>39</v>
      </c>
      <c r="R505" s="5" t="s">
        <v>32</v>
      </c>
      <c r="S505" s="6">
        <v>45092</v>
      </c>
      <c r="T505" s="5">
        <v>8</v>
      </c>
      <c r="U505" s="5">
        <v>2</v>
      </c>
      <c r="V505" s="5" t="s">
        <v>33</v>
      </c>
      <c r="W505" s="5">
        <f t="shared" si="3"/>
        <v>0</v>
      </c>
    </row>
    <row r="506" spans="1:23" ht="15.75" customHeight="1" x14ac:dyDescent="0.25">
      <c r="A506" s="5" t="s">
        <v>835</v>
      </c>
      <c r="B506" s="6">
        <v>45079</v>
      </c>
      <c r="C506" s="5" t="s">
        <v>370</v>
      </c>
      <c r="D506" s="5" t="s">
        <v>59</v>
      </c>
      <c r="E506" s="5" t="s">
        <v>54</v>
      </c>
      <c r="F506" s="5" t="s">
        <v>55</v>
      </c>
      <c r="G506" s="5" t="s">
        <v>139</v>
      </c>
      <c r="H506" s="5" t="s">
        <v>76</v>
      </c>
      <c r="I506" s="5" t="s">
        <v>140</v>
      </c>
      <c r="J506" s="5">
        <v>35961</v>
      </c>
      <c r="K506" s="7">
        <v>57552.970344158886</v>
      </c>
      <c r="L506" s="5">
        <v>4</v>
      </c>
      <c r="M506" s="5">
        <v>20</v>
      </c>
      <c r="N506" s="8">
        <f t="shared" si="0"/>
        <v>184169.50510130846</v>
      </c>
      <c r="O506" s="5">
        <f t="shared" si="1"/>
        <v>143844</v>
      </c>
      <c r="P506" s="5">
        <f t="shared" si="2"/>
        <v>40325.505101308459</v>
      </c>
      <c r="Q506" s="5" t="s">
        <v>31</v>
      </c>
      <c r="R506" s="5" t="s">
        <v>32</v>
      </c>
      <c r="S506" s="6">
        <v>45088</v>
      </c>
      <c r="T506" s="5">
        <v>3</v>
      </c>
      <c r="U506" s="5">
        <v>2</v>
      </c>
      <c r="V506" s="5" t="s">
        <v>33</v>
      </c>
      <c r="W506" s="5">
        <f t="shared" si="3"/>
        <v>0</v>
      </c>
    </row>
    <row r="507" spans="1:23" ht="15.75" customHeight="1" x14ac:dyDescent="0.25">
      <c r="A507" s="5" t="s">
        <v>836</v>
      </c>
      <c r="B507" s="6">
        <v>45079</v>
      </c>
      <c r="C507" s="5" t="s">
        <v>373</v>
      </c>
      <c r="D507" s="5" t="s">
        <v>116</v>
      </c>
      <c r="E507" s="5" t="s">
        <v>69</v>
      </c>
      <c r="F507" s="5" t="s">
        <v>55</v>
      </c>
      <c r="G507" s="5" t="s">
        <v>28</v>
      </c>
      <c r="H507" s="5" t="s">
        <v>29</v>
      </c>
      <c r="I507" s="5" t="s">
        <v>30</v>
      </c>
      <c r="J507" s="5">
        <v>3209</v>
      </c>
      <c r="K507" s="7">
        <v>5631.3122709600939</v>
      </c>
      <c r="L507" s="5">
        <v>3</v>
      </c>
      <c r="M507" s="5">
        <v>20</v>
      </c>
      <c r="N507" s="8">
        <f t="shared" si="0"/>
        <v>13515.149450304227</v>
      </c>
      <c r="O507" s="5">
        <f t="shared" si="1"/>
        <v>9627</v>
      </c>
      <c r="P507" s="5">
        <f t="shared" si="2"/>
        <v>3888.1494503042268</v>
      </c>
      <c r="Q507" s="5" t="s">
        <v>31</v>
      </c>
      <c r="R507" s="5" t="s">
        <v>32</v>
      </c>
      <c r="S507" s="6">
        <v>45090</v>
      </c>
      <c r="T507" s="5">
        <v>5</v>
      </c>
      <c r="U507" s="5">
        <v>3</v>
      </c>
      <c r="V507" s="5" t="s">
        <v>33</v>
      </c>
      <c r="W507" s="5">
        <f t="shared" si="3"/>
        <v>0</v>
      </c>
    </row>
    <row r="508" spans="1:23" ht="15.75" customHeight="1" x14ac:dyDescent="0.25">
      <c r="A508" s="5" t="s">
        <v>837</v>
      </c>
      <c r="B508" s="6">
        <v>45080</v>
      </c>
      <c r="C508" s="5" t="s">
        <v>838</v>
      </c>
      <c r="D508" s="5" t="s">
        <v>74</v>
      </c>
      <c r="E508" s="5" t="s">
        <v>54</v>
      </c>
      <c r="F508" s="5" t="s">
        <v>55</v>
      </c>
      <c r="G508" s="5" t="s">
        <v>139</v>
      </c>
      <c r="H508" s="5" t="s">
        <v>76</v>
      </c>
      <c r="I508" s="5" t="s">
        <v>140</v>
      </c>
      <c r="J508" s="5">
        <v>32728</v>
      </c>
      <c r="K508" s="7">
        <v>45218.220963054562</v>
      </c>
      <c r="L508" s="5">
        <v>3</v>
      </c>
      <c r="M508" s="5">
        <v>5</v>
      </c>
      <c r="N508" s="8">
        <f t="shared" si="0"/>
        <v>128871.92974470549</v>
      </c>
      <c r="O508" s="5">
        <f t="shared" si="1"/>
        <v>98184</v>
      </c>
      <c r="P508" s="5">
        <f t="shared" si="2"/>
        <v>30687.929744705485</v>
      </c>
      <c r="Q508" s="5" t="s">
        <v>83</v>
      </c>
      <c r="R508" s="5" t="s">
        <v>56</v>
      </c>
      <c r="T508" s="5">
        <v>10</v>
      </c>
      <c r="U508" s="5">
        <v>1</v>
      </c>
      <c r="W508" s="5">
        <f t="shared" si="3"/>
        <v>0</v>
      </c>
    </row>
    <row r="509" spans="1:23" ht="15.75" customHeight="1" x14ac:dyDescent="0.25">
      <c r="A509" s="5" t="s">
        <v>839</v>
      </c>
      <c r="B509" s="6">
        <v>45080</v>
      </c>
      <c r="C509" s="5" t="s">
        <v>378</v>
      </c>
      <c r="D509" s="5" t="s">
        <v>102</v>
      </c>
      <c r="E509" s="5" t="s">
        <v>80</v>
      </c>
      <c r="F509" s="5" t="s">
        <v>80</v>
      </c>
      <c r="G509" s="5" t="s">
        <v>106</v>
      </c>
      <c r="H509" s="5" t="s">
        <v>98</v>
      </c>
      <c r="I509" s="5" t="s">
        <v>107</v>
      </c>
      <c r="J509" s="5">
        <v>841</v>
      </c>
      <c r="K509" s="7">
        <v>1033.5831125725981</v>
      </c>
      <c r="L509" s="5">
        <v>2</v>
      </c>
      <c r="M509" s="5">
        <v>15</v>
      </c>
      <c r="N509" s="8">
        <f t="shared" si="0"/>
        <v>1757.0912913734167</v>
      </c>
      <c r="O509" s="5">
        <f t="shared" si="1"/>
        <v>1682</v>
      </c>
      <c r="P509" s="5">
        <f t="shared" si="2"/>
        <v>75.091291373416652</v>
      </c>
      <c r="Q509" s="5" t="s">
        <v>31</v>
      </c>
      <c r="R509" s="5" t="s">
        <v>32</v>
      </c>
      <c r="S509" s="6">
        <v>45088</v>
      </c>
      <c r="T509" s="5">
        <v>4</v>
      </c>
      <c r="U509" s="5">
        <v>2</v>
      </c>
      <c r="V509" s="5" t="s">
        <v>33</v>
      </c>
      <c r="W509" s="5">
        <f t="shared" si="3"/>
        <v>0</v>
      </c>
    </row>
    <row r="510" spans="1:23" ht="15.75" customHeight="1" x14ac:dyDescent="0.25">
      <c r="A510" s="5" t="s">
        <v>840</v>
      </c>
      <c r="B510" s="6">
        <v>45080</v>
      </c>
      <c r="C510" s="5" t="s">
        <v>593</v>
      </c>
      <c r="D510" s="5" t="s">
        <v>208</v>
      </c>
      <c r="E510" s="5" t="s">
        <v>37</v>
      </c>
      <c r="F510" s="5" t="s">
        <v>38</v>
      </c>
      <c r="G510" s="5" t="s">
        <v>97</v>
      </c>
      <c r="H510" s="5" t="s">
        <v>98</v>
      </c>
      <c r="I510" s="5" t="s">
        <v>99</v>
      </c>
      <c r="J510" s="5">
        <v>531</v>
      </c>
      <c r="K510" s="7">
        <v>556.13110047449118</v>
      </c>
      <c r="L510" s="5">
        <v>5</v>
      </c>
      <c r="M510" s="5">
        <v>10</v>
      </c>
      <c r="N510" s="8">
        <f t="shared" si="0"/>
        <v>2502.5899521352103</v>
      </c>
      <c r="O510" s="5">
        <f t="shared" si="1"/>
        <v>2655</v>
      </c>
      <c r="P510" s="5">
        <f t="shared" si="2"/>
        <v>-152.4100478647897</v>
      </c>
      <c r="Q510" s="5" t="s">
        <v>83</v>
      </c>
      <c r="R510" s="5" t="s">
        <v>32</v>
      </c>
      <c r="S510" s="6">
        <v>45089</v>
      </c>
      <c r="T510" s="5">
        <v>4</v>
      </c>
      <c r="U510" s="5">
        <v>3</v>
      </c>
      <c r="V510" s="5" t="s">
        <v>33</v>
      </c>
      <c r="W510" s="5">
        <f t="shared" si="3"/>
        <v>0</v>
      </c>
    </row>
    <row r="511" spans="1:23" ht="15.75" customHeight="1" x14ac:dyDescent="0.25">
      <c r="A511" s="5" t="s">
        <v>841</v>
      </c>
      <c r="B511" s="6">
        <v>45080</v>
      </c>
      <c r="C511" s="5" t="s">
        <v>218</v>
      </c>
      <c r="D511" s="5" t="s">
        <v>138</v>
      </c>
      <c r="E511" s="5" t="s">
        <v>80</v>
      </c>
      <c r="F511" s="5" t="s">
        <v>80</v>
      </c>
      <c r="G511" s="5" t="s">
        <v>81</v>
      </c>
      <c r="H511" s="5" t="s">
        <v>44</v>
      </c>
      <c r="I511" s="5" t="s">
        <v>82</v>
      </c>
      <c r="J511" s="5">
        <v>1910</v>
      </c>
      <c r="K511" s="7">
        <v>1956.4905595575704</v>
      </c>
      <c r="L511" s="5">
        <v>3</v>
      </c>
      <c r="M511" s="5">
        <v>10</v>
      </c>
      <c r="N511" s="8">
        <f t="shared" si="0"/>
        <v>5282.5245108054405</v>
      </c>
      <c r="O511" s="5">
        <f t="shared" si="1"/>
        <v>5730</v>
      </c>
      <c r="P511" s="5">
        <f t="shared" si="2"/>
        <v>-447.47548919455949</v>
      </c>
      <c r="Q511" s="5" t="s">
        <v>83</v>
      </c>
      <c r="R511" s="5" t="s">
        <v>56</v>
      </c>
      <c r="T511" s="5">
        <v>9</v>
      </c>
      <c r="U511" s="5">
        <v>1</v>
      </c>
      <c r="W511" s="5">
        <f t="shared" si="3"/>
        <v>0</v>
      </c>
    </row>
    <row r="512" spans="1:23" ht="15.75" customHeight="1" x14ac:dyDescent="0.25">
      <c r="A512" s="5" t="s">
        <v>842</v>
      </c>
      <c r="B512" s="6">
        <v>45081</v>
      </c>
      <c r="C512" s="5" t="s">
        <v>255</v>
      </c>
      <c r="D512" s="5" t="s">
        <v>208</v>
      </c>
      <c r="E512" s="5" t="s">
        <v>60</v>
      </c>
      <c r="F512" s="5" t="s">
        <v>61</v>
      </c>
      <c r="G512" s="5" t="s">
        <v>139</v>
      </c>
      <c r="H512" s="5" t="s">
        <v>76</v>
      </c>
      <c r="I512" s="5" t="s">
        <v>140</v>
      </c>
      <c r="J512" s="5">
        <v>36676</v>
      </c>
      <c r="K512" s="7">
        <v>48313.948486049769</v>
      </c>
      <c r="L512" s="5">
        <v>1</v>
      </c>
      <c r="M512" s="5">
        <v>20</v>
      </c>
      <c r="N512" s="8">
        <f t="shared" si="0"/>
        <v>38651.158788839813</v>
      </c>
      <c r="O512" s="5">
        <f t="shared" si="1"/>
        <v>36676</v>
      </c>
      <c r="P512" s="5">
        <f t="shared" si="2"/>
        <v>1975.1587888398135</v>
      </c>
      <c r="Q512" s="5" t="s">
        <v>83</v>
      </c>
      <c r="R512" s="5" t="s">
        <v>32</v>
      </c>
      <c r="S512" s="6">
        <v>45089</v>
      </c>
      <c r="T512" s="5">
        <v>3</v>
      </c>
      <c r="U512" s="5">
        <v>3</v>
      </c>
      <c r="V512" s="5" t="s">
        <v>33</v>
      </c>
      <c r="W512" s="5">
        <f t="shared" si="3"/>
        <v>0</v>
      </c>
    </row>
    <row r="513" spans="1:23" ht="15.75" customHeight="1" x14ac:dyDescent="0.25">
      <c r="A513" s="5" t="s">
        <v>843</v>
      </c>
      <c r="B513" s="6">
        <v>45081</v>
      </c>
      <c r="C513" s="5" t="s">
        <v>555</v>
      </c>
      <c r="D513" s="5" t="s">
        <v>148</v>
      </c>
      <c r="E513" s="5" t="s">
        <v>26</v>
      </c>
      <c r="F513" s="5" t="s">
        <v>27</v>
      </c>
      <c r="G513" s="5" t="s">
        <v>81</v>
      </c>
      <c r="H513" s="5" t="s">
        <v>44</v>
      </c>
      <c r="I513" s="5" t="s">
        <v>82</v>
      </c>
      <c r="J513" s="5">
        <v>793</v>
      </c>
      <c r="K513" s="7">
        <v>1185.7409007590095</v>
      </c>
      <c r="L513" s="5">
        <v>1</v>
      </c>
      <c r="M513" s="5">
        <v>0</v>
      </c>
      <c r="N513" s="8">
        <f t="shared" si="0"/>
        <v>1185.7409007590095</v>
      </c>
      <c r="O513" s="5">
        <f t="shared" si="1"/>
        <v>793</v>
      </c>
      <c r="P513" s="5">
        <f t="shared" si="2"/>
        <v>392.74090075900949</v>
      </c>
      <c r="Q513" s="5" t="s">
        <v>46</v>
      </c>
      <c r="R513" s="5" t="s">
        <v>32</v>
      </c>
      <c r="S513" s="6">
        <v>45090</v>
      </c>
      <c r="T513" s="5">
        <v>3</v>
      </c>
      <c r="U513" s="5">
        <v>4</v>
      </c>
      <c r="V513" s="5" t="s">
        <v>33</v>
      </c>
      <c r="W513" s="5">
        <f t="shared" si="3"/>
        <v>0</v>
      </c>
    </row>
    <row r="514" spans="1:23" ht="15.75" customHeight="1" x14ac:dyDescent="0.25">
      <c r="A514" s="5" t="s">
        <v>844</v>
      </c>
      <c r="B514" s="6">
        <v>45081</v>
      </c>
      <c r="C514" s="5" t="s">
        <v>402</v>
      </c>
      <c r="D514" s="5" t="s">
        <v>208</v>
      </c>
      <c r="E514" s="5" t="s">
        <v>49</v>
      </c>
      <c r="F514" s="5" t="s">
        <v>50</v>
      </c>
      <c r="G514" s="5" t="s">
        <v>92</v>
      </c>
      <c r="H514" s="5" t="s">
        <v>44</v>
      </c>
      <c r="I514" s="5" t="s">
        <v>45</v>
      </c>
      <c r="J514" s="5">
        <v>1027</v>
      </c>
      <c r="K514" s="7">
        <v>1190.9024194010649</v>
      </c>
      <c r="L514" s="5">
        <v>4</v>
      </c>
      <c r="M514" s="5">
        <v>10</v>
      </c>
      <c r="N514" s="8">
        <f t="shared" si="0"/>
        <v>4287.2487098438341</v>
      </c>
      <c r="O514" s="5">
        <f t="shared" si="1"/>
        <v>4108</v>
      </c>
      <c r="P514" s="5">
        <f t="shared" si="2"/>
        <v>179.24870984383415</v>
      </c>
      <c r="Q514" s="5" t="s">
        <v>46</v>
      </c>
      <c r="R514" s="5" t="s">
        <v>56</v>
      </c>
      <c r="T514" s="5">
        <v>10</v>
      </c>
      <c r="U514" s="5">
        <v>1</v>
      </c>
      <c r="W514" s="5">
        <f t="shared" si="3"/>
        <v>0</v>
      </c>
    </row>
    <row r="515" spans="1:23" ht="15.75" customHeight="1" x14ac:dyDescent="0.25">
      <c r="A515" s="5" t="s">
        <v>845</v>
      </c>
      <c r="B515" s="6">
        <v>45081</v>
      </c>
      <c r="C515" s="5" t="s">
        <v>294</v>
      </c>
      <c r="D515" s="5" t="s">
        <v>74</v>
      </c>
      <c r="E515" s="5" t="s">
        <v>80</v>
      </c>
      <c r="F515" s="5" t="s">
        <v>80</v>
      </c>
      <c r="G515" s="5" t="s">
        <v>106</v>
      </c>
      <c r="H515" s="5" t="s">
        <v>98</v>
      </c>
      <c r="I515" s="5" t="s">
        <v>107</v>
      </c>
      <c r="J515" s="5">
        <v>976</v>
      </c>
      <c r="K515" s="7">
        <v>1112.7636650225345</v>
      </c>
      <c r="L515" s="5">
        <v>4</v>
      </c>
      <c r="M515" s="5">
        <v>5</v>
      </c>
      <c r="N515" s="8">
        <f t="shared" si="0"/>
        <v>4228.501927085631</v>
      </c>
      <c r="O515" s="5">
        <f t="shared" si="1"/>
        <v>3904</v>
      </c>
      <c r="P515" s="5">
        <f t="shared" si="2"/>
        <v>324.501927085631</v>
      </c>
      <c r="Q515" s="5" t="s">
        <v>83</v>
      </c>
      <c r="R515" s="5" t="s">
        <v>32</v>
      </c>
      <c r="S515" s="6">
        <v>45091</v>
      </c>
      <c r="T515" s="5">
        <v>3</v>
      </c>
      <c r="U515" s="5">
        <v>4</v>
      </c>
      <c r="V515" s="5" t="s">
        <v>33</v>
      </c>
      <c r="W515" s="5">
        <f t="shared" si="3"/>
        <v>0</v>
      </c>
    </row>
    <row r="516" spans="1:23" ht="15.75" customHeight="1" x14ac:dyDescent="0.25">
      <c r="A516" s="5" t="s">
        <v>846</v>
      </c>
      <c r="B516" s="6">
        <v>45081</v>
      </c>
      <c r="C516" s="5" t="s">
        <v>378</v>
      </c>
      <c r="D516" s="5" t="s">
        <v>208</v>
      </c>
      <c r="E516" s="5" t="s">
        <v>26</v>
      </c>
      <c r="F516" s="5" t="s">
        <v>27</v>
      </c>
      <c r="G516" s="5" t="s">
        <v>119</v>
      </c>
      <c r="H516" s="5" t="s">
        <v>76</v>
      </c>
      <c r="I516" s="5" t="s">
        <v>120</v>
      </c>
      <c r="J516" s="5">
        <v>22080</v>
      </c>
      <c r="K516" s="7">
        <v>25719.064552619941</v>
      </c>
      <c r="L516" s="5">
        <v>5</v>
      </c>
      <c r="M516" s="5">
        <v>20</v>
      </c>
      <c r="N516" s="8">
        <f t="shared" si="0"/>
        <v>102876.25821047976</v>
      </c>
      <c r="O516" s="5">
        <f t="shared" si="1"/>
        <v>110400</v>
      </c>
      <c r="P516" s="5">
        <f t="shared" si="2"/>
        <v>-7523.7417895202379</v>
      </c>
      <c r="Q516" s="5" t="s">
        <v>46</v>
      </c>
      <c r="R516" s="5" t="s">
        <v>32</v>
      </c>
      <c r="S516" s="6">
        <v>45086</v>
      </c>
      <c r="T516" s="5">
        <v>2</v>
      </c>
      <c r="U516" s="5">
        <v>4</v>
      </c>
      <c r="V516" s="5" t="s">
        <v>33</v>
      </c>
      <c r="W516" s="5">
        <f t="shared" si="3"/>
        <v>0</v>
      </c>
    </row>
    <row r="517" spans="1:23" ht="15.75" customHeight="1" x14ac:dyDescent="0.25">
      <c r="A517" s="5" t="s">
        <v>847</v>
      </c>
      <c r="B517" s="6">
        <v>45082</v>
      </c>
      <c r="C517" s="5" t="s">
        <v>848</v>
      </c>
      <c r="D517" s="5" t="s">
        <v>116</v>
      </c>
      <c r="E517" s="5" t="s">
        <v>54</v>
      </c>
      <c r="F517" s="5" t="s">
        <v>55</v>
      </c>
      <c r="G517" s="5" t="s">
        <v>139</v>
      </c>
      <c r="H517" s="5" t="s">
        <v>76</v>
      </c>
      <c r="I517" s="5" t="s">
        <v>140</v>
      </c>
      <c r="J517" s="5">
        <v>41768</v>
      </c>
      <c r="K517" s="7">
        <v>75009.109210506023</v>
      </c>
      <c r="L517" s="5">
        <v>2</v>
      </c>
      <c r="M517" s="5">
        <v>0</v>
      </c>
      <c r="N517" s="8">
        <f t="shared" si="0"/>
        <v>150018.21842101205</v>
      </c>
      <c r="O517" s="5">
        <f t="shared" si="1"/>
        <v>83536</v>
      </c>
      <c r="P517" s="5">
        <f t="shared" si="2"/>
        <v>66482.218421012047</v>
      </c>
      <c r="Q517" s="5" t="s">
        <v>46</v>
      </c>
      <c r="R517" s="5" t="s">
        <v>32</v>
      </c>
      <c r="S517" s="6">
        <v>45091</v>
      </c>
      <c r="T517" s="5">
        <v>4</v>
      </c>
      <c r="U517" s="5">
        <v>4</v>
      </c>
      <c r="V517" s="5" t="s">
        <v>33</v>
      </c>
      <c r="W517" s="5">
        <f t="shared" si="3"/>
        <v>0</v>
      </c>
    </row>
    <row r="518" spans="1:23" ht="15.75" customHeight="1" x14ac:dyDescent="0.25">
      <c r="A518" s="5" t="s">
        <v>849</v>
      </c>
      <c r="B518" s="6">
        <v>45082</v>
      </c>
      <c r="C518" s="5" t="s">
        <v>332</v>
      </c>
      <c r="D518" s="5" t="s">
        <v>116</v>
      </c>
      <c r="E518" s="5" t="s">
        <v>112</v>
      </c>
      <c r="F518" s="5" t="s">
        <v>113</v>
      </c>
      <c r="G518" s="5" t="s">
        <v>92</v>
      </c>
      <c r="H518" s="5" t="s">
        <v>44</v>
      </c>
      <c r="I518" s="5" t="s">
        <v>45</v>
      </c>
      <c r="J518" s="5">
        <v>834</v>
      </c>
      <c r="K518" s="7">
        <v>901.31496130167034</v>
      </c>
      <c r="L518" s="5">
        <v>4</v>
      </c>
      <c r="M518" s="5">
        <v>15</v>
      </c>
      <c r="N518" s="8">
        <f t="shared" si="0"/>
        <v>3064.4708684256789</v>
      </c>
      <c r="O518" s="5">
        <f t="shared" si="1"/>
        <v>3336</v>
      </c>
      <c r="P518" s="5">
        <f t="shared" si="2"/>
        <v>-271.52913157432113</v>
      </c>
      <c r="Q518" s="5" t="s">
        <v>83</v>
      </c>
      <c r="R518" s="5" t="s">
        <v>56</v>
      </c>
      <c r="T518" s="5">
        <v>10</v>
      </c>
      <c r="U518" s="5">
        <v>1</v>
      </c>
      <c r="W518" s="5">
        <f t="shared" si="3"/>
        <v>0</v>
      </c>
    </row>
    <row r="519" spans="1:23" ht="15.75" customHeight="1" x14ac:dyDescent="0.25">
      <c r="A519" s="5" t="s">
        <v>850</v>
      </c>
      <c r="B519" s="6">
        <v>45083</v>
      </c>
      <c r="C519" s="5" t="s">
        <v>851</v>
      </c>
      <c r="D519" s="5" t="s">
        <v>86</v>
      </c>
      <c r="E519" s="5" t="s">
        <v>37</v>
      </c>
      <c r="F519" s="5" t="s">
        <v>38</v>
      </c>
      <c r="G519" s="5" t="s">
        <v>124</v>
      </c>
      <c r="H519" s="5" t="s">
        <v>76</v>
      </c>
      <c r="I519" s="5" t="s">
        <v>125</v>
      </c>
      <c r="J519" s="5">
        <v>82454</v>
      </c>
      <c r="K519" s="7">
        <v>119690.08362705003</v>
      </c>
      <c r="L519" s="5">
        <v>1</v>
      </c>
      <c r="M519" s="5">
        <v>0</v>
      </c>
      <c r="N519" s="8">
        <f t="shared" si="0"/>
        <v>119690.08362705003</v>
      </c>
      <c r="O519" s="5">
        <f t="shared" si="1"/>
        <v>82454</v>
      </c>
      <c r="P519" s="5">
        <f t="shared" si="2"/>
        <v>37236.083627050029</v>
      </c>
      <c r="Q519" s="5" t="s">
        <v>39</v>
      </c>
      <c r="R519" s="5" t="s">
        <v>32</v>
      </c>
      <c r="S519" s="6">
        <v>45093</v>
      </c>
      <c r="T519" s="5">
        <v>4</v>
      </c>
      <c r="U519" s="5">
        <v>2</v>
      </c>
      <c r="V519" s="5" t="s">
        <v>33</v>
      </c>
      <c r="W519" s="5">
        <f t="shared" si="3"/>
        <v>0</v>
      </c>
    </row>
    <row r="520" spans="1:23" ht="15.75" customHeight="1" x14ac:dyDescent="0.25">
      <c r="A520" s="5" t="s">
        <v>852</v>
      </c>
      <c r="B520" s="6">
        <v>45083</v>
      </c>
      <c r="C520" s="5" t="s">
        <v>132</v>
      </c>
      <c r="D520" s="5" t="s">
        <v>146</v>
      </c>
      <c r="E520" s="5" t="s">
        <v>80</v>
      </c>
      <c r="F520" s="5" t="s">
        <v>80</v>
      </c>
      <c r="G520" s="5" t="s">
        <v>106</v>
      </c>
      <c r="H520" s="5" t="s">
        <v>98</v>
      </c>
      <c r="I520" s="5" t="s">
        <v>107</v>
      </c>
      <c r="J520" s="5">
        <v>928</v>
      </c>
      <c r="K520" s="7">
        <v>1661.036330095536</v>
      </c>
      <c r="L520" s="5">
        <v>5</v>
      </c>
      <c r="M520" s="5">
        <v>0</v>
      </c>
      <c r="N520" s="8">
        <f t="shared" si="0"/>
        <v>8305.1816504776798</v>
      </c>
      <c r="O520" s="5">
        <f t="shared" si="1"/>
        <v>4640</v>
      </c>
      <c r="P520" s="5">
        <f t="shared" si="2"/>
        <v>3665.1816504776798</v>
      </c>
      <c r="Q520" s="5" t="s">
        <v>83</v>
      </c>
      <c r="R520" s="5" t="s">
        <v>32</v>
      </c>
      <c r="S520" s="6">
        <v>45089</v>
      </c>
      <c r="T520" s="5">
        <v>3</v>
      </c>
      <c r="U520" s="5">
        <v>2</v>
      </c>
      <c r="V520" s="5" t="s">
        <v>33</v>
      </c>
      <c r="W520" s="5">
        <f t="shared" si="3"/>
        <v>0</v>
      </c>
    </row>
    <row r="521" spans="1:23" ht="15.75" customHeight="1" x14ac:dyDescent="0.25">
      <c r="A521" s="5" t="s">
        <v>853</v>
      </c>
      <c r="B521" s="6">
        <v>45083</v>
      </c>
      <c r="C521" s="5" t="s">
        <v>274</v>
      </c>
      <c r="D521" s="5" t="s">
        <v>53</v>
      </c>
      <c r="E521" s="5" t="s">
        <v>60</v>
      </c>
      <c r="F521" s="5" t="s">
        <v>61</v>
      </c>
      <c r="G521" s="5" t="s">
        <v>119</v>
      </c>
      <c r="H521" s="5" t="s">
        <v>76</v>
      </c>
      <c r="I521" s="5" t="s">
        <v>120</v>
      </c>
      <c r="J521" s="5">
        <v>30259</v>
      </c>
      <c r="K521" s="7">
        <v>41480.440663020665</v>
      </c>
      <c r="L521" s="5">
        <v>5</v>
      </c>
      <c r="M521" s="5">
        <v>15</v>
      </c>
      <c r="N521" s="8">
        <f t="shared" si="0"/>
        <v>176291.87281783781</v>
      </c>
      <c r="O521" s="5">
        <f t="shared" si="1"/>
        <v>151295</v>
      </c>
      <c r="P521" s="5">
        <f t="shared" si="2"/>
        <v>24996.872817837808</v>
      </c>
      <c r="Q521" s="5" t="s">
        <v>83</v>
      </c>
      <c r="R521" s="5" t="s">
        <v>32</v>
      </c>
      <c r="S521" s="6">
        <v>45097</v>
      </c>
      <c r="T521" s="5">
        <v>8</v>
      </c>
      <c r="U521" s="5">
        <v>4</v>
      </c>
      <c r="V521" s="5" t="s">
        <v>89</v>
      </c>
      <c r="W521" s="5">
        <f t="shared" si="3"/>
        <v>1</v>
      </c>
    </row>
    <row r="522" spans="1:23" ht="15.75" customHeight="1" x14ac:dyDescent="0.25">
      <c r="A522" s="5" t="s">
        <v>854</v>
      </c>
      <c r="B522" s="6">
        <v>45083</v>
      </c>
      <c r="C522" s="5" t="s">
        <v>589</v>
      </c>
      <c r="D522" s="5" t="s">
        <v>59</v>
      </c>
      <c r="E522" s="5" t="s">
        <v>112</v>
      </c>
      <c r="F522" s="5" t="s">
        <v>113</v>
      </c>
      <c r="G522" s="5" t="s">
        <v>106</v>
      </c>
      <c r="H522" s="5" t="s">
        <v>98</v>
      </c>
      <c r="I522" s="5" t="s">
        <v>107</v>
      </c>
      <c r="J522" s="5">
        <v>988</v>
      </c>
      <c r="K522" s="7">
        <v>1057.3660116215131</v>
      </c>
      <c r="L522" s="5">
        <v>4</v>
      </c>
      <c r="M522" s="5">
        <v>15</v>
      </c>
      <c r="N522" s="8">
        <f t="shared" si="0"/>
        <v>3595.0444395131444</v>
      </c>
      <c r="O522" s="5">
        <f t="shared" si="1"/>
        <v>3952</v>
      </c>
      <c r="P522" s="5">
        <f t="shared" si="2"/>
        <v>-356.95556048685557</v>
      </c>
      <c r="Q522" s="5" t="s">
        <v>83</v>
      </c>
      <c r="R522" s="5" t="s">
        <v>32</v>
      </c>
      <c r="S522" s="6">
        <v>45092</v>
      </c>
      <c r="T522" s="5">
        <v>4</v>
      </c>
      <c r="U522" s="5">
        <v>4</v>
      </c>
      <c r="V522" s="5" t="s">
        <v>33</v>
      </c>
      <c r="W522" s="5">
        <f t="shared" si="3"/>
        <v>0</v>
      </c>
    </row>
    <row r="523" spans="1:23" ht="15.75" customHeight="1" x14ac:dyDescent="0.25">
      <c r="A523" s="5" t="s">
        <v>855</v>
      </c>
      <c r="B523" s="6">
        <v>45084</v>
      </c>
      <c r="C523" s="5" t="s">
        <v>856</v>
      </c>
      <c r="D523" s="5" t="s">
        <v>181</v>
      </c>
      <c r="E523" s="5" t="s">
        <v>60</v>
      </c>
      <c r="F523" s="5" t="s">
        <v>61</v>
      </c>
      <c r="G523" s="5" t="s">
        <v>106</v>
      </c>
      <c r="H523" s="5" t="s">
        <v>98</v>
      </c>
      <c r="I523" s="5" t="s">
        <v>107</v>
      </c>
      <c r="J523" s="5">
        <v>547</v>
      </c>
      <c r="K523" s="7">
        <v>819.79148914942141</v>
      </c>
      <c r="L523" s="5">
        <v>4</v>
      </c>
      <c r="M523" s="5">
        <v>15</v>
      </c>
      <c r="N523" s="8">
        <f t="shared" si="0"/>
        <v>2787.2910631080326</v>
      </c>
      <c r="O523" s="5">
        <f t="shared" si="1"/>
        <v>2188</v>
      </c>
      <c r="P523" s="5">
        <f t="shared" si="2"/>
        <v>599.29106310803263</v>
      </c>
      <c r="Q523" s="5" t="s">
        <v>39</v>
      </c>
      <c r="R523" s="5" t="s">
        <v>56</v>
      </c>
      <c r="T523" s="5">
        <v>10</v>
      </c>
      <c r="U523" s="5">
        <v>1</v>
      </c>
      <c r="W523" s="5">
        <f t="shared" si="3"/>
        <v>0</v>
      </c>
    </row>
    <row r="524" spans="1:23" ht="15.75" customHeight="1" x14ac:dyDescent="0.25">
      <c r="A524" s="5" t="s">
        <v>857</v>
      </c>
      <c r="B524" s="6">
        <v>45084</v>
      </c>
      <c r="C524" s="5" t="s">
        <v>532</v>
      </c>
      <c r="D524" s="5" t="s">
        <v>208</v>
      </c>
      <c r="E524" s="5" t="s">
        <v>69</v>
      </c>
      <c r="F524" s="5" t="s">
        <v>55</v>
      </c>
      <c r="G524" s="5" t="s">
        <v>75</v>
      </c>
      <c r="H524" s="5" t="s">
        <v>76</v>
      </c>
      <c r="I524" s="5" t="s">
        <v>77</v>
      </c>
      <c r="J524" s="5">
        <v>1602</v>
      </c>
      <c r="K524" s="7">
        <v>2648.0484609008145</v>
      </c>
      <c r="L524" s="5">
        <v>2</v>
      </c>
      <c r="M524" s="5">
        <v>0</v>
      </c>
      <c r="N524" s="8">
        <f t="shared" si="0"/>
        <v>5296.0969218016289</v>
      </c>
      <c r="O524" s="5">
        <f t="shared" si="1"/>
        <v>3204</v>
      </c>
      <c r="P524" s="5">
        <f t="shared" si="2"/>
        <v>2092.0969218016289</v>
      </c>
      <c r="Q524" s="5" t="s">
        <v>31</v>
      </c>
      <c r="R524" s="5" t="s">
        <v>32</v>
      </c>
      <c r="S524" s="6">
        <v>45094</v>
      </c>
      <c r="T524" s="5">
        <v>3</v>
      </c>
      <c r="U524" s="5">
        <v>2</v>
      </c>
      <c r="V524" s="5" t="s">
        <v>33</v>
      </c>
      <c r="W524" s="5">
        <f t="shared" si="3"/>
        <v>0</v>
      </c>
    </row>
    <row r="525" spans="1:23" ht="15.75" customHeight="1" x14ac:dyDescent="0.25">
      <c r="A525" s="5" t="s">
        <v>858</v>
      </c>
      <c r="B525" s="6">
        <v>45084</v>
      </c>
      <c r="C525" s="5" t="s">
        <v>828</v>
      </c>
      <c r="D525" s="5" t="s">
        <v>138</v>
      </c>
      <c r="E525" s="5" t="s">
        <v>37</v>
      </c>
      <c r="F525" s="5" t="s">
        <v>38</v>
      </c>
      <c r="G525" s="5" t="s">
        <v>119</v>
      </c>
      <c r="H525" s="5" t="s">
        <v>76</v>
      </c>
      <c r="I525" s="5" t="s">
        <v>120</v>
      </c>
      <c r="J525" s="5">
        <v>76914</v>
      </c>
      <c r="K525" s="7">
        <v>94079.217887648876</v>
      </c>
      <c r="L525" s="5">
        <v>1</v>
      </c>
      <c r="M525" s="5">
        <v>5</v>
      </c>
      <c r="N525" s="8">
        <f t="shared" si="0"/>
        <v>89375.256993266434</v>
      </c>
      <c r="O525" s="5">
        <f t="shared" si="1"/>
        <v>76914</v>
      </c>
      <c r="P525" s="5">
        <f t="shared" si="2"/>
        <v>12461.256993266434</v>
      </c>
      <c r="Q525" s="5" t="s">
        <v>31</v>
      </c>
      <c r="R525" s="5" t="s">
        <v>32</v>
      </c>
      <c r="S525" s="6">
        <v>45088</v>
      </c>
      <c r="T525" s="5">
        <v>1</v>
      </c>
      <c r="U525" s="5">
        <v>4</v>
      </c>
      <c r="V525" s="5" t="s">
        <v>33</v>
      </c>
      <c r="W525" s="5">
        <f t="shared" si="3"/>
        <v>0</v>
      </c>
    </row>
    <row r="526" spans="1:23" ht="15.75" customHeight="1" x14ac:dyDescent="0.25">
      <c r="A526" s="5" t="s">
        <v>859</v>
      </c>
      <c r="B526" s="6">
        <v>45084</v>
      </c>
      <c r="C526" s="5" t="s">
        <v>396</v>
      </c>
      <c r="D526" s="5" t="s">
        <v>146</v>
      </c>
      <c r="E526" s="5" t="s">
        <v>37</v>
      </c>
      <c r="F526" s="5" t="s">
        <v>38</v>
      </c>
      <c r="G526" s="5" t="s">
        <v>124</v>
      </c>
      <c r="H526" s="5" t="s">
        <v>76</v>
      </c>
      <c r="I526" s="5" t="s">
        <v>125</v>
      </c>
      <c r="J526" s="5">
        <v>58194</v>
      </c>
      <c r="K526" s="7">
        <v>93789.939189010154</v>
      </c>
      <c r="L526" s="5">
        <v>4</v>
      </c>
      <c r="M526" s="5">
        <v>10</v>
      </c>
      <c r="N526" s="8">
        <f t="shared" si="0"/>
        <v>337643.78108043654</v>
      </c>
      <c r="O526" s="5">
        <f t="shared" si="1"/>
        <v>232776</v>
      </c>
      <c r="P526" s="5">
        <f t="shared" si="2"/>
        <v>104867.78108043654</v>
      </c>
      <c r="Q526" s="5" t="s">
        <v>31</v>
      </c>
      <c r="R526" s="5" t="s">
        <v>32</v>
      </c>
      <c r="S526" s="6">
        <v>45090</v>
      </c>
      <c r="T526" s="5">
        <v>1</v>
      </c>
      <c r="U526" s="5">
        <v>5</v>
      </c>
      <c r="V526" s="5" t="s">
        <v>33</v>
      </c>
      <c r="W526" s="5">
        <f t="shared" si="3"/>
        <v>0</v>
      </c>
    </row>
    <row r="527" spans="1:23" ht="15.75" customHeight="1" x14ac:dyDescent="0.25">
      <c r="A527" s="5" t="s">
        <v>860</v>
      </c>
      <c r="B527" s="6">
        <v>45085</v>
      </c>
      <c r="C527" s="5" t="s">
        <v>318</v>
      </c>
      <c r="D527" s="5" t="s">
        <v>86</v>
      </c>
      <c r="E527" s="5" t="s">
        <v>69</v>
      </c>
      <c r="F527" s="5" t="s">
        <v>55</v>
      </c>
      <c r="G527" s="5" t="s">
        <v>28</v>
      </c>
      <c r="H527" s="5" t="s">
        <v>29</v>
      </c>
      <c r="I527" s="5" t="s">
        <v>30</v>
      </c>
      <c r="J527" s="5">
        <v>3888</v>
      </c>
      <c r="K527" s="7">
        <v>6631.0492163053714</v>
      </c>
      <c r="L527" s="5">
        <v>5</v>
      </c>
      <c r="M527" s="5">
        <v>10</v>
      </c>
      <c r="N527" s="8">
        <f t="shared" si="0"/>
        <v>29839.721473374171</v>
      </c>
      <c r="O527" s="5">
        <f t="shared" si="1"/>
        <v>19440</v>
      </c>
      <c r="P527" s="5">
        <f t="shared" si="2"/>
        <v>10399.721473374171</v>
      </c>
      <c r="Q527" s="5" t="s">
        <v>31</v>
      </c>
      <c r="R527" s="5" t="s">
        <v>56</v>
      </c>
      <c r="T527" s="5">
        <v>10</v>
      </c>
      <c r="U527" s="5">
        <v>1</v>
      </c>
      <c r="W527" s="5">
        <f t="shared" si="3"/>
        <v>0</v>
      </c>
    </row>
    <row r="528" spans="1:23" ht="15.75" customHeight="1" x14ac:dyDescent="0.25">
      <c r="A528" s="5" t="s">
        <v>861</v>
      </c>
      <c r="B528" s="6">
        <v>45085</v>
      </c>
      <c r="C528" s="5" t="s">
        <v>862</v>
      </c>
      <c r="D528" s="5" t="s">
        <v>181</v>
      </c>
      <c r="E528" s="5" t="s">
        <v>60</v>
      </c>
      <c r="F528" s="5" t="s">
        <v>61</v>
      </c>
      <c r="G528" s="5" t="s">
        <v>92</v>
      </c>
      <c r="H528" s="5" t="s">
        <v>44</v>
      </c>
      <c r="I528" s="5" t="s">
        <v>45</v>
      </c>
      <c r="J528" s="5">
        <v>902</v>
      </c>
      <c r="K528" s="7">
        <v>1535.2282946284522</v>
      </c>
      <c r="L528" s="5">
        <v>1</v>
      </c>
      <c r="M528" s="5">
        <v>20</v>
      </c>
      <c r="N528" s="8">
        <f t="shared" si="0"/>
        <v>1228.1826357027619</v>
      </c>
      <c r="O528" s="5">
        <f t="shared" si="1"/>
        <v>902</v>
      </c>
      <c r="P528" s="5">
        <f t="shared" si="2"/>
        <v>326.1826357027619</v>
      </c>
      <c r="Q528" s="5" t="s">
        <v>83</v>
      </c>
      <c r="R528" s="5" t="s">
        <v>56</v>
      </c>
      <c r="T528" s="5">
        <v>9</v>
      </c>
      <c r="U528" s="5">
        <v>1</v>
      </c>
      <c r="W528" s="5">
        <f t="shared" si="3"/>
        <v>0</v>
      </c>
    </row>
    <row r="529" spans="1:23" ht="15.75" customHeight="1" x14ac:dyDescent="0.25">
      <c r="A529" s="5" t="s">
        <v>863</v>
      </c>
      <c r="B529" s="6">
        <v>45086</v>
      </c>
      <c r="C529" s="5" t="s">
        <v>176</v>
      </c>
      <c r="D529" s="5" t="s">
        <v>36</v>
      </c>
      <c r="E529" s="5" t="s">
        <v>26</v>
      </c>
      <c r="F529" s="5" t="s">
        <v>27</v>
      </c>
      <c r="G529" s="5" t="s">
        <v>97</v>
      </c>
      <c r="H529" s="5" t="s">
        <v>98</v>
      </c>
      <c r="I529" s="5" t="s">
        <v>99</v>
      </c>
      <c r="J529" s="5">
        <v>507</v>
      </c>
      <c r="K529" s="7">
        <v>638.51955824410004</v>
      </c>
      <c r="L529" s="5">
        <v>3</v>
      </c>
      <c r="M529" s="5">
        <v>0</v>
      </c>
      <c r="N529" s="8">
        <f t="shared" si="0"/>
        <v>1915.5586747323</v>
      </c>
      <c r="O529" s="5">
        <f t="shared" si="1"/>
        <v>1521</v>
      </c>
      <c r="P529" s="5">
        <f t="shared" si="2"/>
        <v>394.55867473230001</v>
      </c>
      <c r="Q529" s="5" t="s">
        <v>31</v>
      </c>
      <c r="R529" s="5" t="s">
        <v>56</v>
      </c>
      <c r="T529" s="5">
        <v>8</v>
      </c>
      <c r="U529" s="5">
        <v>4</v>
      </c>
      <c r="W529" s="5">
        <f t="shared" si="3"/>
        <v>0</v>
      </c>
    </row>
    <row r="530" spans="1:23" ht="15.75" customHeight="1" x14ac:dyDescent="0.25">
      <c r="A530" s="5" t="s">
        <v>864</v>
      </c>
      <c r="B530" s="6">
        <v>45086</v>
      </c>
      <c r="C530" s="5" t="s">
        <v>257</v>
      </c>
      <c r="D530" s="5" t="s">
        <v>102</v>
      </c>
      <c r="E530" s="5" t="s">
        <v>112</v>
      </c>
      <c r="F530" s="5" t="s">
        <v>113</v>
      </c>
      <c r="G530" s="5" t="s">
        <v>43</v>
      </c>
      <c r="H530" s="5" t="s">
        <v>44</v>
      </c>
      <c r="I530" s="5" t="s">
        <v>45</v>
      </c>
      <c r="J530" s="5">
        <v>430</v>
      </c>
      <c r="K530" s="7">
        <v>765.559070587267</v>
      </c>
      <c r="L530" s="5">
        <v>5</v>
      </c>
      <c r="M530" s="5">
        <v>15</v>
      </c>
      <c r="N530" s="8">
        <f t="shared" si="0"/>
        <v>3253.6260499958844</v>
      </c>
      <c r="O530" s="5">
        <f t="shared" si="1"/>
        <v>2150</v>
      </c>
      <c r="P530" s="5">
        <f t="shared" si="2"/>
        <v>1103.6260499958844</v>
      </c>
      <c r="Q530" s="5" t="s">
        <v>39</v>
      </c>
      <c r="R530" s="5" t="s">
        <v>32</v>
      </c>
      <c r="S530" s="6">
        <v>45097</v>
      </c>
      <c r="T530" s="5">
        <v>6</v>
      </c>
      <c r="U530" s="5">
        <v>4</v>
      </c>
      <c r="V530" s="5" t="s">
        <v>89</v>
      </c>
      <c r="W530" s="5">
        <f t="shared" si="3"/>
        <v>1</v>
      </c>
    </row>
    <row r="531" spans="1:23" ht="15.75" customHeight="1" x14ac:dyDescent="0.25">
      <c r="A531" s="5" t="s">
        <v>865</v>
      </c>
      <c r="B531" s="6">
        <v>45087</v>
      </c>
      <c r="C531" s="5" t="s">
        <v>584</v>
      </c>
      <c r="D531" s="5" t="s">
        <v>148</v>
      </c>
      <c r="E531" s="5" t="s">
        <v>49</v>
      </c>
      <c r="F531" s="5" t="s">
        <v>50</v>
      </c>
      <c r="G531" s="5" t="s">
        <v>28</v>
      </c>
      <c r="H531" s="5" t="s">
        <v>29</v>
      </c>
      <c r="I531" s="5" t="s">
        <v>30</v>
      </c>
      <c r="J531" s="5">
        <v>4634</v>
      </c>
      <c r="K531" s="7">
        <v>5175.4520070952958</v>
      </c>
      <c r="L531" s="5">
        <v>1</v>
      </c>
      <c r="M531" s="5">
        <v>20</v>
      </c>
      <c r="N531" s="8">
        <f t="shared" si="0"/>
        <v>4140.3616056762366</v>
      </c>
      <c r="O531" s="5">
        <f t="shared" si="1"/>
        <v>4634</v>
      </c>
      <c r="P531" s="5">
        <f t="shared" si="2"/>
        <v>-493.63839432376335</v>
      </c>
      <c r="Q531" s="5" t="s">
        <v>39</v>
      </c>
      <c r="R531" s="5" t="s">
        <v>32</v>
      </c>
      <c r="S531" s="6">
        <v>45092</v>
      </c>
      <c r="T531" s="5">
        <v>2</v>
      </c>
      <c r="U531" s="5">
        <v>4</v>
      </c>
      <c r="V531" s="5" t="s">
        <v>33</v>
      </c>
      <c r="W531" s="5">
        <f t="shared" si="3"/>
        <v>0</v>
      </c>
    </row>
    <row r="532" spans="1:23" ht="15.75" customHeight="1" x14ac:dyDescent="0.25">
      <c r="A532" s="5" t="s">
        <v>866</v>
      </c>
      <c r="B532" s="6">
        <v>45087</v>
      </c>
      <c r="C532" s="5" t="s">
        <v>526</v>
      </c>
      <c r="D532" s="5" t="s">
        <v>208</v>
      </c>
      <c r="E532" s="5" t="s">
        <v>26</v>
      </c>
      <c r="F532" s="5" t="s">
        <v>27</v>
      </c>
      <c r="G532" s="5" t="s">
        <v>87</v>
      </c>
      <c r="H532" s="5" t="s">
        <v>29</v>
      </c>
      <c r="I532" s="5" t="s">
        <v>88</v>
      </c>
      <c r="J532" s="5">
        <v>58994</v>
      </c>
      <c r="K532" s="7">
        <v>71232.329447805663</v>
      </c>
      <c r="L532" s="5">
        <v>2</v>
      </c>
      <c r="M532" s="5">
        <v>5</v>
      </c>
      <c r="N532" s="8">
        <f t="shared" si="0"/>
        <v>135341.42595083074</v>
      </c>
      <c r="O532" s="5">
        <f t="shared" si="1"/>
        <v>117988</v>
      </c>
      <c r="P532" s="5">
        <f t="shared" si="2"/>
        <v>17353.425950830744</v>
      </c>
      <c r="Q532" s="5" t="s">
        <v>39</v>
      </c>
      <c r="R532" s="5" t="s">
        <v>32</v>
      </c>
      <c r="S532" s="6">
        <v>45094</v>
      </c>
      <c r="T532" s="5">
        <v>1</v>
      </c>
      <c r="U532" s="5">
        <v>5</v>
      </c>
      <c r="V532" s="5" t="s">
        <v>33</v>
      </c>
      <c r="W532" s="5">
        <f t="shared" si="3"/>
        <v>0</v>
      </c>
    </row>
    <row r="533" spans="1:23" ht="15.75" customHeight="1" x14ac:dyDescent="0.25">
      <c r="A533" s="5" t="s">
        <v>867</v>
      </c>
      <c r="B533" s="6">
        <v>45088</v>
      </c>
      <c r="C533" s="5" t="s">
        <v>868</v>
      </c>
      <c r="D533" s="5" t="s">
        <v>181</v>
      </c>
      <c r="E533" s="5" t="s">
        <v>49</v>
      </c>
      <c r="F533" s="5" t="s">
        <v>50</v>
      </c>
      <c r="G533" s="5" t="s">
        <v>87</v>
      </c>
      <c r="H533" s="5" t="s">
        <v>29</v>
      </c>
      <c r="I533" s="5" t="s">
        <v>88</v>
      </c>
      <c r="J533" s="5">
        <v>48474</v>
      </c>
      <c r="K533" s="7">
        <v>61037.100823029446</v>
      </c>
      <c r="L533" s="5">
        <v>3</v>
      </c>
      <c r="M533" s="5">
        <v>0</v>
      </c>
      <c r="N533" s="8">
        <f t="shared" si="0"/>
        <v>183111.30246908835</v>
      </c>
      <c r="O533" s="5">
        <f t="shared" si="1"/>
        <v>145422</v>
      </c>
      <c r="P533" s="5">
        <f t="shared" si="2"/>
        <v>37689.302469088347</v>
      </c>
      <c r="Q533" s="5" t="s">
        <v>83</v>
      </c>
      <c r="R533" s="5" t="s">
        <v>32</v>
      </c>
      <c r="S533" s="6">
        <v>45092</v>
      </c>
      <c r="T533" s="5">
        <v>1</v>
      </c>
      <c r="U533" s="5">
        <v>4</v>
      </c>
      <c r="V533" s="5" t="s">
        <v>33</v>
      </c>
      <c r="W533" s="5">
        <f t="shared" si="3"/>
        <v>0</v>
      </c>
    </row>
    <row r="534" spans="1:23" ht="15.75" customHeight="1" x14ac:dyDescent="0.25">
      <c r="A534" s="5" t="s">
        <v>869</v>
      </c>
      <c r="B534" s="6">
        <v>45088</v>
      </c>
      <c r="C534" s="5" t="s">
        <v>216</v>
      </c>
      <c r="D534" s="5" t="s">
        <v>148</v>
      </c>
      <c r="E534" s="5" t="s">
        <v>80</v>
      </c>
      <c r="F534" s="5" t="s">
        <v>80</v>
      </c>
      <c r="G534" s="5" t="s">
        <v>106</v>
      </c>
      <c r="H534" s="5" t="s">
        <v>98</v>
      </c>
      <c r="I534" s="5" t="s">
        <v>107</v>
      </c>
      <c r="J534" s="5">
        <v>820</v>
      </c>
      <c r="K534" s="7">
        <v>1367.0978030115846</v>
      </c>
      <c r="L534" s="5">
        <v>3</v>
      </c>
      <c r="M534" s="5">
        <v>0</v>
      </c>
      <c r="N534" s="8">
        <f t="shared" si="0"/>
        <v>4101.2934090347535</v>
      </c>
      <c r="O534" s="5">
        <f t="shared" si="1"/>
        <v>2460</v>
      </c>
      <c r="P534" s="5">
        <f t="shared" si="2"/>
        <v>1641.2934090347535</v>
      </c>
      <c r="Q534" s="5" t="s">
        <v>83</v>
      </c>
      <c r="R534" s="5" t="s">
        <v>32</v>
      </c>
      <c r="S534" s="6">
        <v>45094</v>
      </c>
      <c r="T534" s="5">
        <v>3</v>
      </c>
      <c r="U534" s="5">
        <v>3</v>
      </c>
      <c r="V534" s="5" t="s">
        <v>33</v>
      </c>
      <c r="W534" s="5">
        <f t="shared" si="3"/>
        <v>0</v>
      </c>
    </row>
    <row r="535" spans="1:23" ht="15.75" customHeight="1" x14ac:dyDescent="0.25">
      <c r="A535" s="5" t="s">
        <v>870</v>
      </c>
      <c r="B535" s="6">
        <v>45088</v>
      </c>
      <c r="C535" s="5" t="s">
        <v>309</v>
      </c>
      <c r="D535" s="5" t="s">
        <v>102</v>
      </c>
      <c r="E535" s="5" t="s">
        <v>69</v>
      </c>
      <c r="F535" s="5" t="s">
        <v>55</v>
      </c>
      <c r="G535" s="5" t="s">
        <v>70</v>
      </c>
      <c r="H535" s="5" t="s">
        <v>44</v>
      </c>
      <c r="I535" s="5" t="s">
        <v>71</v>
      </c>
      <c r="J535" s="5">
        <v>1358</v>
      </c>
      <c r="K535" s="7">
        <v>2057.1557941508804</v>
      </c>
      <c r="L535" s="5">
        <v>5</v>
      </c>
      <c r="M535" s="5">
        <v>5</v>
      </c>
      <c r="N535" s="8">
        <f t="shared" si="0"/>
        <v>9771.4900222166816</v>
      </c>
      <c r="O535" s="5">
        <f t="shared" si="1"/>
        <v>6790</v>
      </c>
      <c r="P535" s="5">
        <f t="shared" si="2"/>
        <v>2981.4900222166816</v>
      </c>
      <c r="Q535" s="5" t="s">
        <v>39</v>
      </c>
      <c r="R535" s="5" t="s">
        <v>32</v>
      </c>
      <c r="S535" s="6">
        <v>45097</v>
      </c>
      <c r="T535" s="5">
        <v>4</v>
      </c>
      <c r="U535" s="5">
        <v>4</v>
      </c>
      <c r="V535" s="5" t="s">
        <v>33</v>
      </c>
      <c r="W535" s="5">
        <f t="shared" si="3"/>
        <v>0</v>
      </c>
    </row>
    <row r="536" spans="1:23" ht="15.75" customHeight="1" x14ac:dyDescent="0.25">
      <c r="A536" s="5" t="s">
        <v>871</v>
      </c>
      <c r="B536" s="6">
        <v>45089</v>
      </c>
      <c r="C536" s="5" t="s">
        <v>368</v>
      </c>
      <c r="D536" s="5" t="s">
        <v>64</v>
      </c>
      <c r="E536" s="5" t="s">
        <v>49</v>
      </c>
      <c r="F536" s="5" t="s">
        <v>50</v>
      </c>
      <c r="G536" s="5" t="s">
        <v>75</v>
      </c>
      <c r="H536" s="5" t="s">
        <v>76</v>
      </c>
      <c r="I536" s="5" t="s">
        <v>77</v>
      </c>
      <c r="J536" s="5">
        <v>1224</v>
      </c>
      <c r="K536" s="7">
        <v>1320.7022249864706</v>
      </c>
      <c r="L536" s="5">
        <v>1</v>
      </c>
      <c r="M536" s="5">
        <v>10</v>
      </c>
      <c r="N536" s="8">
        <f t="shared" si="0"/>
        <v>1188.6320024878235</v>
      </c>
      <c r="O536" s="5">
        <f t="shared" si="1"/>
        <v>1224</v>
      </c>
      <c r="P536" s="5">
        <f t="shared" si="2"/>
        <v>-35.367997512176544</v>
      </c>
      <c r="Q536" s="5" t="s">
        <v>39</v>
      </c>
      <c r="R536" s="5" t="s">
        <v>32</v>
      </c>
      <c r="S536" s="6">
        <v>45099</v>
      </c>
      <c r="T536" s="5">
        <v>5</v>
      </c>
      <c r="U536" s="5">
        <v>4</v>
      </c>
      <c r="V536" s="5" t="s">
        <v>33</v>
      </c>
      <c r="W536" s="5">
        <f t="shared" si="3"/>
        <v>0</v>
      </c>
    </row>
    <row r="537" spans="1:23" ht="15.75" customHeight="1" x14ac:dyDescent="0.25">
      <c r="A537" s="5" t="s">
        <v>872</v>
      </c>
      <c r="B537" s="6">
        <v>45089</v>
      </c>
      <c r="C537" s="5" t="s">
        <v>290</v>
      </c>
      <c r="D537" s="5" t="s">
        <v>25</v>
      </c>
      <c r="E537" s="5" t="s">
        <v>54</v>
      </c>
      <c r="F537" s="5" t="s">
        <v>55</v>
      </c>
      <c r="G537" s="5" t="s">
        <v>124</v>
      </c>
      <c r="H537" s="5" t="s">
        <v>76</v>
      </c>
      <c r="I537" s="5" t="s">
        <v>125</v>
      </c>
      <c r="J537" s="5">
        <v>58595</v>
      </c>
      <c r="K537" s="7">
        <v>67083.850417948182</v>
      </c>
      <c r="L537" s="5">
        <v>3</v>
      </c>
      <c r="M537" s="5">
        <v>10</v>
      </c>
      <c r="N537" s="8">
        <f t="shared" si="0"/>
        <v>181126.3961284601</v>
      </c>
      <c r="O537" s="5">
        <f t="shared" si="1"/>
        <v>175785</v>
      </c>
      <c r="P537" s="5">
        <f t="shared" si="2"/>
        <v>5341.3961284600955</v>
      </c>
      <c r="Q537" s="5" t="s">
        <v>46</v>
      </c>
      <c r="R537" s="5" t="s">
        <v>32</v>
      </c>
      <c r="S537" s="6">
        <v>45098</v>
      </c>
      <c r="T537" s="5">
        <v>6</v>
      </c>
      <c r="U537" s="5">
        <v>3</v>
      </c>
      <c r="V537" s="5" t="s">
        <v>33</v>
      </c>
      <c r="W537" s="5">
        <f t="shared" si="3"/>
        <v>0</v>
      </c>
    </row>
    <row r="538" spans="1:23" ht="15.75" customHeight="1" x14ac:dyDescent="0.25">
      <c r="A538" s="5" t="s">
        <v>873</v>
      </c>
      <c r="B538" s="6">
        <v>45089</v>
      </c>
      <c r="C538" s="5" t="s">
        <v>474</v>
      </c>
      <c r="D538" s="5" t="s">
        <v>150</v>
      </c>
      <c r="E538" s="5" t="s">
        <v>49</v>
      </c>
      <c r="F538" s="5" t="s">
        <v>50</v>
      </c>
      <c r="G538" s="5" t="s">
        <v>43</v>
      </c>
      <c r="H538" s="5" t="s">
        <v>44</v>
      </c>
      <c r="I538" s="5" t="s">
        <v>45</v>
      </c>
      <c r="J538" s="5">
        <v>588</v>
      </c>
      <c r="K538" s="7">
        <v>1029.3327760922498</v>
      </c>
      <c r="L538" s="5">
        <v>4</v>
      </c>
      <c r="M538" s="5">
        <v>10</v>
      </c>
      <c r="N538" s="8">
        <f t="shared" si="0"/>
        <v>3705.5979939320991</v>
      </c>
      <c r="O538" s="5">
        <f t="shared" si="1"/>
        <v>2352</v>
      </c>
      <c r="P538" s="5">
        <f t="shared" si="2"/>
        <v>1353.5979939320991</v>
      </c>
      <c r="Q538" s="5" t="s">
        <v>39</v>
      </c>
      <c r="R538" s="5" t="s">
        <v>32</v>
      </c>
      <c r="S538" s="6">
        <v>45100</v>
      </c>
      <c r="T538" s="5">
        <v>4</v>
      </c>
      <c r="U538" s="5">
        <v>3</v>
      </c>
      <c r="V538" s="5" t="s">
        <v>33</v>
      </c>
      <c r="W538" s="5">
        <f t="shared" si="3"/>
        <v>0</v>
      </c>
    </row>
    <row r="539" spans="1:23" ht="15.75" customHeight="1" x14ac:dyDescent="0.25">
      <c r="A539" s="5" t="s">
        <v>874</v>
      </c>
      <c r="B539" s="6">
        <v>45090</v>
      </c>
      <c r="C539" s="5" t="s">
        <v>808</v>
      </c>
      <c r="D539" s="5" t="s">
        <v>105</v>
      </c>
      <c r="E539" s="5" t="s">
        <v>37</v>
      </c>
      <c r="F539" s="5" t="s">
        <v>38</v>
      </c>
      <c r="G539" s="5" t="s">
        <v>92</v>
      </c>
      <c r="H539" s="5" t="s">
        <v>44</v>
      </c>
      <c r="I539" s="5" t="s">
        <v>45</v>
      </c>
      <c r="J539" s="5">
        <v>999</v>
      </c>
      <c r="K539" s="7">
        <v>1576.7656593451861</v>
      </c>
      <c r="L539" s="5">
        <v>3</v>
      </c>
      <c r="M539" s="5">
        <v>10</v>
      </c>
      <c r="N539" s="8">
        <f t="shared" si="0"/>
        <v>4257.2672802320021</v>
      </c>
      <c r="O539" s="5">
        <f t="shared" si="1"/>
        <v>2997</v>
      </c>
      <c r="P539" s="5">
        <f t="shared" si="2"/>
        <v>1260.2672802320021</v>
      </c>
      <c r="Q539" s="5" t="s">
        <v>46</v>
      </c>
      <c r="R539" s="5" t="s">
        <v>56</v>
      </c>
      <c r="T539" s="5">
        <v>8</v>
      </c>
      <c r="U539" s="5">
        <v>3</v>
      </c>
      <c r="W539" s="5">
        <f t="shared" si="3"/>
        <v>0</v>
      </c>
    </row>
    <row r="540" spans="1:23" ht="15.75" customHeight="1" x14ac:dyDescent="0.25">
      <c r="A540" s="5" t="s">
        <v>875</v>
      </c>
      <c r="B540" s="6">
        <v>45090</v>
      </c>
      <c r="C540" s="5" t="s">
        <v>811</v>
      </c>
      <c r="D540" s="5" t="s">
        <v>86</v>
      </c>
      <c r="E540" s="5" t="s">
        <v>69</v>
      </c>
      <c r="F540" s="5" t="s">
        <v>55</v>
      </c>
      <c r="G540" s="5" t="s">
        <v>70</v>
      </c>
      <c r="H540" s="5" t="s">
        <v>44</v>
      </c>
      <c r="I540" s="5" t="s">
        <v>71</v>
      </c>
      <c r="J540" s="5">
        <v>1711</v>
      </c>
      <c r="K540" s="7">
        <v>2418.6418106612718</v>
      </c>
      <c r="L540" s="5">
        <v>3</v>
      </c>
      <c r="M540" s="5">
        <v>0</v>
      </c>
      <c r="N540" s="8">
        <f t="shared" si="0"/>
        <v>7255.9254319838155</v>
      </c>
      <c r="O540" s="5">
        <f t="shared" si="1"/>
        <v>5133</v>
      </c>
      <c r="P540" s="5">
        <f t="shared" si="2"/>
        <v>2122.9254319838155</v>
      </c>
      <c r="Q540" s="5" t="s">
        <v>83</v>
      </c>
      <c r="R540" s="5" t="s">
        <v>32</v>
      </c>
      <c r="S540" s="6">
        <v>45099</v>
      </c>
      <c r="T540" s="5">
        <v>2</v>
      </c>
      <c r="U540" s="5">
        <v>4</v>
      </c>
      <c r="V540" s="5" t="s">
        <v>33</v>
      </c>
      <c r="W540" s="5">
        <f t="shared" si="3"/>
        <v>0</v>
      </c>
    </row>
    <row r="541" spans="1:23" ht="15.75" customHeight="1" x14ac:dyDescent="0.25">
      <c r="A541" s="5" t="s">
        <v>876</v>
      </c>
      <c r="B541" s="6">
        <v>45090</v>
      </c>
      <c r="C541" s="5" t="s">
        <v>263</v>
      </c>
      <c r="D541" s="5" t="s">
        <v>74</v>
      </c>
      <c r="E541" s="5" t="s">
        <v>80</v>
      </c>
      <c r="F541" s="5" t="s">
        <v>80</v>
      </c>
      <c r="G541" s="5" t="s">
        <v>119</v>
      </c>
      <c r="H541" s="5" t="s">
        <v>76</v>
      </c>
      <c r="I541" s="5" t="s">
        <v>120</v>
      </c>
      <c r="J541" s="5">
        <v>61628</v>
      </c>
      <c r="K541" s="7">
        <v>108571.70540233895</v>
      </c>
      <c r="L541" s="5">
        <v>3</v>
      </c>
      <c r="M541" s="5">
        <v>5</v>
      </c>
      <c r="N541" s="8">
        <f t="shared" si="0"/>
        <v>309429.36039666599</v>
      </c>
      <c r="O541" s="5">
        <f t="shared" si="1"/>
        <v>184884</v>
      </c>
      <c r="P541" s="5">
        <f t="shared" si="2"/>
        <v>124545.36039666599</v>
      </c>
      <c r="Q541" s="5" t="s">
        <v>83</v>
      </c>
      <c r="R541" s="5" t="s">
        <v>56</v>
      </c>
      <c r="T541" s="5">
        <v>8</v>
      </c>
      <c r="U541" s="5">
        <v>2</v>
      </c>
      <c r="W541" s="5">
        <f t="shared" si="3"/>
        <v>0</v>
      </c>
    </row>
    <row r="542" spans="1:23" ht="15.75" customHeight="1" x14ac:dyDescent="0.25">
      <c r="A542" s="5" t="s">
        <v>877</v>
      </c>
      <c r="B542" s="6">
        <v>45091</v>
      </c>
      <c r="C542" s="5" t="s">
        <v>413</v>
      </c>
      <c r="D542" s="5" t="s">
        <v>135</v>
      </c>
      <c r="E542" s="5" t="s">
        <v>80</v>
      </c>
      <c r="F542" s="5" t="s">
        <v>80</v>
      </c>
      <c r="G542" s="5" t="s">
        <v>97</v>
      </c>
      <c r="H542" s="5" t="s">
        <v>98</v>
      </c>
      <c r="I542" s="5" t="s">
        <v>99</v>
      </c>
      <c r="J542" s="5">
        <v>322</v>
      </c>
      <c r="K542" s="7">
        <v>459.52902086113721</v>
      </c>
      <c r="L542" s="5">
        <v>2</v>
      </c>
      <c r="M542" s="5">
        <v>0</v>
      </c>
      <c r="N542" s="8">
        <f t="shared" si="0"/>
        <v>919.05804172227442</v>
      </c>
      <c r="O542" s="5">
        <f t="shared" si="1"/>
        <v>644</v>
      </c>
      <c r="P542" s="5">
        <f t="shared" si="2"/>
        <v>275.05804172227442</v>
      </c>
      <c r="Q542" s="5" t="s">
        <v>83</v>
      </c>
      <c r="R542" s="5" t="s">
        <v>56</v>
      </c>
      <c r="T542" s="5">
        <v>8</v>
      </c>
      <c r="U542" s="5">
        <v>2</v>
      </c>
      <c r="W542" s="5">
        <f t="shared" si="3"/>
        <v>0</v>
      </c>
    </row>
    <row r="543" spans="1:23" ht="15.75" customHeight="1" x14ac:dyDescent="0.25">
      <c r="A543" s="5" t="s">
        <v>878</v>
      </c>
      <c r="B543" s="6">
        <v>45091</v>
      </c>
      <c r="C543" s="5" t="s">
        <v>457</v>
      </c>
      <c r="D543" s="5" t="s">
        <v>116</v>
      </c>
      <c r="E543" s="5" t="s">
        <v>112</v>
      </c>
      <c r="F543" s="5" t="s">
        <v>113</v>
      </c>
      <c r="G543" s="5" t="s">
        <v>81</v>
      </c>
      <c r="H543" s="5" t="s">
        <v>44</v>
      </c>
      <c r="I543" s="5" t="s">
        <v>82</v>
      </c>
      <c r="J543" s="5">
        <v>2806</v>
      </c>
      <c r="K543" s="7">
        <v>3643.2806404821667</v>
      </c>
      <c r="L543" s="5">
        <v>5</v>
      </c>
      <c r="M543" s="5">
        <v>10</v>
      </c>
      <c r="N543" s="8">
        <f t="shared" si="0"/>
        <v>16394.762882169751</v>
      </c>
      <c r="O543" s="5">
        <f t="shared" si="1"/>
        <v>14030</v>
      </c>
      <c r="P543" s="5">
        <f t="shared" si="2"/>
        <v>2364.7628821697508</v>
      </c>
      <c r="Q543" s="5" t="s">
        <v>39</v>
      </c>
      <c r="R543" s="5" t="s">
        <v>56</v>
      </c>
      <c r="T543" s="5">
        <v>8</v>
      </c>
      <c r="U543" s="5">
        <v>2</v>
      </c>
      <c r="W543" s="5">
        <f t="shared" si="3"/>
        <v>0</v>
      </c>
    </row>
    <row r="544" spans="1:23" ht="15.75" customHeight="1" x14ac:dyDescent="0.25">
      <c r="A544" s="5" t="s">
        <v>879</v>
      </c>
      <c r="B544" s="6">
        <v>45091</v>
      </c>
      <c r="C544" s="5" t="s">
        <v>692</v>
      </c>
      <c r="D544" s="5" t="s">
        <v>148</v>
      </c>
      <c r="E544" s="5" t="s">
        <v>69</v>
      </c>
      <c r="F544" s="5" t="s">
        <v>55</v>
      </c>
      <c r="G544" s="5" t="s">
        <v>81</v>
      </c>
      <c r="H544" s="5" t="s">
        <v>44</v>
      </c>
      <c r="I544" s="5" t="s">
        <v>82</v>
      </c>
      <c r="J544" s="5">
        <v>2066</v>
      </c>
      <c r="K544" s="7">
        <v>3003.1231519356361</v>
      </c>
      <c r="L544" s="5">
        <v>2</v>
      </c>
      <c r="M544" s="5">
        <v>20</v>
      </c>
      <c r="N544" s="8">
        <f t="shared" si="0"/>
        <v>4804.9970430970179</v>
      </c>
      <c r="O544" s="5">
        <f t="shared" si="1"/>
        <v>4132</v>
      </c>
      <c r="P544" s="5">
        <f t="shared" si="2"/>
        <v>672.99704309701792</v>
      </c>
      <c r="Q544" s="5" t="s">
        <v>31</v>
      </c>
      <c r="R544" s="5" t="s">
        <v>32</v>
      </c>
      <c r="S544" s="6">
        <v>45103</v>
      </c>
      <c r="T544" s="5">
        <v>6</v>
      </c>
      <c r="U544" s="5">
        <v>3</v>
      </c>
      <c r="V544" s="5" t="s">
        <v>33</v>
      </c>
      <c r="W544" s="5">
        <f t="shared" si="3"/>
        <v>0</v>
      </c>
    </row>
    <row r="545" spans="1:23" ht="15.75" customHeight="1" x14ac:dyDescent="0.25">
      <c r="A545" s="5" t="s">
        <v>880</v>
      </c>
      <c r="B545" s="6">
        <v>45091</v>
      </c>
      <c r="C545" s="5" t="s">
        <v>881</v>
      </c>
      <c r="D545" s="5" t="s">
        <v>208</v>
      </c>
      <c r="E545" s="5" t="s">
        <v>26</v>
      </c>
      <c r="F545" s="5" t="s">
        <v>27</v>
      </c>
      <c r="G545" s="5" t="s">
        <v>139</v>
      </c>
      <c r="H545" s="5" t="s">
        <v>76</v>
      </c>
      <c r="I545" s="5" t="s">
        <v>140</v>
      </c>
      <c r="J545" s="5">
        <v>30470</v>
      </c>
      <c r="K545" s="7">
        <v>40871.195157416165</v>
      </c>
      <c r="L545" s="5">
        <v>3</v>
      </c>
      <c r="M545" s="5">
        <v>20</v>
      </c>
      <c r="N545" s="8">
        <f t="shared" si="0"/>
        <v>98090.868377798804</v>
      </c>
      <c r="O545" s="5">
        <f t="shared" si="1"/>
        <v>91410</v>
      </c>
      <c r="P545" s="5">
        <f t="shared" si="2"/>
        <v>6680.8683777988044</v>
      </c>
      <c r="Q545" s="5" t="s">
        <v>31</v>
      </c>
      <c r="R545" s="5" t="s">
        <v>32</v>
      </c>
      <c r="S545" s="6">
        <v>45100</v>
      </c>
      <c r="T545" s="5">
        <v>5</v>
      </c>
      <c r="U545" s="5">
        <v>3</v>
      </c>
      <c r="V545" s="5" t="s">
        <v>33</v>
      </c>
      <c r="W545" s="5">
        <f t="shared" si="3"/>
        <v>0</v>
      </c>
    </row>
    <row r="546" spans="1:23" ht="15.75" customHeight="1" x14ac:dyDescent="0.25">
      <c r="A546" s="5" t="s">
        <v>882</v>
      </c>
      <c r="B546" s="6">
        <v>45093</v>
      </c>
      <c r="C546" s="5" t="s">
        <v>584</v>
      </c>
      <c r="D546" s="5" t="s">
        <v>188</v>
      </c>
      <c r="E546" s="5" t="s">
        <v>37</v>
      </c>
      <c r="F546" s="5" t="s">
        <v>38</v>
      </c>
      <c r="G546" s="5" t="s">
        <v>81</v>
      </c>
      <c r="H546" s="5" t="s">
        <v>44</v>
      </c>
      <c r="I546" s="5" t="s">
        <v>82</v>
      </c>
      <c r="J546" s="5">
        <v>2172</v>
      </c>
      <c r="K546" s="7">
        <v>3163.8024161631824</v>
      </c>
      <c r="L546" s="5">
        <v>1</v>
      </c>
      <c r="M546" s="5">
        <v>5</v>
      </c>
      <c r="N546" s="8">
        <f t="shared" si="0"/>
        <v>3005.612295355023</v>
      </c>
      <c r="O546" s="5">
        <f t="shared" si="1"/>
        <v>2172</v>
      </c>
      <c r="P546" s="5">
        <f t="shared" si="2"/>
        <v>833.61229535502298</v>
      </c>
      <c r="Q546" s="5" t="s">
        <v>83</v>
      </c>
      <c r="R546" s="5" t="s">
        <v>32</v>
      </c>
      <c r="S546" s="6">
        <v>45100</v>
      </c>
      <c r="T546" s="5">
        <v>1</v>
      </c>
      <c r="U546" s="5">
        <v>5</v>
      </c>
      <c r="V546" s="5" t="s">
        <v>33</v>
      </c>
      <c r="W546" s="5">
        <f t="shared" si="3"/>
        <v>0</v>
      </c>
    </row>
    <row r="547" spans="1:23" ht="15.75" customHeight="1" x14ac:dyDescent="0.25">
      <c r="A547" s="5" t="s">
        <v>883</v>
      </c>
      <c r="B547" s="6">
        <v>45093</v>
      </c>
      <c r="C547" s="5" t="s">
        <v>884</v>
      </c>
      <c r="D547" s="5" t="s">
        <v>181</v>
      </c>
      <c r="E547" s="5" t="s">
        <v>54</v>
      </c>
      <c r="F547" s="5" t="s">
        <v>55</v>
      </c>
      <c r="G547" s="5" t="s">
        <v>139</v>
      </c>
      <c r="H547" s="5" t="s">
        <v>76</v>
      </c>
      <c r="I547" s="5" t="s">
        <v>140</v>
      </c>
      <c r="J547" s="5">
        <v>31574</v>
      </c>
      <c r="K547" s="7">
        <v>39128.520702143025</v>
      </c>
      <c r="L547" s="5">
        <v>5</v>
      </c>
      <c r="M547" s="5">
        <v>0</v>
      </c>
      <c r="N547" s="8">
        <f t="shared" si="0"/>
        <v>195642.60351071513</v>
      </c>
      <c r="O547" s="5">
        <f t="shared" si="1"/>
        <v>157870</v>
      </c>
      <c r="P547" s="5">
        <f t="shared" si="2"/>
        <v>37772.603510715126</v>
      </c>
      <c r="Q547" s="5" t="s">
        <v>46</v>
      </c>
      <c r="R547" s="5" t="s">
        <v>32</v>
      </c>
      <c r="S547" s="6">
        <v>45103</v>
      </c>
      <c r="T547" s="5">
        <v>6</v>
      </c>
      <c r="U547" s="5">
        <v>3</v>
      </c>
      <c r="V547" s="5" t="s">
        <v>33</v>
      </c>
      <c r="W547" s="5">
        <f t="shared" si="3"/>
        <v>0</v>
      </c>
    </row>
    <row r="548" spans="1:23" ht="15.75" customHeight="1" x14ac:dyDescent="0.25">
      <c r="A548" s="5" t="s">
        <v>885</v>
      </c>
      <c r="B548" s="6">
        <v>45093</v>
      </c>
      <c r="C548" s="5" t="s">
        <v>886</v>
      </c>
      <c r="D548" s="5" t="s">
        <v>86</v>
      </c>
      <c r="E548" s="5" t="s">
        <v>69</v>
      </c>
      <c r="F548" s="5" t="s">
        <v>55</v>
      </c>
      <c r="G548" s="5" t="s">
        <v>81</v>
      </c>
      <c r="H548" s="5" t="s">
        <v>44</v>
      </c>
      <c r="I548" s="5" t="s">
        <v>82</v>
      </c>
      <c r="J548" s="5">
        <v>822</v>
      </c>
      <c r="K548" s="7">
        <v>980.78292958385794</v>
      </c>
      <c r="L548" s="5">
        <v>1</v>
      </c>
      <c r="M548" s="5">
        <v>5</v>
      </c>
      <c r="N548" s="8">
        <f t="shared" si="0"/>
        <v>931.743783104665</v>
      </c>
      <c r="O548" s="5">
        <f t="shared" si="1"/>
        <v>822</v>
      </c>
      <c r="P548" s="5">
        <f t="shared" si="2"/>
        <v>109.743783104665</v>
      </c>
      <c r="Q548" s="5" t="s">
        <v>39</v>
      </c>
      <c r="R548" s="5" t="s">
        <v>32</v>
      </c>
      <c r="S548" s="6">
        <v>45106</v>
      </c>
      <c r="T548" s="5">
        <v>6</v>
      </c>
      <c r="U548" s="5">
        <v>4</v>
      </c>
      <c r="V548" s="5" t="s">
        <v>89</v>
      </c>
      <c r="W548" s="5">
        <f t="shared" si="3"/>
        <v>1</v>
      </c>
    </row>
    <row r="549" spans="1:23" ht="15.75" customHeight="1" x14ac:dyDescent="0.25">
      <c r="A549" s="5" t="s">
        <v>887</v>
      </c>
      <c r="B549" s="6">
        <v>45093</v>
      </c>
      <c r="C549" s="5" t="s">
        <v>480</v>
      </c>
      <c r="D549" s="5" t="s">
        <v>86</v>
      </c>
      <c r="E549" s="5" t="s">
        <v>54</v>
      </c>
      <c r="F549" s="5" t="s">
        <v>55</v>
      </c>
      <c r="G549" s="5" t="s">
        <v>119</v>
      </c>
      <c r="H549" s="5" t="s">
        <v>76</v>
      </c>
      <c r="I549" s="5" t="s">
        <v>120</v>
      </c>
      <c r="J549" s="5">
        <v>54890</v>
      </c>
      <c r="K549" s="7">
        <v>55467.591906246707</v>
      </c>
      <c r="L549" s="5">
        <v>1</v>
      </c>
      <c r="M549" s="5">
        <v>15</v>
      </c>
      <c r="N549" s="8">
        <f t="shared" si="0"/>
        <v>47147.453120309699</v>
      </c>
      <c r="O549" s="5">
        <f t="shared" si="1"/>
        <v>54890</v>
      </c>
      <c r="P549" s="5">
        <f t="shared" si="2"/>
        <v>-7742.5468796903006</v>
      </c>
      <c r="Q549" s="5" t="s">
        <v>46</v>
      </c>
      <c r="R549" s="5" t="s">
        <v>32</v>
      </c>
      <c r="S549" s="6">
        <v>45102</v>
      </c>
      <c r="T549" s="5">
        <v>6</v>
      </c>
      <c r="U549" s="5">
        <v>4</v>
      </c>
      <c r="V549" s="5" t="s">
        <v>89</v>
      </c>
      <c r="W549" s="5">
        <f t="shared" si="3"/>
        <v>1</v>
      </c>
    </row>
    <row r="550" spans="1:23" ht="15.75" customHeight="1" x14ac:dyDescent="0.25">
      <c r="A550" s="5" t="s">
        <v>888</v>
      </c>
      <c r="B550" s="6">
        <v>45094</v>
      </c>
      <c r="C550" s="5" t="s">
        <v>220</v>
      </c>
      <c r="D550" s="5" t="s">
        <v>74</v>
      </c>
      <c r="E550" s="5" t="s">
        <v>80</v>
      </c>
      <c r="F550" s="5" t="s">
        <v>80</v>
      </c>
      <c r="G550" s="5" t="s">
        <v>81</v>
      </c>
      <c r="H550" s="5" t="s">
        <v>44</v>
      </c>
      <c r="I550" s="5" t="s">
        <v>82</v>
      </c>
      <c r="J550" s="5">
        <v>2343</v>
      </c>
      <c r="K550" s="7">
        <v>2920.4722498121291</v>
      </c>
      <c r="L550" s="5">
        <v>2</v>
      </c>
      <c r="M550" s="5">
        <v>5</v>
      </c>
      <c r="N550" s="8">
        <f t="shared" si="0"/>
        <v>5548.8972746430454</v>
      </c>
      <c r="O550" s="5">
        <f t="shared" si="1"/>
        <v>4686</v>
      </c>
      <c r="P550" s="5">
        <f t="shared" si="2"/>
        <v>862.89727464304542</v>
      </c>
      <c r="Q550" s="5" t="s">
        <v>83</v>
      </c>
      <c r="R550" s="5" t="s">
        <v>32</v>
      </c>
      <c r="S550" s="6">
        <v>45104</v>
      </c>
      <c r="T550" s="5">
        <v>3</v>
      </c>
      <c r="U550" s="5">
        <v>3</v>
      </c>
      <c r="V550" s="5" t="s">
        <v>33</v>
      </c>
      <c r="W550" s="5">
        <f t="shared" si="3"/>
        <v>0</v>
      </c>
    </row>
    <row r="551" spans="1:23" ht="15.75" customHeight="1" x14ac:dyDescent="0.25">
      <c r="A551" s="5" t="s">
        <v>889</v>
      </c>
      <c r="B551" s="6">
        <v>45094</v>
      </c>
      <c r="C551" s="5" t="s">
        <v>890</v>
      </c>
      <c r="D551" s="5" t="s">
        <v>59</v>
      </c>
      <c r="E551" s="5" t="s">
        <v>26</v>
      </c>
      <c r="F551" s="5" t="s">
        <v>27</v>
      </c>
      <c r="G551" s="5" t="s">
        <v>87</v>
      </c>
      <c r="H551" s="5" t="s">
        <v>29</v>
      </c>
      <c r="I551" s="5" t="s">
        <v>88</v>
      </c>
      <c r="J551" s="5">
        <v>55881</v>
      </c>
      <c r="K551" s="7">
        <v>80194.377034528137</v>
      </c>
      <c r="L551" s="5">
        <v>2</v>
      </c>
      <c r="M551" s="5">
        <v>20</v>
      </c>
      <c r="N551" s="8">
        <f t="shared" si="0"/>
        <v>128311.00325524503</v>
      </c>
      <c r="O551" s="5">
        <f t="shared" si="1"/>
        <v>111762</v>
      </c>
      <c r="P551" s="5">
        <f t="shared" si="2"/>
        <v>16549.003255245028</v>
      </c>
      <c r="Q551" s="5" t="s">
        <v>46</v>
      </c>
      <c r="R551" s="5" t="s">
        <v>32</v>
      </c>
      <c r="S551" s="6">
        <v>45106</v>
      </c>
      <c r="T551" s="5">
        <v>5</v>
      </c>
      <c r="U551" s="5">
        <v>2</v>
      </c>
      <c r="V551" s="5" t="s">
        <v>33</v>
      </c>
      <c r="W551" s="5">
        <f t="shared" si="3"/>
        <v>0</v>
      </c>
    </row>
    <row r="552" spans="1:23" ht="15.75" customHeight="1" x14ac:dyDescent="0.25">
      <c r="A552" s="5" t="s">
        <v>891</v>
      </c>
      <c r="B552" s="6">
        <v>45095</v>
      </c>
      <c r="C552" s="5" t="s">
        <v>361</v>
      </c>
      <c r="D552" s="5" t="s">
        <v>208</v>
      </c>
      <c r="E552" s="5" t="s">
        <v>60</v>
      </c>
      <c r="F552" s="5" t="s">
        <v>61</v>
      </c>
      <c r="G552" s="5" t="s">
        <v>75</v>
      </c>
      <c r="H552" s="5" t="s">
        <v>76</v>
      </c>
      <c r="I552" s="5" t="s">
        <v>77</v>
      </c>
      <c r="J552" s="5">
        <v>521</v>
      </c>
      <c r="K552" s="7">
        <v>704.0615176787727</v>
      </c>
      <c r="L552" s="5">
        <v>1</v>
      </c>
      <c r="M552" s="5">
        <v>0</v>
      </c>
      <c r="N552" s="8">
        <f t="shared" si="0"/>
        <v>704.0615176787727</v>
      </c>
      <c r="O552" s="5">
        <f t="shared" si="1"/>
        <v>521</v>
      </c>
      <c r="P552" s="5">
        <f t="shared" si="2"/>
        <v>183.0615176787727</v>
      </c>
      <c r="Q552" s="5" t="s">
        <v>31</v>
      </c>
      <c r="R552" s="5" t="s">
        <v>32</v>
      </c>
      <c r="S552" s="6">
        <v>45102</v>
      </c>
      <c r="T552" s="5">
        <v>4</v>
      </c>
      <c r="U552" s="5">
        <v>3</v>
      </c>
      <c r="V552" s="5" t="s">
        <v>33</v>
      </c>
      <c r="W552" s="5">
        <f t="shared" si="3"/>
        <v>0</v>
      </c>
    </row>
    <row r="553" spans="1:23" ht="15.75" customHeight="1" x14ac:dyDescent="0.25">
      <c r="A553" s="5" t="s">
        <v>892</v>
      </c>
      <c r="B553" s="6">
        <v>45095</v>
      </c>
      <c r="C553" s="5" t="s">
        <v>299</v>
      </c>
      <c r="D553" s="5" t="s">
        <v>148</v>
      </c>
      <c r="E553" s="5" t="s">
        <v>49</v>
      </c>
      <c r="F553" s="5" t="s">
        <v>50</v>
      </c>
      <c r="G553" s="5" t="s">
        <v>43</v>
      </c>
      <c r="H553" s="5" t="s">
        <v>44</v>
      </c>
      <c r="I553" s="5" t="s">
        <v>45</v>
      </c>
      <c r="J553" s="5">
        <v>710</v>
      </c>
      <c r="K553" s="7">
        <v>1079.0351323766986</v>
      </c>
      <c r="L553" s="5">
        <v>3</v>
      </c>
      <c r="M553" s="5">
        <v>15</v>
      </c>
      <c r="N553" s="8">
        <f t="shared" si="0"/>
        <v>2751.5395875605814</v>
      </c>
      <c r="O553" s="5">
        <f t="shared" si="1"/>
        <v>2130</v>
      </c>
      <c r="P553" s="5">
        <f t="shared" si="2"/>
        <v>621.53958756058137</v>
      </c>
      <c r="Q553" s="5" t="s">
        <v>83</v>
      </c>
      <c r="R553" s="5" t="s">
        <v>32</v>
      </c>
      <c r="S553" s="6">
        <v>45099</v>
      </c>
      <c r="T553" s="5">
        <v>1</v>
      </c>
      <c r="U553" s="5">
        <v>5</v>
      </c>
      <c r="V553" s="5" t="s">
        <v>33</v>
      </c>
      <c r="W553" s="5">
        <f t="shared" si="3"/>
        <v>0</v>
      </c>
    </row>
    <row r="554" spans="1:23" ht="15.75" customHeight="1" x14ac:dyDescent="0.25">
      <c r="A554" s="5" t="s">
        <v>893</v>
      </c>
      <c r="B554" s="6">
        <v>45095</v>
      </c>
      <c r="C554" s="5" t="s">
        <v>437</v>
      </c>
      <c r="D554" s="5" t="s">
        <v>184</v>
      </c>
      <c r="E554" s="5" t="s">
        <v>37</v>
      </c>
      <c r="F554" s="5" t="s">
        <v>38</v>
      </c>
      <c r="G554" s="5" t="s">
        <v>70</v>
      </c>
      <c r="H554" s="5" t="s">
        <v>44</v>
      </c>
      <c r="I554" s="5" t="s">
        <v>71</v>
      </c>
      <c r="J554" s="5">
        <v>1733</v>
      </c>
      <c r="K554" s="7">
        <v>2243.7189195701412</v>
      </c>
      <c r="L554" s="5">
        <v>4</v>
      </c>
      <c r="M554" s="5">
        <v>5</v>
      </c>
      <c r="N554" s="8">
        <f t="shared" si="0"/>
        <v>8526.1318943665356</v>
      </c>
      <c r="O554" s="5">
        <f t="shared" si="1"/>
        <v>6932</v>
      </c>
      <c r="P554" s="5">
        <f t="shared" si="2"/>
        <v>1594.1318943665356</v>
      </c>
      <c r="Q554" s="5" t="s">
        <v>83</v>
      </c>
      <c r="R554" s="5" t="s">
        <v>32</v>
      </c>
      <c r="S554" s="6">
        <v>45100</v>
      </c>
      <c r="T554" s="5">
        <v>2</v>
      </c>
      <c r="U554" s="5">
        <v>4</v>
      </c>
      <c r="V554" s="5" t="s">
        <v>33</v>
      </c>
      <c r="W554" s="5">
        <f t="shared" si="3"/>
        <v>0</v>
      </c>
    </row>
    <row r="555" spans="1:23" ht="15.75" customHeight="1" x14ac:dyDescent="0.25">
      <c r="A555" s="5" t="s">
        <v>894</v>
      </c>
      <c r="B555" s="6">
        <v>45096</v>
      </c>
      <c r="C555" s="5" t="s">
        <v>895</v>
      </c>
      <c r="D555" s="5" t="s">
        <v>188</v>
      </c>
      <c r="E555" s="5" t="s">
        <v>69</v>
      </c>
      <c r="F555" s="5" t="s">
        <v>55</v>
      </c>
      <c r="G555" s="5" t="s">
        <v>92</v>
      </c>
      <c r="H555" s="5" t="s">
        <v>44</v>
      </c>
      <c r="I555" s="5" t="s">
        <v>45</v>
      </c>
      <c r="J555" s="5">
        <v>1392</v>
      </c>
      <c r="K555" s="7">
        <v>2140.666551046284</v>
      </c>
      <c r="L555" s="5">
        <v>3</v>
      </c>
      <c r="M555" s="5">
        <v>5</v>
      </c>
      <c r="N555" s="8">
        <f t="shared" si="0"/>
        <v>6100.8996704819083</v>
      </c>
      <c r="O555" s="5">
        <f t="shared" si="1"/>
        <v>4176</v>
      </c>
      <c r="P555" s="5">
        <f t="shared" si="2"/>
        <v>1924.8996704819083</v>
      </c>
      <c r="Q555" s="5" t="s">
        <v>39</v>
      </c>
      <c r="R555" s="5" t="s">
        <v>32</v>
      </c>
      <c r="S555" s="6">
        <v>45105</v>
      </c>
      <c r="T555" s="5">
        <v>4</v>
      </c>
      <c r="U555" s="5">
        <v>3</v>
      </c>
      <c r="V555" s="5" t="s">
        <v>33</v>
      </c>
      <c r="W555" s="5">
        <f t="shared" si="3"/>
        <v>0</v>
      </c>
    </row>
    <row r="556" spans="1:23" ht="15.75" customHeight="1" x14ac:dyDescent="0.25">
      <c r="A556" s="5" t="s">
        <v>896</v>
      </c>
      <c r="B556" s="6">
        <v>45096</v>
      </c>
      <c r="C556" s="5" t="s">
        <v>562</v>
      </c>
      <c r="D556" s="5" t="s">
        <v>59</v>
      </c>
      <c r="E556" s="5" t="s">
        <v>69</v>
      </c>
      <c r="F556" s="5" t="s">
        <v>55</v>
      </c>
      <c r="G556" s="5" t="s">
        <v>97</v>
      </c>
      <c r="H556" s="5" t="s">
        <v>98</v>
      </c>
      <c r="I556" s="5" t="s">
        <v>99</v>
      </c>
      <c r="J556" s="5">
        <v>380</v>
      </c>
      <c r="K556" s="7">
        <v>584.65366829861409</v>
      </c>
      <c r="L556" s="5">
        <v>5</v>
      </c>
      <c r="M556" s="5">
        <v>10</v>
      </c>
      <c r="N556" s="8">
        <f t="shared" si="0"/>
        <v>2630.9415073437635</v>
      </c>
      <c r="O556" s="5">
        <f t="shared" si="1"/>
        <v>1900</v>
      </c>
      <c r="P556" s="5">
        <f t="shared" si="2"/>
        <v>730.94150734376353</v>
      </c>
      <c r="Q556" s="5" t="s">
        <v>31</v>
      </c>
      <c r="R556" s="5" t="s">
        <v>56</v>
      </c>
      <c r="T556" s="5">
        <v>7</v>
      </c>
      <c r="U556" s="5">
        <v>2</v>
      </c>
      <c r="W556" s="5">
        <f t="shared" si="3"/>
        <v>0</v>
      </c>
    </row>
    <row r="557" spans="1:23" ht="15.75" customHeight="1" x14ac:dyDescent="0.25">
      <c r="A557" s="5" t="s">
        <v>897</v>
      </c>
      <c r="B557" s="6">
        <v>45096</v>
      </c>
      <c r="C557" s="5" t="s">
        <v>396</v>
      </c>
      <c r="D557" s="5" t="s">
        <v>105</v>
      </c>
      <c r="E557" s="5" t="s">
        <v>26</v>
      </c>
      <c r="F557" s="5" t="s">
        <v>27</v>
      </c>
      <c r="G557" s="5" t="s">
        <v>81</v>
      </c>
      <c r="H557" s="5" t="s">
        <v>44</v>
      </c>
      <c r="I557" s="5" t="s">
        <v>82</v>
      </c>
      <c r="J557" s="5">
        <v>1110</v>
      </c>
      <c r="K557" s="7">
        <v>1781.7265153195049</v>
      </c>
      <c r="L557" s="5">
        <v>3</v>
      </c>
      <c r="M557" s="5">
        <v>10</v>
      </c>
      <c r="N557" s="8">
        <f t="shared" si="0"/>
        <v>4810.6615913626629</v>
      </c>
      <c r="O557" s="5">
        <f t="shared" si="1"/>
        <v>3330</v>
      </c>
      <c r="P557" s="5">
        <f t="shared" si="2"/>
        <v>1480.6615913626629</v>
      </c>
      <c r="Q557" s="5" t="s">
        <v>83</v>
      </c>
      <c r="R557" s="5" t="s">
        <v>32</v>
      </c>
      <c r="S557" s="6">
        <v>45103</v>
      </c>
      <c r="T557" s="5">
        <v>1</v>
      </c>
      <c r="U557" s="5">
        <v>5</v>
      </c>
      <c r="V557" s="5" t="s">
        <v>33</v>
      </c>
      <c r="W557" s="5">
        <f t="shared" si="3"/>
        <v>0</v>
      </c>
    </row>
    <row r="558" spans="1:23" ht="15.75" customHeight="1" x14ac:dyDescent="0.25">
      <c r="A558" s="5" t="s">
        <v>898</v>
      </c>
      <c r="B558" s="6">
        <v>45096</v>
      </c>
      <c r="C558" s="5" t="s">
        <v>487</v>
      </c>
      <c r="D558" s="5" t="s">
        <v>42</v>
      </c>
      <c r="E558" s="5" t="s">
        <v>80</v>
      </c>
      <c r="F558" s="5" t="s">
        <v>80</v>
      </c>
      <c r="G558" s="5" t="s">
        <v>70</v>
      </c>
      <c r="H558" s="5" t="s">
        <v>44</v>
      </c>
      <c r="I558" s="5" t="s">
        <v>71</v>
      </c>
      <c r="J558" s="5">
        <v>1650</v>
      </c>
      <c r="K558" s="7">
        <v>2856.7756830904932</v>
      </c>
      <c r="L558" s="5">
        <v>3</v>
      </c>
      <c r="M558" s="5">
        <v>15</v>
      </c>
      <c r="N558" s="8">
        <f t="shared" si="0"/>
        <v>7284.7779918807582</v>
      </c>
      <c r="O558" s="5">
        <f t="shared" si="1"/>
        <v>4950</v>
      </c>
      <c r="P558" s="5">
        <f t="shared" si="2"/>
        <v>2334.7779918807582</v>
      </c>
      <c r="Q558" s="5" t="s">
        <v>46</v>
      </c>
      <c r="R558" s="5" t="s">
        <v>56</v>
      </c>
      <c r="T558" s="5">
        <v>8</v>
      </c>
      <c r="U558" s="5">
        <v>3</v>
      </c>
      <c r="W558" s="5">
        <f t="shared" si="3"/>
        <v>0</v>
      </c>
    </row>
    <row r="559" spans="1:23" ht="15.75" customHeight="1" x14ac:dyDescent="0.25">
      <c r="A559" s="5" t="s">
        <v>899</v>
      </c>
      <c r="B559" s="6">
        <v>45097</v>
      </c>
      <c r="C559" s="5" t="s">
        <v>789</v>
      </c>
      <c r="D559" s="5" t="s">
        <v>148</v>
      </c>
      <c r="E559" s="5" t="s">
        <v>80</v>
      </c>
      <c r="F559" s="5" t="s">
        <v>80</v>
      </c>
      <c r="G559" s="5" t="s">
        <v>124</v>
      </c>
      <c r="H559" s="5" t="s">
        <v>76</v>
      </c>
      <c r="I559" s="5" t="s">
        <v>125</v>
      </c>
      <c r="J559" s="5">
        <v>67558</v>
      </c>
      <c r="K559" s="7">
        <v>86698.644345409062</v>
      </c>
      <c r="L559" s="5">
        <v>2</v>
      </c>
      <c r="M559" s="5">
        <v>15</v>
      </c>
      <c r="N559" s="8">
        <f t="shared" si="0"/>
        <v>147387.69538719539</v>
      </c>
      <c r="O559" s="5">
        <f t="shared" si="1"/>
        <v>135116</v>
      </c>
      <c r="P559" s="5">
        <f t="shared" si="2"/>
        <v>12271.695387195388</v>
      </c>
      <c r="Q559" s="5" t="s">
        <v>39</v>
      </c>
      <c r="R559" s="5" t="s">
        <v>32</v>
      </c>
      <c r="S559" s="6">
        <v>45107</v>
      </c>
      <c r="T559" s="5">
        <v>5</v>
      </c>
      <c r="U559" s="5">
        <v>4</v>
      </c>
      <c r="V559" s="5" t="s">
        <v>33</v>
      </c>
      <c r="W559" s="5">
        <f t="shared" si="3"/>
        <v>0</v>
      </c>
    </row>
    <row r="560" spans="1:23" ht="15.75" customHeight="1" x14ac:dyDescent="0.25">
      <c r="A560" s="5" t="s">
        <v>900</v>
      </c>
      <c r="B560" s="6">
        <v>45097</v>
      </c>
      <c r="C560" s="5" t="s">
        <v>163</v>
      </c>
      <c r="D560" s="5" t="s">
        <v>148</v>
      </c>
      <c r="E560" s="5" t="s">
        <v>54</v>
      </c>
      <c r="F560" s="5" t="s">
        <v>55</v>
      </c>
      <c r="G560" s="5" t="s">
        <v>139</v>
      </c>
      <c r="H560" s="5" t="s">
        <v>76</v>
      </c>
      <c r="I560" s="5" t="s">
        <v>140</v>
      </c>
      <c r="J560" s="5">
        <v>46927</v>
      </c>
      <c r="K560" s="7">
        <v>55103.245120738618</v>
      </c>
      <c r="L560" s="5">
        <v>4</v>
      </c>
      <c r="M560" s="5">
        <v>20</v>
      </c>
      <c r="N560" s="8">
        <f t="shared" si="0"/>
        <v>176330.38438636358</v>
      </c>
      <c r="O560" s="5">
        <f t="shared" si="1"/>
        <v>187708</v>
      </c>
      <c r="P560" s="5">
        <f t="shared" si="2"/>
        <v>-11377.615613636415</v>
      </c>
      <c r="Q560" s="5" t="s">
        <v>31</v>
      </c>
      <c r="R560" s="5" t="s">
        <v>56</v>
      </c>
      <c r="T560" s="5">
        <v>7</v>
      </c>
      <c r="U560" s="5">
        <v>3</v>
      </c>
      <c r="W560" s="5">
        <f t="shared" si="3"/>
        <v>0</v>
      </c>
    </row>
    <row r="561" spans="1:23" ht="15.75" customHeight="1" x14ac:dyDescent="0.25">
      <c r="A561" s="5" t="s">
        <v>901</v>
      </c>
      <c r="B561" s="6">
        <v>45097</v>
      </c>
      <c r="C561" s="5" t="s">
        <v>373</v>
      </c>
      <c r="D561" s="5" t="s">
        <v>146</v>
      </c>
      <c r="E561" s="5" t="s">
        <v>80</v>
      </c>
      <c r="F561" s="5" t="s">
        <v>80</v>
      </c>
      <c r="G561" s="5" t="s">
        <v>70</v>
      </c>
      <c r="H561" s="5" t="s">
        <v>44</v>
      </c>
      <c r="I561" s="5" t="s">
        <v>71</v>
      </c>
      <c r="J561" s="5">
        <v>1923</v>
      </c>
      <c r="K561" s="7">
        <v>3191.1228933315397</v>
      </c>
      <c r="L561" s="5">
        <v>4</v>
      </c>
      <c r="M561" s="5">
        <v>5</v>
      </c>
      <c r="N561" s="8">
        <f t="shared" si="0"/>
        <v>12126.266994659851</v>
      </c>
      <c r="O561" s="5">
        <f t="shared" si="1"/>
        <v>7692</v>
      </c>
      <c r="P561" s="5">
        <f t="shared" si="2"/>
        <v>4434.2669946598508</v>
      </c>
      <c r="Q561" s="5" t="s">
        <v>83</v>
      </c>
      <c r="R561" s="5" t="s">
        <v>32</v>
      </c>
      <c r="S561" s="6">
        <v>45105</v>
      </c>
      <c r="T561" s="5">
        <v>4</v>
      </c>
      <c r="U561" s="5">
        <v>4</v>
      </c>
      <c r="V561" s="5" t="s">
        <v>33</v>
      </c>
      <c r="W561" s="5">
        <f t="shared" si="3"/>
        <v>0</v>
      </c>
    </row>
    <row r="562" spans="1:23" ht="15.75" customHeight="1" x14ac:dyDescent="0.25">
      <c r="A562" s="5" t="s">
        <v>902</v>
      </c>
      <c r="B562" s="6">
        <v>45097</v>
      </c>
      <c r="C562" s="5" t="s">
        <v>437</v>
      </c>
      <c r="D562" s="5" t="s">
        <v>150</v>
      </c>
      <c r="E562" s="5" t="s">
        <v>26</v>
      </c>
      <c r="F562" s="5" t="s">
        <v>27</v>
      </c>
      <c r="G562" s="5" t="s">
        <v>28</v>
      </c>
      <c r="H562" s="5" t="s">
        <v>29</v>
      </c>
      <c r="I562" s="5" t="s">
        <v>30</v>
      </c>
      <c r="J562" s="5">
        <v>5829</v>
      </c>
      <c r="K562" s="7">
        <v>10150.058883007026</v>
      </c>
      <c r="L562" s="5">
        <v>4</v>
      </c>
      <c r="M562" s="5">
        <v>10</v>
      </c>
      <c r="N562" s="8">
        <f t="shared" si="0"/>
        <v>36540.211978825297</v>
      </c>
      <c r="O562" s="5">
        <f t="shared" si="1"/>
        <v>23316</v>
      </c>
      <c r="P562" s="5">
        <f t="shared" si="2"/>
        <v>13224.211978825297</v>
      </c>
      <c r="Q562" s="5" t="s">
        <v>83</v>
      </c>
      <c r="R562" s="5" t="s">
        <v>56</v>
      </c>
      <c r="T562" s="5">
        <v>9</v>
      </c>
      <c r="U562" s="5">
        <v>1</v>
      </c>
      <c r="W562" s="5">
        <f t="shared" si="3"/>
        <v>0</v>
      </c>
    </row>
    <row r="563" spans="1:23" ht="15.75" customHeight="1" x14ac:dyDescent="0.25">
      <c r="A563" s="5" t="s">
        <v>903</v>
      </c>
      <c r="B563" s="6">
        <v>45097</v>
      </c>
      <c r="C563" s="5" t="s">
        <v>775</v>
      </c>
      <c r="D563" s="5" t="s">
        <v>59</v>
      </c>
      <c r="E563" s="5" t="s">
        <v>26</v>
      </c>
      <c r="F563" s="5" t="s">
        <v>27</v>
      </c>
      <c r="G563" s="5" t="s">
        <v>124</v>
      </c>
      <c r="H563" s="5" t="s">
        <v>76</v>
      </c>
      <c r="I563" s="5" t="s">
        <v>125</v>
      </c>
      <c r="J563" s="5">
        <v>55928</v>
      </c>
      <c r="K563" s="7">
        <v>90475.466048123693</v>
      </c>
      <c r="L563" s="5">
        <v>1</v>
      </c>
      <c r="M563" s="5">
        <v>20</v>
      </c>
      <c r="N563" s="8">
        <f t="shared" si="0"/>
        <v>72380.372838498952</v>
      </c>
      <c r="O563" s="5">
        <f t="shared" si="1"/>
        <v>55928</v>
      </c>
      <c r="P563" s="5">
        <f t="shared" si="2"/>
        <v>16452.372838498952</v>
      </c>
      <c r="Q563" s="5" t="s">
        <v>83</v>
      </c>
      <c r="R563" s="5" t="s">
        <v>32</v>
      </c>
      <c r="S563" s="6">
        <v>45107</v>
      </c>
      <c r="T563" s="5">
        <v>3</v>
      </c>
      <c r="U563" s="5">
        <v>3</v>
      </c>
      <c r="V563" s="5" t="s">
        <v>33</v>
      </c>
      <c r="W563" s="5">
        <f t="shared" si="3"/>
        <v>0</v>
      </c>
    </row>
    <row r="564" spans="1:23" ht="15.75" customHeight="1" x14ac:dyDescent="0.25">
      <c r="A564" s="5" t="s">
        <v>904</v>
      </c>
      <c r="B564" s="6">
        <v>45098</v>
      </c>
      <c r="C564" s="5" t="s">
        <v>609</v>
      </c>
      <c r="D564" s="5" t="s">
        <v>181</v>
      </c>
      <c r="E564" s="5" t="s">
        <v>26</v>
      </c>
      <c r="F564" s="5" t="s">
        <v>27</v>
      </c>
      <c r="G564" s="5" t="s">
        <v>81</v>
      </c>
      <c r="H564" s="5" t="s">
        <v>44</v>
      </c>
      <c r="I564" s="5" t="s">
        <v>82</v>
      </c>
      <c r="J564" s="5">
        <v>1403</v>
      </c>
      <c r="K564" s="7">
        <v>1783.8078131232921</v>
      </c>
      <c r="L564" s="5">
        <v>1</v>
      </c>
      <c r="M564" s="5">
        <v>5</v>
      </c>
      <c r="N564" s="8">
        <f t="shared" si="0"/>
        <v>1694.6174224671274</v>
      </c>
      <c r="O564" s="5">
        <f t="shared" si="1"/>
        <v>1403</v>
      </c>
      <c r="P564" s="5">
        <f t="shared" si="2"/>
        <v>291.61742246712743</v>
      </c>
      <c r="Q564" s="5" t="s">
        <v>39</v>
      </c>
      <c r="R564" s="5" t="s">
        <v>32</v>
      </c>
      <c r="S564" s="6">
        <v>45105</v>
      </c>
      <c r="T564" s="5">
        <v>3</v>
      </c>
      <c r="U564" s="5">
        <v>2</v>
      </c>
      <c r="V564" s="5" t="s">
        <v>33</v>
      </c>
      <c r="W564" s="5">
        <f t="shared" si="3"/>
        <v>0</v>
      </c>
    </row>
    <row r="565" spans="1:23" ht="15.75" customHeight="1" x14ac:dyDescent="0.25">
      <c r="A565" s="5" t="s">
        <v>905</v>
      </c>
      <c r="B565" s="6">
        <v>45098</v>
      </c>
      <c r="C565" s="5" t="s">
        <v>815</v>
      </c>
      <c r="D565" s="5" t="s">
        <v>102</v>
      </c>
      <c r="E565" s="5" t="s">
        <v>54</v>
      </c>
      <c r="F565" s="5" t="s">
        <v>55</v>
      </c>
      <c r="G565" s="5" t="s">
        <v>106</v>
      </c>
      <c r="H565" s="5" t="s">
        <v>98</v>
      </c>
      <c r="I565" s="5" t="s">
        <v>107</v>
      </c>
      <c r="J565" s="5">
        <v>992</v>
      </c>
      <c r="K565" s="7">
        <v>1068.7585705802608</v>
      </c>
      <c r="L565" s="5">
        <v>2</v>
      </c>
      <c r="M565" s="5">
        <v>15</v>
      </c>
      <c r="N565" s="8">
        <f t="shared" si="0"/>
        <v>1816.8895699864433</v>
      </c>
      <c r="O565" s="5">
        <f t="shared" si="1"/>
        <v>1984</v>
      </c>
      <c r="P565" s="5">
        <f t="shared" si="2"/>
        <v>-167.11043001355665</v>
      </c>
      <c r="Q565" s="5" t="s">
        <v>46</v>
      </c>
      <c r="R565" s="5" t="s">
        <v>32</v>
      </c>
      <c r="S565" s="6">
        <v>45109</v>
      </c>
      <c r="T565" s="5">
        <v>6</v>
      </c>
      <c r="U565" s="5">
        <v>4</v>
      </c>
      <c r="V565" s="5" t="s">
        <v>89</v>
      </c>
      <c r="W565" s="5">
        <f t="shared" si="3"/>
        <v>1</v>
      </c>
    </row>
    <row r="566" spans="1:23" ht="15.75" customHeight="1" x14ac:dyDescent="0.25">
      <c r="A566" s="5" t="s">
        <v>906</v>
      </c>
      <c r="B566" s="6">
        <v>45098</v>
      </c>
      <c r="C566" s="5" t="s">
        <v>220</v>
      </c>
      <c r="D566" s="5" t="s">
        <v>148</v>
      </c>
      <c r="E566" s="5" t="s">
        <v>26</v>
      </c>
      <c r="F566" s="5" t="s">
        <v>27</v>
      </c>
      <c r="G566" s="5" t="s">
        <v>119</v>
      </c>
      <c r="H566" s="5" t="s">
        <v>76</v>
      </c>
      <c r="I566" s="5" t="s">
        <v>120</v>
      </c>
      <c r="J566" s="5">
        <v>74611</v>
      </c>
      <c r="K566" s="7">
        <v>98605.711994689802</v>
      </c>
      <c r="L566" s="5">
        <v>3</v>
      </c>
      <c r="M566" s="5">
        <v>0</v>
      </c>
      <c r="N566" s="8">
        <f t="shared" si="0"/>
        <v>295817.13598406943</v>
      </c>
      <c r="O566" s="5">
        <f t="shared" si="1"/>
        <v>223833</v>
      </c>
      <c r="P566" s="5">
        <f t="shared" si="2"/>
        <v>71984.135984069435</v>
      </c>
      <c r="Q566" s="5" t="s">
        <v>83</v>
      </c>
      <c r="R566" s="5" t="s">
        <v>56</v>
      </c>
      <c r="T566" s="5">
        <v>9</v>
      </c>
      <c r="U566" s="5">
        <v>1</v>
      </c>
      <c r="W566" s="5">
        <f t="shared" si="3"/>
        <v>0</v>
      </c>
    </row>
    <row r="567" spans="1:23" ht="15.75" customHeight="1" x14ac:dyDescent="0.25">
      <c r="A567" s="5" t="s">
        <v>907</v>
      </c>
      <c r="B567" s="6">
        <v>45098</v>
      </c>
      <c r="C567" s="5" t="s">
        <v>474</v>
      </c>
      <c r="D567" s="5" t="s">
        <v>150</v>
      </c>
      <c r="E567" s="5" t="s">
        <v>54</v>
      </c>
      <c r="F567" s="5" t="s">
        <v>55</v>
      </c>
      <c r="G567" s="5" t="s">
        <v>81</v>
      </c>
      <c r="H567" s="5" t="s">
        <v>44</v>
      </c>
      <c r="I567" s="5" t="s">
        <v>82</v>
      </c>
      <c r="J567" s="5">
        <v>1765</v>
      </c>
      <c r="K567" s="7">
        <v>2696.2112553397546</v>
      </c>
      <c r="L567" s="5">
        <v>3</v>
      </c>
      <c r="M567" s="5">
        <v>15</v>
      </c>
      <c r="N567" s="8">
        <f t="shared" si="0"/>
        <v>6875.3387011163741</v>
      </c>
      <c r="O567" s="5">
        <f t="shared" si="1"/>
        <v>5295</v>
      </c>
      <c r="P567" s="5">
        <f t="shared" si="2"/>
        <v>1580.3387011163741</v>
      </c>
      <c r="Q567" s="5" t="s">
        <v>46</v>
      </c>
      <c r="R567" s="5" t="s">
        <v>56</v>
      </c>
      <c r="T567" s="5">
        <v>8</v>
      </c>
      <c r="U567" s="5">
        <v>4</v>
      </c>
      <c r="W567" s="5">
        <f t="shared" si="3"/>
        <v>0</v>
      </c>
    </row>
    <row r="568" spans="1:23" ht="15.75" customHeight="1" x14ac:dyDescent="0.25">
      <c r="A568" s="5" t="s">
        <v>908</v>
      </c>
      <c r="B568" s="6">
        <v>45099</v>
      </c>
      <c r="C568" s="5" t="s">
        <v>248</v>
      </c>
      <c r="D568" s="5" t="s">
        <v>116</v>
      </c>
      <c r="E568" s="5" t="s">
        <v>69</v>
      </c>
      <c r="F568" s="5" t="s">
        <v>55</v>
      </c>
      <c r="G568" s="5" t="s">
        <v>92</v>
      </c>
      <c r="H568" s="5" t="s">
        <v>44</v>
      </c>
      <c r="I568" s="5" t="s">
        <v>45</v>
      </c>
      <c r="J568" s="5">
        <v>849</v>
      </c>
      <c r="K568" s="7">
        <v>1006.2102063739239</v>
      </c>
      <c r="L568" s="5">
        <v>3</v>
      </c>
      <c r="M568" s="5">
        <v>5</v>
      </c>
      <c r="N568" s="8">
        <f t="shared" si="0"/>
        <v>2867.699088165683</v>
      </c>
      <c r="O568" s="5">
        <f t="shared" si="1"/>
        <v>2547</v>
      </c>
      <c r="P568" s="5">
        <f t="shared" si="2"/>
        <v>320.69908816568295</v>
      </c>
      <c r="Q568" s="5" t="s">
        <v>83</v>
      </c>
      <c r="R568" s="5" t="s">
        <v>56</v>
      </c>
      <c r="T568" s="5">
        <v>9</v>
      </c>
      <c r="U568" s="5">
        <v>1</v>
      </c>
      <c r="W568" s="5">
        <f t="shared" si="3"/>
        <v>0</v>
      </c>
    </row>
    <row r="569" spans="1:23" ht="15.75" customHeight="1" x14ac:dyDescent="0.25">
      <c r="A569" s="5" t="s">
        <v>909</v>
      </c>
      <c r="B569" s="6">
        <v>45099</v>
      </c>
      <c r="C569" s="5" t="s">
        <v>389</v>
      </c>
      <c r="D569" s="5" t="s">
        <v>25</v>
      </c>
      <c r="E569" s="5" t="s">
        <v>60</v>
      </c>
      <c r="F569" s="5" t="s">
        <v>61</v>
      </c>
      <c r="G569" s="5" t="s">
        <v>92</v>
      </c>
      <c r="H569" s="5" t="s">
        <v>44</v>
      </c>
      <c r="I569" s="5" t="s">
        <v>45</v>
      </c>
      <c r="J569" s="5">
        <v>941</v>
      </c>
      <c r="K569" s="7">
        <v>1649.6001221726497</v>
      </c>
      <c r="L569" s="5">
        <v>5</v>
      </c>
      <c r="M569" s="5">
        <v>10</v>
      </c>
      <c r="N569" s="8">
        <f t="shared" si="0"/>
        <v>7423.2005497769233</v>
      </c>
      <c r="O569" s="5">
        <f t="shared" si="1"/>
        <v>4705</v>
      </c>
      <c r="P569" s="5">
        <f t="shared" si="2"/>
        <v>2718.2005497769233</v>
      </c>
      <c r="Q569" s="5" t="s">
        <v>46</v>
      </c>
      <c r="R569" s="5" t="s">
        <v>56</v>
      </c>
      <c r="T569" s="5">
        <v>10</v>
      </c>
      <c r="U569" s="5">
        <v>1</v>
      </c>
      <c r="W569" s="5">
        <f t="shared" si="3"/>
        <v>0</v>
      </c>
    </row>
    <row r="570" spans="1:23" ht="15.75" customHeight="1" x14ac:dyDescent="0.25">
      <c r="A570" s="5" t="s">
        <v>910</v>
      </c>
      <c r="B570" s="6">
        <v>45100</v>
      </c>
      <c r="C570" s="5" t="s">
        <v>326</v>
      </c>
      <c r="D570" s="5" t="s">
        <v>102</v>
      </c>
      <c r="E570" s="5" t="s">
        <v>37</v>
      </c>
      <c r="F570" s="5" t="s">
        <v>38</v>
      </c>
      <c r="G570" s="5" t="s">
        <v>106</v>
      </c>
      <c r="H570" s="5" t="s">
        <v>98</v>
      </c>
      <c r="I570" s="5" t="s">
        <v>107</v>
      </c>
      <c r="J570" s="5">
        <v>954</v>
      </c>
      <c r="K570" s="7">
        <v>1451.684170067012</v>
      </c>
      <c r="L570" s="5">
        <v>5</v>
      </c>
      <c r="M570" s="5">
        <v>0</v>
      </c>
      <c r="N570" s="8">
        <f t="shared" si="0"/>
        <v>7258.4208503350601</v>
      </c>
      <c r="O570" s="5">
        <f t="shared" si="1"/>
        <v>4770</v>
      </c>
      <c r="P570" s="5">
        <f t="shared" si="2"/>
        <v>2488.4208503350601</v>
      </c>
      <c r="Q570" s="5" t="s">
        <v>31</v>
      </c>
      <c r="R570" s="5" t="s">
        <v>56</v>
      </c>
      <c r="T570" s="5">
        <v>10</v>
      </c>
      <c r="U570" s="5">
        <v>1</v>
      </c>
      <c r="W570" s="5">
        <f t="shared" si="3"/>
        <v>0</v>
      </c>
    </row>
    <row r="571" spans="1:23" ht="15.75" customHeight="1" x14ac:dyDescent="0.25">
      <c r="A571" s="5" t="s">
        <v>911</v>
      </c>
      <c r="B571" s="6">
        <v>45100</v>
      </c>
      <c r="C571" s="5" t="s">
        <v>649</v>
      </c>
      <c r="D571" s="5" t="s">
        <v>135</v>
      </c>
      <c r="E571" s="5" t="s">
        <v>69</v>
      </c>
      <c r="F571" s="5" t="s">
        <v>55</v>
      </c>
      <c r="G571" s="5" t="s">
        <v>70</v>
      </c>
      <c r="H571" s="5" t="s">
        <v>44</v>
      </c>
      <c r="I571" s="5" t="s">
        <v>71</v>
      </c>
      <c r="J571" s="5">
        <v>1379</v>
      </c>
      <c r="K571" s="7">
        <v>2403.1581304312313</v>
      </c>
      <c r="L571" s="5">
        <v>2</v>
      </c>
      <c r="M571" s="5">
        <v>15</v>
      </c>
      <c r="N571" s="8">
        <f t="shared" si="0"/>
        <v>4085.3688217330932</v>
      </c>
      <c r="O571" s="5">
        <f t="shared" si="1"/>
        <v>2758</v>
      </c>
      <c r="P571" s="5">
        <f t="shared" si="2"/>
        <v>1327.3688217330932</v>
      </c>
      <c r="Q571" s="5" t="s">
        <v>83</v>
      </c>
      <c r="R571" s="5" t="s">
        <v>56</v>
      </c>
      <c r="T571" s="5">
        <v>7</v>
      </c>
      <c r="U571" s="5">
        <v>3</v>
      </c>
      <c r="W571" s="5">
        <f t="shared" si="3"/>
        <v>0</v>
      </c>
    </row>
    <row r="572" spans="1:23" ht="15.75" customHeight="1" x14ac:dyDescent="0.25">
      <c r="A572" s="5" t="s">
        <v>912</v>
      </c>
      <c r="B572" s="6">
        <v>45100</v>
      </c>
      <c r="C572" s="5" t="s">
        <v>913</v>
      </c>
      <c r="D572" s="5" t="s">
        <v>25</v>
      </c>
      <c r="E572" s="5" t="s">
        <v>26</v>
      </c>
      <c r="F572" s="5" t="s">
        <v>27</v>
      </c>
      <c r="G572" s="5" t="s">
        <v>139</v>
      </c>
      <c r="H572" s="5" t="s">
        <v>76</v>
      </c>
      <c r="I572" s="5" t="s">
        <v>140</v>
      </c>
      <c r="J572" s="5">
        <v>39262</v>
      </c>
      <c r="K572" s="7">
        <v>48261.10456054203</v>
      </c>
      <c r="L572" s="5">
        <v>5</v>
      </c>
      <c r="M572" s="5">
        <v>20</v>
      </c>
      <c r="N572" s="8">
        <f t="shared" si="0"/>
        <v>193044.41824216815</v>
      </c>
      <c r="O572" s="5">
        <f t="shared" si="1"/>
        <v>196310</v>
      </c>
      <c r="P572" s="5">
        <f t="shared" si="2"/>
        <v>-3265.5817578318529</v>
      </c>
      <c r="Q572" s="5" t="s">
        <v>39</v>
      </c>
      <c r="R572" s="5" t="s">
        <v>32</v>
      </c>
      <c r="S572" s="6">
        <v>45109</v>
      </c>
      <c r="T572" s="5">
        <v>3</v>
      </c>
      <c r="U572" s="5">
        <v>3</v>
      </c>
      <c r="V572" s="5" t="s">
        <v>33</v>
      </c>
      <c r="W572" s="5">
        <f t="shared" si="3"/>
        <v>0</v>
      </c>
    </row>
    <row r="573" spans="1:23" ht="15.75" customHeight="1" x14ac:dyDescent="0.25">
      <c r="A573" s="5" t="s">
        <v>914</v>
      </c>
      <c r="B573" s="6">
        <v>45100</v>
      </c>
      <c r="C573" s="5" t="s">
        <v>532</v>
      </c>
      <c r="D573" s="5" t="s">
        <v>59</v>
      </c>
      <c r="E573" s="5" t="s">
        <v>49</v>
      </c>
      <c r="F573" s="5" t="s">
        <v>50</v>
      </c>
      <c r="G573" s="5" t="s">
        <v>92</v>
      </c>
      <c r="H573" s="5" t="s">
        <v>44</v>
      </c>
      <c r="I573" s="5" t="s">
        <v>45</v>
      </c>
      <c r="J573" s="5">
        <v>1275</v>
      </c>
      <c r="K573" s="7">
        <v>2225.5438811024364</v>
      </c>
      <c r="L573" s="5">
        <v>3</v>
      </c>
      <c r="M573" s="5">
        <v>10</v>
      </c>
      <c r="N573" s="8">
        <f t="shared" si="0"/>
        <v>6008.9684789765788</v>
      </c>
      <c r="O573" s="5">
        <f t="shared" si="1"/>
        <v>3825</v>
      </c>
      <c r="P573" s="5">
        <f t="shared" si="2"/>
        <v>2183.9684789765788</v>
      </c>
      <c r="Q573" s="5" t="s">
        <v>31</v>
      </c>
      <c r="R573" s="5" t="s">
        <v>56</v>
      </c>
      <c r="T573" s="5">
        <v>9</v>
      </c>
      <c r="U573" s="5">
        <v>1</v>
      </c>
      <c r="W573" s="5">
        <f t="shared" si="3"/>
        <v>0</v>
      </c>
    </row>
    <row r="574" spans="1:23" ht="15.75" customHeight="1" x14ac:dyDescent="0.25">
      <c r="A574" s="5" t="s">
        <v>915</v>
      </c>
      <c r="B574" s="6">
        <v>45101</v>
      </c>
      <c r="C574" s="5" t="s">
        <v>174</v>
      </c>
      <c r="D574" s="5" t="s">
        <v>86</v>
      </c>
      <c r="E574" s="5" t="s">
        <v>60</v>
      </c>
      <c r="F574" s="5" t="s">
        <v>61</v>
      </c>
      <c r="G574" s="5" t="s">
        <v>43</v>
      </c>
      <c r="H574" s="5" t="s">
        <v>44</v>
      </c>
      <c r="I574" s="5" t="s">
        <v>45</v>
      </c>
      <c r="J574" s="5">
        <v>489</v>
      </c>
      <c r="K574" s="7">
        <v>798.48707829335444</v>
      </c>
      <c r="L574" s="5">
        <v>1</v>
      </c>
      <c r="M574" s="5">
        <v>5</v>
      </c>
      <c r="N574" s="8">
        <f t="shared" si="0"/>
        <v>758.56272437868665</v>
      </c>
      <c r="O574" s="5">
        <f t="shared" si="1"/>
        <v>489</v>
      </c>
      <c r="P574" s="5">
        <f t="shared" si="2"/>
        <v>269.56272437868665</v>
      </c>
      <c r="Q574" s="5" t="s">
        <v>83</v>
      </c>
      <c r="R574" s="5" t="s">
        <v>32</v>
      </c>
      <c r="S574" s="6">
        <v>45108</v>
      </c>
      <c r="T574" s="5">
        <v>3</v>
      </c>
      <c r="U574" s="5">
        <v>2</v>
      </c>
      <c r="V574" s="5" t="s">
        <v>33</v>
      </c>
      <c r="W574" s="5">
        <f t="shared" si="3"/>
        <v>0</v>
      </c>
    </row>
    <row r="575" spans="1:23" ht="15.75" customHeight="1" x14ac:dyDescent="0.25">
      <c r="A575" s="5" t="s">
        <v>916</v>
      </c>
      <c r="B575" s="6">
        <v>45101</v>
      </c>
      <c r="C575" s="5" t="s">
        <v>306</v>
      </c>
      <c r="D575" s="5" t="s">
        <v>116</v>
      </c>
      <c r="E575" s="5" t="s">
        <v>112</v>
      </c>
      <c r="F575" s="5" t="s">
        <v>113</v>
      </c>
      <c r="G575" s="5" t="s">
        <v>75</v>
      </c>
      <c r="H575" s="5" t="s">
        <v>76</v>
      </c>
      <c r="I575" s="5" t="s">
        <v>77</v>
      </c>
      <c r="J575" s="5">
        <v>664</v>
      </c>
      <c r="K575" s="7">
        <v>1082.8642965220197</v>
      </c>
      <c r="L575" s="5">
        <v>3</v>
      </c>
      <c r="M575" s="5">
        <v>10</v>
      </c>
      <c r="N575" s="8">
        <f t="shared" si="0"/>
        <v>2923.7336006094533</v>
      </c>
      <c r="O575" s="5">
        <f t="shared" si="1"/>
        <v>1992</v>
      </c>
      <c r="P575" s="5">
        <f t="shared" si="2"/>
        <v>931.73360060945333</v>
      </c>
      <c r="Q575" s="5" t="s">
        <v>31</v>
      </c>
      <c r="R575" s="5" t="s">
        <v>56</v>
      </c>
      <c r="T575" s="5">
        <v>8</v>
      </c>
      <c r="U575" s="5">
        <v>4</v>
      </c>
      <c r="W575" s="5">
        <f t="shared" si="3"/>
        <v>0</v>
      </c>
    </row>
    <row r="576" spans="1:23" ht="15.75" customHeight="1" x14ac:dyDescent="0.25">
      <c r="A576" s="5" t="s">
        <v>917</v>
      </c>
      <c r="B576" s="6">
        <v>45101</v>
      </c>
      <c r="C576" s="5" t="s">
        <v>352</v>
      </c>
      <c r="D576" s="5" t="s">
        <v>148</v>
      </c>
      <c r="E576" s="5" t="s">
        <v>54</v>
      </c>
      <c r="F576" s="5" t="s">
        <v>55</v>
      </c>
      <c r="G576" s="5" t="s">
        <v>28</v>
      </c>
      <c r="H576" s="5" t="s">
        <v>29</v>
      </c>
      <c r="I576" s="5" t="s">
        <v>30</v>
      </c>
      <c r="J576" s="5">
        <v>3764</v>
      </c>
      <c r="K576" s="7">
        <v>4883.0170334853783</v>
      </c>
      <c r="L576" s="5">
        <v>1</v>
      </c>
      <c r="M576" s="5">
        <v>5</v>
      </c>
      <c r="N576" s="8">
        <f t="shared" si="0"/>
        <v>4638.8661818111095</v>
      </c>
      <c r="O576" s="5">
        <f t="shared" si="1"/>
        <v>3764</v>
      </c>
      <c r="P576" s="5">
        <f t="shared" si="2"/>
        <v>874.86618181110953</v>
      </c>
      <c r="Q576" s="5" t="s">
        <v>83</v>
      </c>
      <c r="R576" s="5" t="s">
        <v>32</v>
      </c>
      <c r="S576" s="6">
        <v>45109</v>
      </c>
      <c r="T576" s="5">
        <v>4</v>
      </c>
      <c r="U576" s="5">
        <v>2</v>
      </c>
      <c r="V576" s="5" t="s">
        <v>33</v>
      </c>
      <c r="W576" s="5">
        <f t="shared" si="3"/>
        <v>0</v>
      </c>
    </row>
    <row r="577" spans="1:23" ht="15.75" customHeight="1" x14ac:dyDescent="0.25">
      <c r="A577" s="5" t="s">
        <v>918</v>
      </c>
      <c r="B577" s="6">
        <v>45101</v>
      </c>
      <c r="C577" s="5" t="s">
        <v>851</v>
      </c>
      <c r="D577" s="5" t="s">
        <v>86</v>
      </c>
      <c r="E577" s="5" t="s">
        <v>60</v>
      </c>
      <c r="F577" s="5" t="s">
        <v>61</v>
      </c>
      <c r="G577" s="5" t="s">
        <v>87</v>
      </c>
      <c r="H577" s="5" t="s">
        <v>29</v>
      </c>
      <c r="I577" s="5" t="s">
        <v>88</v>
      </c>
      <c r="J577" s="5">
        <v>30122</v>
      </c>
      <c r="K577" s="7">
        <v>38933.501639558694</v>
      </c>
      <c r="L577" s="5">
        <v>3</v>
      </c>
      <c r="M577" s="5">
        <v>5</v>
      </c>
      <c r="N577" s="8">
        <f t="shared" si="0"/>
        <v>110960.47967274227</v>
      </c>
      <c r="O577" s="5">
        <f t="shared" si="1"/>
        <v>90366</v>
      </c>
      <c r="P577" s="5">
        <f t="shared" si="2"/>
        <v>20594.479672742265</v>
      </c>
      <c r="Q577" s="5" t="s">
        <v>39</v>
      </c>
      <c r="R577" s="5" t="s">
        <v>32</v>
      </c>
      <c r="S577" s="6">
        <v>45114</v>
      </c>
      <c r="T577" s="5">
        <v>6</v>
      </c>
      <c r="U577" s="5">
        <v>4</v>
      </c>
      <c r="V577" s="5" t="s">
        <v>89</v>
      </c>
      <c r="W577" s="5">
        <f t="shared" si="3"/>
        <v>1</v>
      </c>
    </row>
    <row r="578" spans="1:23" ht="15.75" customHeight="1" x14ac:dyDescent="0.25">
      <c r="A578" s="5" t="s">
        <v>919</v>
      </c>
      <c r="B578" s="6">
        <v>45102</v>
      </c>
      <c r="C578" s="5" t="s">
        <v>227</v>
      </c>
      <c r="D578" s="5" t="s">
        <v>146</v>
      </c>
      <c r="E578" s="5" t="s">
        <v>54</v>
      </c>
      <c r="F578" s="5" t="s">
        <v>55</v>
      </c>
      <c r="G578" s="5" t="s">
        <v>43</v>
      </c>
      <c r="H578" s="5" t="s">
        <v>44</v>
      </c>
      <c r="I578" s="5" t="s">
        <v>45</v>
      </c>
      <c r="J578" s="5">
        <v>745</v>
      </c>
      <c r="K578" s="7">
        <v>1295.9403170111138</v>
      </c>
      <c r="L578" s="5">
        <v>1</v>
      </c>
      <c r="M578" s="5">
        <v>15</v>
      </c>
      <c r="N578" s="8">
        <f t="shared" si="0"/>
        <v>1101.5492694594468</v>
      </c>
      <c r="O578" s="5">
        <f t="shared" si="1"/>
        <v>745</v>
      </c>
      <c r="P578" s="5">
        <f t="shared" si="2"/>
        <v>356.5492694594468</v>
      </c>
      <c r="Q578" s="5" t="s">
        <v>83</v>
      </c>
      <c r="R578" s="5" t="s">
        <v>32</v>
      </c>
      <c r="S578" s="6">
        <v>45113</v>
      </c>
      <c r="T578" s="5">
        <v>6</v>
      </c>
      <c r="U578" s="5">
        <v>3</v>
      </c>
      <c r="V578" s="5" t="s">
        <v>33</v>
      </c>
      <c r="W578" s="5">
        <f t="shared" si="3"/>
        <v>0</v>
      </c>
    </row>
    <row r="579" spans="1:23" ht="15.75" customHeight="1" x14ac:dyDescent="0.25">
      <c r="A579" s="5" t="s">
        <v>920</v>
      </c>
      <c r="B579" s="6">
        <v>45102</v>
      </c>
      <c r="C579" s="5" t="s">
        <v>118</v>
      </c>
      <c r="D579" s="5" t="s">
        <v>116</v>
      </c>
      <c r="E579" s="5" t="s">
        <v>54</v>
      </c>
      <c r="F579" s="5" t="s">
        <v>55</v>
      </c>
      <c r="G579" s="5" t="s">
        <v>75</v>
      </c>
      <c r="H579" s="5" t="s">
        <v>76</v>
      </c>
      <c r="I579" s="5" t="s">
        <v>77</v>
      </c>
      <c r="J579" s="5">
        <v>964</v>
      </c>
      <c r="K579" s="7">
        <v>1716.822638269158</v>
      </c>
      <c r="L579" s="5">
        <v>4</v>
      </c>
      <c r="M579" s="5">
        <v>20</v>
      </c>
      <c r="N579" s="8">
        <f t="shared" si="0"/>
        <v>5493.8324424613056</v>
      </c>
      <c r="O579" s="5">
        <f t="shared" si="1"/>
        <v>3856</v>
      </c>
      <c r="P579" s="5">
        <f t="shared" si="2"/>
        <v>1637.8324424613056</v>
      </c>
      <c r="Q579" s="5" t="s">
        <v>46</v>
      </c>
      <c r="R579" s="5" t="s">
        <v>32</v>
      </c>
      <c r="S579" s="6">
        <v>45111</v>
      </c>
      <c r="T579" s="5">
        <v>3</v>
      </c>
      <c r="U579" s="5">
        <v>4</v>
      </c>
      <c r="V579" s="5" t="s">
        <v>33</v>
      </c>
      <c r="W579" s="5">
        <f t="shared" si="3"/>
        <v>0</v>
      </c>
    </row>
    <row r="580" spans="1:23" ht="15.75" customHeight="1" x14ac:dyDescent="0.25">
      <c r="A580" s="5" t="s">
        <v>921</v>
      </c>
      <c r="B580" s="6">
        <v>45102</v>
      </c>
      <c r="C580" s="5" t="s">
        <v>851</v>
      </c>
      <c r="D580" s="5" t="s">
        <v>148</v>
      </c>
      <c r="E580" s="5" t="s">
        <v>26</v>
      </c>
      <c r="F580" s="5" t="s">
        <v>27</v>
      </c>
      <c r="G580" s="5" t="s">
        <v>87</v>
      </c>
      <c r="H580" s="5" t="s">
        <v>29</v>
      </c>
      <c r="I580" s="5" t="s">
        <v>88</v>
      </c>
      <c r="J580" s="5">
        <v>20788</v>
      </c>
      <c r="K580" s="7">
        <v>34977.610062696374</v>
      </c>
      <c r="L580" s="5">
        <v>1</v>
      </c>
      <c r="M580" s="5">
        <v>5</v>
      </c>
      <c r="N580" s="8">
        <f t="shared" si="0"/>
        <v>33228.729559561551</v>
      </c>
      <c r="O580" s="5">
        <f t="shared" si="1"/>
        <v>20788</v>
      </c>
      <c r="P580" s="5">
        <f t="shared" si="2"/>
        <v>12440.729559561551</v>
      </c>
      <c r="Q580" s="5" t="s">
        <v>31</v>
      </c>
      <c r="R580" s="5" t="s">
        <v>32</v>
      </c>
      <c r="S580" s="6">
        <v>45110</v>
      </c>
      <c r="T580" s="5">
        <v>5</v>
      </c>
      <c r="U580" s="5">
        <v>3</v>
      </c>
      <c r="V580" s="5" t="s">
        <v>33</v>
      </c>
      <c r="W580" s="5">
        <f t="shared" si="3"/>
        <v>0</v>
      </c>
    </row>
    <row r="581" spans="1:23" ht="15.75" customHeight="1" x14ac:dyDescent="0.25">
      <c r="A581" s="5" t="s">
        <v>922</v>
      </c>
      <c r="B581" s="6">
        <v>45103</v>
      </c>
      <c r="C581" s="5" t="s">
        <v>85</v>
      </c>
      <c r="D581" s="5" t="s">
        <v>42</v>
      </c>
      <c r="E581" s="5" t="s">
        <v>112</v>
      </c>
      <c r="F581" s="5" t="s">
        <v>113</v>
      </c>
      <c r="G581" s="5" t="s">
        <v>87</v>
      </c>
      <c r="H581" s="5" t="s">
        <v>29</v>
      </c>
      <c r="I581" s="5" t="s">
        <v>88</v>
      </c>
      <c r="J581" s="5">
        <v>22266</v>
      </c>
      <c r="K581" s="7">
        <v>38728.915617415529</v>
      </c>
      <c r="L581" s="5">
        <v>1</v>
      </c>
      <c r="M581" s="5">
        <v>15</v>
      </c>
      <c r="N581" s="8">
        <f t="shared" si="0"/>
        <v>32919.5782748032</v>
      </c>
      <c r="O581" s="5">
        <f t="shared" si="1"/>
        <v>22266</v>
      </c>
      <c r="P581" s="5">
        <f t="shared" si="2"/>
        <v>10653.5782748032</v>
      </c>
      <c r="Q581" s="5" t="s">
        <v>46</v>
      </c>
      <c r="R581" s="5" t="s">
        <v>32</v>
      </c>
      <c r="S581" s="6">
        <v>45114</v>
      </c>
      <c r="T581" s="5">
        <v>6</v>
      </c>
      <c r="U581" s="5">
        <v>4</v>
      </c>
      <c r="V581" s="5" t="s">
        <v>89</v>
      </c>
      <c r="W581" s="5">
        <f t="shared" si="3"/>
        <v>1</v>
      </c>
    </row>
    <row r="582" spans="1:23" ht="15.75" customHeight="1" x14ac:dyDescent="0.25">
      <c r="A582" s="5" t="s">
        <v>923</v>
      </c>
      <c r="B582" s="6">
        <v>45103</v>
      </c>
      <c r="C582" s="5" t="s">
        <v>480</v>
      </c>
      <c r="D582" s="5" t="s">
        <v>42</v>
      </c>
      <c r="E582" s="5" t="s">
        <v>49</v>
      </c>
      <c r="F582" s="5" t="s">
        <v>50</v>
      </c>
      <c r="G582" s="5" t="s">
        <v>43</v>
      </c>
      <c r="H582" s="5" t="s">
        <v>44</v>
      </c>
      <c r="I582" s="5" t="s">
        <v>45</v>
      </c>
      <c r="J582" s="5">
        <v>617</v>
      </c>
      <c r="K582" s="7">
        <v>871.45276515317096</v>
      </c>
      <c r="L582" s="5">
        <v>2</v>
      </c>
      <c r="M582" s="5">
        <v>5</v>
      </c>
      <c r="N582" s="8">
        <f t="shared" si="0"/>
        <v>1655.7602537910248</v>
      </c>
      <c r="O582" s="5">
        <f t="shared" si="1"/>
        <v>1234</v>
      </c>
      <c r="P582" s="5">
        <f t="shared" si="2"/>
        <v>421.76025379102475</v>
      </c>
      <c r="Q582" s="5" t="s">
        <v>46</v>
      </c>
      <c r="R582" s="5" t="s">
        <v>56</v>
      </c>
      <c r="T582" s="5">
        <v>10</v>
      </c>
      <c r="U582" s="5">
        <v>1</v>
      </c>
      <c r="W582" s="5">
        <f t="shared" si="3"/>
        <v>0</v>
      </c>
    </row>
    <row r="583" spans="1:23" ht="15.75" customHeight="1" x14ac:dyDescent="0.25">
      <c r="A583" s="5" t="s">
        <v>924</v>
      </c>
      <c r="B583" s="6">
        <v>45104</v>
      </c>
      <c r="C583" s="5" t="s">
        <v>596</v>
      </c>
      <c r="D583" s="5" t="s">
        <v>138</v>
      </c>
      <c r="E583" s="5" t="s">
        <v>80</v>
      </c>
      <c r="F583" s="5" t="s">
        <v>80</v>
      </c>
      <c r="G583" s="5" t="s">
        <v>97</v>
      </c>
      <c r="H583" s="5" t="s">
        <v>98</v>
      </c>
      <c r="I583" s="5" t="s">
        <v>99</v>
      </c>
      <c r="J583" s="5">
        <v>369</v>
      </c>
      <c r="K583" s="7">
        <v>431.77835719391015</v>
      </c>
      <c r="L583" s="5">
        <v>4</v>
      </c>
      <c r="M583" s="5">
        <v>0</v>
      </c>
      <c r="N583" s="8">
        <f t="shared" si="0"/>
        <v>1727.1134287756406</v>
      </c>
      <c r="O583" s="5">
        <f t="shared" si="1"/>
        <v>1476</v>
      </c>
      <c r="P583" s="5">
        <f t="shared" si="2"/>
        <v>251.11342877564061</v>
      </c>
      <c r="Q583" s="5" t="s">
        <v>83</v>
      </c>
      <c r="R583" s="5" t="s">
        <v>56</v>
      </c>
      <c r="T583" s="5">
        <v>8</v>
      </c>
      <c r="U583" s="5">
        <v>3</v>
      </c>
      <c r="W583" s="5">
        <f t="shared" si="3"/>
        <v>0</v>
      </c>
    </row>
    <row r="584" spans="1:23" ht="15.75" customHeight="1" x14ac:dyDescent="0.25">
      <c r="A584" s="5" t="s">
        <v>925</v>
      </c>
      <c r="B584" s="6">
        <v>45104</v>
      </c>
      <c r="C584" s="5" t="s">
        <v>288</v>
      </c>
      <c r="D584" s="5" t="s">
        <v>148</v>
      </c>
      <c r="E584" s="5" t="s">
        <v>54</v>
      </c>
      <c r="F584" s="5" t="s">
        <v>55</v>
      </c>
      <c r="G584" s="5" t="s">
        <v>70</v>
      </c>
      <c r="H584" s="5" t="s">
        <v>44</v>
      </c>
      <c r="I584" s="5" t="s">
        <v>71</v>
      </c>
      <c r="J584" s="5">
        <v>1215</v>
      </c>
      <c r="K584" s="7">
        <v>1422.043871342099</v>
      </c>
      <c r="L584" s="5">
        <v>4</v>
      </c>
      <c r="M584" s="5">
        <v>5</v>
      </c>
      <c r="N584" s="8">
        <f t="shared" si="0"/>
        <v>5403.7667110999764</v>
      </c>
      <c r="O584" s="5">
        <f t="shared" si="1"/>
        <v>4860</v>
      </c>
      <c r="P584" s="5">
        <f t="shared" si="2"/>
        <v>543.76671109997642</v>
      </c>
      <c r="Q584" s="5" t="s">
        <v>31</v>
      </c>
      <c r="R584" s="5" t="s">
        <v>32</v>
      </c>
      <c r="S584" s="6">
        <v>45114</v>
      </c>
      <c r="T584" s="5">
        <v>4</v>
      </c>
      <c r="U584" s="5">
        <v>2</v>
      </c>
      <c r="V584" s="5" t="s">
        <v>33</v>
      </c>
      <c r="W584" s="5">
        <f t="shared" si="3"/>
        <v>0</v>
      </c>
    </row>
    <row r="585" spans="1:23" ht="15.75" customHeight="1" x14ac:dyDescent="0.25">
      <c r="A585" s="5" t="s">
        <v>926</v>
      </c>
      <c r="B585" s="6">
        <v>45104</v>
      </c>
      <c r="C585" s="5" t="s">
        <v>662</v>
      </c>
      <c r="D585" s="5" t="s">
        <v>36</v>
      </c>
      <c r="E585" s="5" t="s">
        <v>49</v>
      </c>
      <c r="F585" s="5" t="s">
        <v>50</v>
      </c>
      <c r="G585" s="5" t="s">
        <v>28</v>
      </c>
      <c r="H585" s="5" t="s">
        <v>29</v>
      </c>
      <c r="I585" s="5" t="s">
        <v>30</v>
      </c>
      <c r="J585" s="5">
        <v>4032</v>
      </c>
      <c r="K585" s="7">
        <v>5503.3616574732605</v>
      </c>
      <c r="L585" s="5">
        <v>1</v>
      </c>
      <c r="M585" s="5">
        <v>20</v>
      </c>
      <c r="N585" s="8">
        <f t="shared" si="0"/>
        <v>4402.6893259786084</v>
      </c>
      <c r="O585" s="5">
        <f t="shared" si="1"/>
        <v>4032</v>
      </c>
      <c r="P585" s="5">
        <f t="shared" si="2"/>
        <v>370.68932597860839</v>
      </c>
      <c r="Q585" s="5" t="s">
        <v>46</v>
      </c>
      <c r="R585" s="5" t="s">
        <v>56</v>
      </c>
      <c r="T585" s="5">
        <v>8</v>
      </c>
      <c r="U585" s="5">
        <v>4</v>
      </c>
      <c r="W585" s="5">
        <f t="shared" si="3"/>
        <v>0</v>
      </c>
    </row>
    <row r="586" spans="1:23" ht="15.75" customHeight="1" x14ac:dyDescent="0.25">
      <c r="A586" s="5" t="s">
        <v>927</v>
      </c>
      <c r="B586" s="6">
        <v>45104</v>
      </c>
      <c r="C586" s="5" t="s">
        <v>52</v>
      </c>
      <c r="D586" s="5" t="s">
        <v>181</v>
      </c>
      <c r="E586" s="5" t="s">
        <v>69</v>
      </c>
      <c r="F586" s="5" t="s">
        <v>55</v>
      </c>
      <c r="G586" s="5" t="s">
        <v>97</v>
      </c>
      <c r="H586" s="5" t="s">
        <v>98</v>
      </c>
      <c r="I586" s="5" t="s">
        <v>99</v>
      </c>
      <c r="J586" s="5">
        <v>434</v>
      </c>
      <c r="K586" s="7">
        <v>746.97550406114647</v>
      </c>
      <c r="L586" s="5">
        <v>5</v>
      </c>
      <c r="M586" s="5">
        <v>0</v>
      </c>
      <c r="N586" s="8">
        <f t="shared" si="0"/>
        <v>3734.8775203057321</v>
      </c>
      <c r="O586" s="5">
        <f t="shared" si="1"/>
        <v>2170</v>
      </c>
      <c r="P586" s="5">
        <f t="shared" si="2"/>
        <v>1564.8775203057321</v>
      </c>
      <c r="Q586" s="5" t="s">
        <v>46</v>
      </c>
      <c r="R586" s="5" t="s">
        <v>32</v>
      </c>
      <c r="S586" s="6">
        <v>45111</v>
      </c>
      <c r="T586" s="5">
        <v>2</v>
      </c>
      <c r="U586" s="5">
        <v>4</v>
      </c>
      <c r="V586" s="5" t="s">
        <v>33</v>
      </c>
      <c r="W586" s="5">
        <f t="shared" si="3"/>
        <v>0</v>
      </c>
    </row>
    <row r="587" spans="1:23" ht="15.75" customHeight="1" x14ac:dyDescent="0.25">
      <c r="A587" s="5" t="s">
        <v>928</v>
      </c>
      <c r="B587" s="6">
        <v>45105</v>
      </c>
      <c r="C587" s="5" t="s">
        <v>170</v>
      </c>
      <c r="D587" s="5" t="s">
        <v>208</v>
      </c>
      <c r="E587" s="5" t="s">
        <v>54</v>
      </c>
      <c r="F587" s="5" t="s">
        <v>55</v>
      </c>
      <c r="G587" s="5" t="s">
        <v>28</v>
      </c>
      <c r="H587" s="5" t="s">
        <v>29</v>
      </c>
      <c r="I587" s="5" t="s">
        <v>30</v>
      </c>
      <c r="J587" s="5">
        <v>6893</v>
      </c>
      <c r="K587" s="7">
        <v>8527.1513427672144</v>
      </c>
      <c r="L587" s="5">
        <v>3</v>
      </c>
      <c r="M587" s="5">
        <v>20</v>
      </c>
      <c r="N587" s="8">
        <f t="shared" si="0"/>
        <v>20465.163222641317</v>
      </c>
      <c r="O587" s="5">
        <f t="shared" si="1"/>
        <v>20679</v>
      </c>
      <c r="P587" s="5">
        <f t="shared" si="2"/>
        <v>-213.83677735868332</v>
      </c>
      <c r="Q587" s="5" t="s">
        <v>31</v>
      </c>
      <c r="R587" s="5" t="s">
        <v>56</v>
      </c>
      <c r="T587" s="5">
        <v>10</v>
      </c>
      <c r="U587" s="5">
        <v>1</v>
      </c>
      <c r="W587" s="5">
        <f t="shared" si="3"/>
        <v>0</v>
      </c>
    </row>
    <row r="588" spans="1:23" ht="15.75" customHeight="1" x14ac:dyDescent="0.25">
      <c r="A588" s="5" t="s">
        <v>929</v>
      </c>
      <c r="B588" s="6">
        <v>45105</v>
      </c>
      <c r="C588" s="5" t="s">
        <v>309</v>
      </c>
      <c r="D588" s="5" t="s">
        <v>188</v>
      </c>
      <c r="E588" s="5" t="s">
        <v>60</v>
      </c>
      <c r="F588" s="5" t="s">
        <v>61</v>
      </c>
      <c r="G588" s="5" t="s">
        <v>106</v>
      </c>
      <c r="H588" s="5" t="s">
        <v>98</v>
      </c>
      <c r="I588" s="5" t="s">
        <v>107</v>
      </c>
      <c r="J588" s="5">
        <v>807</v>
      </c>
      <c r="K588" s="7">
        <v>957.84156141596713</v>
      </c>
      <c r="L588" s="5">
        <v>1</v>
      </c>
      <c r="M588" s="5">
        <v>15</v>
      </c>
      <c r="N588" s="8">
        <f t="shared" si="0"/>
        <v>814.16532720357202</v>
      </c>
      <c r="O588" s="5">
        <f t="shared" si="1"/>
        <v>807</v>
      </c>
      <c r="P588" s="5">
        <f t="shared" si="2"/>
        <v>7.1653272035720192</v>
      </c>
      <c r="Q588" s="5" t="s">
        <v>39</v>
      </c>
      <c r="R588" s="5" t="s">
        <v>32</v>
      </c>
      <c r="S588" s="6">
        <v>45110</v>
      </c>
      <c r="T588" s="5">
        <v>2</v>
      </c>
      <c r="U588" s="5">
        <v>4</v>
      </c>
      <c r="V588" s="5" t="s">
        <v>33</v>
      </c>
      <c r="W588" s="5">
        <f t="shared" si="3"/>
        <v>0</v>
      </c>
    </row>
    <row r="589" spans="1:23" ht="15.75" customHeight="1" x14ac:dyDescent="0.25">
      <c r="A589" s="5" t="s">
        <v>930</v>
      </c>
      <c r="B589" s="6">
        <v>45105</v>
      </c>
      <c r="C589" s="5" t="s">
        <v>261</v>
      </c>
      <c r="D589" s="5" t="s">
        <v>138</v>
      </c>
      <c r="E589" s="5" t="s">
        <v>49</v>
      </c>
      <c r="F589" s="5" t="s">
        <v>50</v>
      </c>
      <c r="G589" s="5" t="s">
        <v>92</v>
      </c>
      <c r="H589" s="5" t="s">
        <v>44</v>
      </c>
      <c r="I589" s="5" t="s">
        <v>45</v>
      </c>
      <c r="J589" s="5">
        <v>1448</v>
      </c>
      <c r="K589" s="7">
        <v>1916.3418557761565</v>
      </c>
      <c r="L589" s="5">
        <v>5</v>
      </c>
      <c r="M589" s="5">
        <v>5</v>
      </c>
      <c r="N589" s="8">
        <f t="shared" si="0"/>
        <v>9102.6238149367418</v>
      </c>
      <c r="O589" s="5">
        <f t="shared" si="1"/>
        <v>7240</v>
      </c>
      <c r="P589" s="5">
        <f t="shared" si="2"/>
        <v>1862.6238149367418</v>
      </c>
      <c r="Q589" s="5" t="s">
        <v>39</v>
      </c>
      <c r="R589" s="5" t="s">
        <v>32</v>
      </c>
      <c r="S589" s="6">
        <v>45112</v>
      </c>
      <c r="T589" s="5">
        <v>2</v>
      </c>
      <c r="U589" s="5">
        <v>4</v>
      </c>
      <c r="V589" s="5" t="s">
        <v>33</v>
      </c>
      <c r="W589" s="5">
        <f t="shared" si="3"/>
        <v>0</v>
      </c>
    </row>
    <row r="590" spans="1:23" ht="15.75" customHeight="1" x14ac:dyDescent="0.25">
      <c r="A590" s="5" t="s">
        <v>931</v>
      </c>
      <c r="B590" s="6">
        <v>45105</v>
      </c>
      <c r="C590" s="5" t="s">
        <v>932</v>
      </c>
      <c r="D590" s="5" t="s">
        <v>188</v>
      </c>
      <c r="E590" s="5" t="s">
        <v>26</v>
      </c>
      <c r="F590" s="5" t="s">
        <v>27</v>
      </c>
      <c r="G590" s="5" t="s">
        <v>28</v>
      </c>
      <c r="H590" s="5" t="s">
        <v>29</v>
      </c>
      <c r="I590" s="5" t="s">
        <v>30</v>
      </c>
      <c r="J590" s="5">
        <v>6670</v>
      </c>
      <c r="K590" s="7">
        <v>11739.00264646016</v>
      </c>
      <c r="L590" s="5">
        <v>3</v>
      </c>
      <c r="M590" s="5">
        <v>5</v>
      </c>
      <c r="N590" s="8">
        <f t="shared" si="0"/>
        <v>33456.157542411449</v>
      </c>
      <c r="O590" s="5">
        <f t="shared" si="1"/>
        <v>20010</v>
      </c>
      <c r="P590" s="5">
        <f t="shared" si="2"/>
        <v>13446.157542411449</v>
      </c>
      <c r="Q590" s="5" t="s">
        <v>31</v>
      </c>
      <c r="R590" s="5" t="s">
        <v>56</v>
      </c>
      <c r="T590" s="5">
        <v>10</v>
      </c>
      <c r="U590" s="5">
        <v>1</v>
      </c>
      <c r="W590" s="5">
        <f t="shared" si="3"/>
        <v>0</v>
      </c>
    </row>
    <row r="591" spans="1:23" ht="15.75" customHeight="1" x14ac:dyDescent="0.25">
      <c r="A591" s="5" t="s">
        <v>933</v>
      </c>
      <c r="B591" s="6">
        <v>45105</v>
      </c>
      <c r="C591" s="5" t="s">
        <v>203</v>
      </c>
      <c r="D591" s="5" t="s">
        <v>42</v>
      </c>
      <c r="E591" s="5" t="s">
        <v>60</v>
      </c>
      <c r="F591" s="5" t="s">
        <v>61</v>
      </c>
      <c r="G591" s="5" t="s">
        <v>87</v>
      </c>
      <c r="H591" s="5" t="s">
        <v>29</v>
      </c>
      <c r="I591" s="5" t="s">
        <v>88</v>
      </c>
      <c r="J591" s="5">
        <v>42433</v>
      </c>
      <c r="K591" s="7">
        <v>52386.297908350243</v>
      </c>
      <c r="L591" s="5">
        <v>5</v>
      </c>
      <c r="M591" s="5">
        <v>20</v>
      </c>
      <c r="N591" s="8">
        <f t="shared" si="0"/>
        <v>209545.19163340097</v>
      </c>
      <c r="O591" s="5">
        <f t="shared" si="1"/>
        <v>212165</v>
      </c>
      <c r="P591" s="5">
        <f t="shared" si="2"/>
        <v>-2619.8083665990271</v>
      </c>
      <c r="Q591" s="5" t="s">
        <v>46</v>
      </c>
      <c r="R591" s="5" t="s">
        <v>32</v>
      </c>
      <c r="S591" s="6">
        <v>45116</v>
      </c>
      <c r="T591" s="5">
        <v>6</v>
      </c>
      <c r="U591" s="5">
        <v>3</v>
      </c>
      <c r="V591" s="5" t="s">
        <v>33</v>
      </c>
      <c r="W591" s="5">
        <f t="shared" si="3"/>
        <v>0</v>
      </c>
    </row>
    <row r="592" spans="1:23" ht="15.75" customHeight="1" x14ac:dyDescent="0.25">
      <c r="A592" s="5" t="s">
        <v>934</v>
      </c>
      <c r="B592" s="6">
        <v>45105</v>
      </c>
      <c r="C592" s="5" t="s">
        <v>632</v>
      </c>
      <c r="D592" s="5" t="s">
        <v>36</v>
      </c>
      <c r="E592" s="5" t="s">
        <v>112</v>
      </c>
      <c r="F592" s="5" t="s">
        <v>113</v>
      </c>
      <c r="G592" s="5" t="s">
        <v>28</v>
      </c>
      <c r="H592" s="5" t="s">
        <v>29</v>
      </c>
      <c r="I592" s="5" t="s">
        <v>30</v>
      </c>
      <c r="J592" s="5">
        <v>5163</v>
      </c>
      <c r="K592" s="7">
        <v>8870.7434962823827</v>
      </c>
      <c r="L592" s="5">
        <v>3</v>
      </c>
      <c r="M592" s="5">
        <v>20</v>
      </c>
      <c r="N592" s="8">
        <f t="shared" si="0"/>
        <v>21289.784391077719</v>
      </c>
      <c r="O592" s="5">
        <f t="shared" si="1"/>
        <v>15489</v>
      </c>
      <c r="P592" s="5">
        <f t="shared" si="2"/>
        <v>5800.7843910777192</v>
      </c>
      <c r="Q592" s="5" t="s">
        <v>39</v>
      </c>
      <c r="R592" s="5" t="s">
        <v>32</v>
      </c>
      <c r="S592" s="6">
        <v>45112</v>
      </c>
      <c r="T592" s="5">
        <v>1</v>
      </c>
      <c r="U592" s="5">
        <v>5</v>
      </c>
      <c r="V592" s="5" t="s">
        <v>33</v>
      </c>
      <c r="W592" s="5">
        <f t="shared" si="3"/>
        <v>0</v>
      </c>
    </row>
    <row r="593" spans="1:23" ht="15.75" customHeight="1" x14ac:dyDescent="0.25">
      <c r="A593" s="5" t="s">
        <v>935</v>
      </c>
      <c r="B593" s="6">
        <v>45106</v>
      </c>
      <c r="C593" s="5" t="s">
        <v>115</v>
      </c>
      <c r="D593" s="5" t="s">
        <v>105</v>
      </c>
      <c r="E593" s="5" t="s">
        <v>37</v>
      </c>
      <c r="F593" s="5" t="s">
        <v>38</v>
      </c>
      <c r="G593" s="5" t="s">
        <v>106</v>
      </c>
      <c r="H593" s="5" t="s">
        <v>98</v>
      </c>
      <c r="I593" s="5" t="s">
        <v>107</v>
      </c>
      <c r="J593" s="5">
        <v>738</v>
      </c>
      <c r="K593" s="7">
        <v>874.70628792214313</v>
      </c>
      <c r="L593" s="5">
        <v>1</v>
      </c>
      <c r="M593" s="5">
        <v>10</v>
      </c>
      <c r="N593" s="8">
        <f t="shared" si="0"/>
        <v>787.23565912992888</v>
      </c>
      <c r="O593" s="5">
        <f t="shared" si="1"/>
        <v>738</v>
      </c>
      <c r="P593" s="5">
        <f t="shared" si="2"/>
        <v>49.235659129928877</v>
      </c>
      <c r="Q593" s="5" t="s">
        <v>39</v>
      </c>
      <c r="R593" s="5" t="s">
        <v>32</v>
      </c>
      <c r="S593" s="6">
        <v>45110</v>
      </c>
      <c r="T593" s="5">
        <v>1</v>
      </c>
      <c r="U593" s="5">
        <v>5</v>
      </c>
      <c r="V593" s="5" t="s">
        <v>33</v>
      </c>
      <c r="W593" s="5">
        <f t="shared" si="3"/>
        <v>0</v>
      </c>
    </row>
    <row r="594" spans="1:23" ht="15.75" customHeight="1" x14ac:dyDescent="0.25">
      <c r="A594" s="5" t="s">
        <v>936</v>
      </c>
      <c r="B594" s="6">
        <v>45106</v>
      </c>
      <c r="C594" s="5" t="s">
        <v>163</v>
      </c>
      <c r="D594" s="5" t="s">
        <v>102</v>
      </c>
      <c r="E594" s="5" t="s">
        <v>37</v>
      </c>
      <c r="F594" s="5" t="s">
        <v>38</v>
      </c>
      <c r="G594" s="5" t="s">
        <v>124</v>
      </c>
      <c r="H594" s="5" t="s">
        <v>76</v>
      </c>
      <c r="I594" s="5" t="s">
        <v>125</v>
      </c>
      <c r="J594" s="5">
        <v>65579</v>
      </c>
      <c r="K594" s="7">
        <v>87048.077791302829</v>
      </c>
      <c r="L594" s="5">
        <v>1</v>
      </c>
      <c r="M594" s="5">
        <v>20</v>
      </c>
      <c r="N594" s="8">
        <f t="shared" si="0"/>
        <v>69638.462233042272</v>
      </c>
      <c r="O594" s="5">
        <f t="shared" si="1"/>
        <v>65579</v>
      </c>
      <c r="P594" s="5">
        <f t="shared" si="2"/>
        <v>4059.4622330422717</v>
      </c>
      <c r="Q594" s="5" t="s">
        <v>46</v>
      </c>
      <c r="R594" s="5" t="s">
        <v>32</v>
      </c>
      <c r="S594" s="6">
        <v>45115</v>
      </c>
      <c r="T594" s="5">
        <v>4</v>
      </c>
      <c r="U594" s="5">
        <v>4</v>
      </c>
      <c r="V594" s="5" t="s">
        <v>33</v>
      </c>
      <c r="W594" s="5">
        <f t="shared" si="3"/>
        <v>0</v>
      </c>
    </row>
    <row r="595" spans="1:23" ht="15.75" customHeight="1" x14ac:dyDescent="0.25">
      <c r="A595" s="5" t="s">
        <v>937</v>
      </c>
      <c r="B595" s="6">
        <v>45106</v>
      </c>
      <c r="C595" s="5" t="s">
        <v>466</v>
      </c>
      <c r="D595" s="5" t="s">
        <v>146</v>
      </c>
      <c r="E595" s="5" t="s">
        <v>80</v>
      </c>
      <c r="F595" s="5" t="s">
        <v>80</v>
      </c>
      <c r="G595" s="5" t="s">
        <v>92</v>
      </c>
      <c r="H595" s="5" t="s">
        <v>44</v>
      </c>
      <c r="I595" s="5" t="s">
        <v>45</v>
      </c>
      <c r="J595" s="5">
        <v>1320</v>
      </c>
      <c r="K595" s="7">
        <v>1465.0846021803102</v>
      </c>
      <c r="L595" s="5">
        <v>2</v>
      </c>
      <c r="M595" s="5">
        <v>0</v>
      </c>
      <c r="N595" s="8">
        <f t="shared" si="0"/>
        <v>2930.1692043606204</v>
      </c>
      <c r="O595" s="5">
        <f t="shared" si="1"/>
        <v>2640</v>
      </c>
      <c r="P595" s="5">
        <f t="shared" si="2"/>
        <v>290.16920436062037</v>
      </c>
      <c r="Q595" s="5" t="s">
        <v>46</v>
      </c>
      <c r="R595" s="5" t="s">
        <v>56</v>
      </c>
      <c r="T595" s="5">
        <v>9</v>
      </c>
      <c r="U595" s="5">
        <v>1</v>
      </c>
      <c r="W595" s="5">
        <f t="shared" si="3"/>
        <v>0</v>
      </c>
    </row>
    <row r="596" spans="1:23" ht="15.75" customHeight="1" x14ac:dyDescent="0.25">
      <c r="A596" s="5" t="s">
        <v>938</v>
      </c>
      <c r="B596" s="6">
        <v>45106</v>
      </c>
      <c r="C596" s="5" t="s">
        <v>796</v>
      </c>
      <c r="D596" s="5" t="s">
        <v>53</v>
      </c>
      <c r="E596" s="5" t="s">
        <v>26</v>
      </c>
      <c r="F596" s="5" t="s">
        <v>27</v>
      </c>
      <c r="G596" s="5" t="s">
        <v>106</v>
      </c>
      <c r="H596" s="5" t="s">
        <v>98</v>
      </c>
      <c r="I596" s="5" t="s">
        <v>107</v>
      </c>
      <c r="J596" s="5">
        <v>908</v>
      </c>
      <c r="K596" s="7">
        <v>1153.9181726662682</v>
      </c>
      <c r="L596" s="5">
        <v>1</v>
      </c>
      <c r="M596" s="5">
        <v>5</v>
      </c>
      <c r="N596" s="8">
        <f t="shared" si="0"/>
        <v>1096.2222640329549</v>
      </c>
      <c r="O596" s="5">
        <f t="shared" si="1"/>
        <v>908</v>
      </c>
      <c r="P596" s="5">
        <f t="shared" si="2"/>
        <v>188.22226403295485</v>
      </c>
      <c r="Q596" s="5" t="s">
        <v>83</v>
      </c>
      <c r="R596" s="5" t="s">
        <v>32</v>
      </c>
      <c r="S596" s="6">
        <v>45112</v>
      </c>
      <c r="T596" s="5">
        <v>1</v>
      </c>
      <c r="U596" s="5">
        <v>5</v>
      </c>
      <c r="V596" s="5" t="s">
        <v>33</v>
      </c>
      <c r="W596" s="5">
        <f t="shared" si="3"/>
        <v>0</v>
      </c>
    </row>
    <row r="597" spans="1:23" ht="15.75" customHeight="1" x14ac:dyDescent="0.25">
      <c r="A597" s="5" t="s">
        <v>939</v>
      </c>
      <c r="B597" s="6">
        <v>45106</v>
      </c>
      <c r="C597" s="5" t="s">
        <v>670</v>
      </c>
      <c r="D597" s="5" t="s">
        <v>74</v>
      </c>
      <c r="E597" s="5" t="s">
        <v>60</v>
      </c>
      <c r="F597" s="5" t="s">
        <v>61</v>
      </c>
      <c r="G597" s="5" t="s">
        <v>70</v>
      </c>
      <c r="H597" s="5" t="s">
        <v>44</v>
      </c>
      <c r="I597" s="5" t="s">
        <v>71</v>
      </c>
      <c r="J597" s="5">
        <v>1366</v>
      </c>
      <c r="K597" s="7">
        <v>1703.2584333878242</v>
      </c>
      <c r="L597" s="5">
        <v>2</v>
      </c>
      <c r="M597" s="5">
        <v>20</v>
      </c>
      <c r="N597" s="8">
        <f t="shared" si="0"/>
        <v>2725.2134934205187</v>
      </c>
      <c r="O597" s="5">
        <f t="shared" si="1"/>
        <v>2732</v>
      </c>
      <c r="P597" s="5">
        <f t="shared" si="2"/>
        <v>-6.7865065794812836</v>
      </c>
      <c r="Q597" s="5" t="s">
        <v>83</v>
      </c>
      <c r="R597" s="5" t="s">
        <v>32</v>
      </c>
      <c r="S597" s="6">
        <v>45116</v>
      </c>
      <c r="T597" s="5">
        <v>4</v>
      </c>
      <c r="U597" s="5">
        <v>3</v>
      </c>
      <c r="V597" s="5" t="s">
        <v>33</v>
      </c>
      <c r="W597" s="5">
        <f t="shared" si="3"/>
        <v>0</v>
      </c>
    </row>
    <row r="598" spans="1:23" ht="15.75" customHeight="1" x14ac:dyDescent="0.25">
      <c r="A598" s="5" t="s">
        <v>940</v>
      </c>
      <c r="B598" s="6">
        <v>45106</v>
      </c>
      <c r="C598" s="5" t="s">
        <v>642</v>
      </c>
      <c r="D598" s="5" t="s">
        <v>138</v>
      </c>
      <c r="E598" s="5" t="s">
        <v>112</v>
      </c>
      <c r="F598" s="5" t="s">
        <v>113</v>
      </c>
      <c r="G598" s="5" t="s">
        <v>70</v>
      </c>
      <c r="H598" s="5" t="s">
        <v>44</v>
      </c>
      <c r="I598" s="5" t="s">
        <v>71</v>
      </c>
      <c r="J598" s="5">
        <v>502</v>
      </c>
      <c r="K598" s="7">
        <v>737.32148884140486</v>
      </c>
      <c r="L598" s="5">
        <v>4</v>
      </c>
      <c r="M598" s="5">
        <v>20</v>
      </c>
      <c r="N598" s="8">
        <f t="shared" si="0"/>
        <v>2359.4287642924955</v>
      </c>
      <c r="O598" s="5">
        <f t="shared" si="1"/>
        <v>2008</v>
      </c>
      <c r="P598" s="5">
        <f t="shared" si="2"/>
        <v>351.42876429249554</v>
      </c>
      <c r="Q598" s="5" t="s">
        <v>83</v>
      </c>
      <c r="R598" s="5" t="s">
        <v>32</v>
      </c>
      <c r="S598" s="6">
        <v>45116</v>
      </c>
      <c r="T598" s="5">
        <v>3</v>
      </c>
      <c r="U598" s="5">
        <v>3</v>
      </c>
      <c r="V598" s="5" t="s">
        <v>33</v>
      </c>
      <c r="W598" s="5">
        <f t="shared" si="3"/>
        <v>0</v>
      </c>
    </row>
    <row r="599" spans="1:23" ht="15.75" customHeight="1" x14ac:dyDescent="0.25">
      <c r="A599" s="5" t="s">
        <v>941</v>
      </c>
      <c r="B599" s="6">
        <v>45107</v>
      </c>
      <c r="C599" s="5" t="s">
        <v>913</v>
      </c>
      <c r="D599" s="5" t="s">
        <v>64</v>
      </c>
      <c r="E599" s="5" t="s">
        <v>80</v>
      </c>
      <c r="F599" s="5" t="s">
        <v>80</v>
      </c>
      <c r="G599" s="5" t="s">
        <v>124</v>
      </c>
      <c r="H599" s="5" t="s">
        <v>76</v>
      </c>
      <c r="I599" s="5" t="s">
        <v>125</v>
      </c>
      <c r="J599" s="5">
        <v>66529</v>
      </c>
      <c r="K599" s="7">
        <v>97303.485896967977</v>
      </c>
      <c r="L599" s="5">
        <v>5</v>
      </c>
      <c r="M599" s="5">
        <v>5</v>
      </c>
      <c r="N599" s="8">
        <f t="shared" si="0"/>
        <v>462191.55801059789</v>
      </c>
      <c r="O599" s="5">
        <f t="shared" si="1"/>
        <v>332645</v>
      </c>
      <c r="P599" s="5">
        <f t="shared" si="2"/>
        <v>129546.55801059789</v>
      </c>
      <c r="Q599" s="5" t="s">
        <v>31</v>
      </c>
      <c r="R599" s="5" t="s">
        <v>32</v>
      </c>
      <c r="S599" s="6">
        <v>45116</v>
      </c>
      <c r="T599" s="5">
        <v>6</v>
      </c>
      <c r="U599" s="5">
        <v>3</v>
      </c>
      <c r="V599" s="5" t="s">
        <v>33</v>
      </c>
      <c r="W599" s="5">
        <f t="shared" si="3"/>
        <v>0</v>
      </c>
    </row>
    <row r="600" spans="1:23" ht="15.75" customHeight="1" x14ac:dyDescent="0.25">
      <c r="A600" s="5" t="s">
        <v>942</v>
      </c>
      <c r="B600" s="6">
        <v>45108</v>
      </c>
      <c r="C600" s="5" t="s">
        <v>332</v>
      </c>
      <c r="D600" s="5" t="s">
        <v>102</v>
      </c>
      <c r="E600" s="5" t="s">
        <v>37</v>
      </c>
      <c r="F600" s="5" t="s">
        <v>38</v>
      </c>
      <c r="G600" s="5" t="s">
        <v>28</v>
      </c>
      <c r="H600" s="5" t="s">
        <v>29</v>
      </c>
      <c r="I600" s="5" t="s">
        <v>30</v>
      </c>
      <c r="J600" s="5">
        <v>5314</v>
      </c>
      <c r="K600" s="7">
        <v>7061.2938534166915</v>
      </c>
      <c r="L600" s="5">
        <v>3</v>
      </c>
      <c r="M600" s="5">
        <v>10</v>
      </c>
      <c r="N600" s="8">
        <f t="shared" si="0"/>
        <v>19065.493404225068</v>
      </c>
      <c r="O600" s="5">
        <f t="shared" si="1"/>
        <v>15942</v>
      </c>
      <c r="P600" s="5">
        <f t="shared" si="2"/>
        <v>3123.4934042250679</v>
      </c>
      <c r="Q600" s="5" t="s">
        <v>46</v>
      </c>
      <c r="R600" s="5" t="s">
        <v>32</v>
      </c>
      <c r="S600" s="6">
        <v>45114</v>
      </c>
      <c r="T600" s="5">
        <v>3</v>
      </c>
      <c r="U600" s="5">
        <v>2</v>
      </c>
      <c r="V600" s="5" t="s">
        <v>33</v>
      </c>
      <c r="W600" s="5">
        <f t="shared" si="3"/>
        <v>0</v>
      </c>
    </row>
    <row r="601" spans="1:23" ht="15.75" customHeight="1" x14ac:dyDescent="0.25">
      <c r="A601" s="5" t="s">
        <v>943</v>
      </c>
      <c r="B601" s="6">
        <v>45108</v>
      </c>
      <c r="C601" s="5" t="s">
        <v>402</v>
      </c>
      <c r="D601" s="5" t="s">
        <v>105</v>
      </c>
      <c r="E601" s="5" t="s">
        <v>37</v>
      </c>
      <c r="F601" s="5" t="s">
        <v>38</v>
      </c>
      <c r="G601" s="5" t="s">
        <v>70</v>
      </c>
      <c r="H601" s="5" t="s">
        <v>44</v>
      </c>
      <c r="I601" s="5" t="s">
        <v>71</v>
      </c>
      <c r="J601" s="5">
        <v>645</v>
      </c>
      <c r="K601" s="7">
        <v>706.49115742239155</v>
      </c>
      <c r="L601" s="5">
        <v>2</v>
      </c>
      <c r="M601" s="5">
        <v>20</v>
      </c>
      <c r="N601" s="8">
        <f t="shared" si="0"/>
        <v>1130.3858518758266</v>
      </c>
      <c r="O601" s="5">
        <f t="shared" si="1"/>
        <v>1290</v>
      </c>
      <c r="P601" s="5">
        <f t="shared" si="2"/>
        <v>-159.61414812417343</v>
      </c>
      <c r="Q601" s="5" t="s">
        <v>31</v>
      </c>
      <c r="R601" s="5" t="s">
        <v>56</v>
      </c>
      <c r="T601" s="5">
        <v>8</v>
      </c>
      <c r="U601" s="5">
        <v>3</v>
      </c>
      <c r="W601" s="5">
        <f t="shared" si="3"/>
        <v>0</v>
      </c>
    </row>
    <row r="602" spans="1:23" ht="15.75" customHeight="1" x14ac:dyDescent="0.25">
      <c r="A602" s="5" t="s">
        <v>944</v>
      </c>
      <c r="B602" s="6">
        <v>45108</v>
      </c>
      <c r="C602" s="5" t="s">
        <v>118</v>
      </c>
      <c r="D602" s="5" t="s">
        <v>36</v>
      </c>
      <c r="E602" s="5" t="s">
        <v>80</v>
      </c>
      <c r="F602" s="5" t="s">
        <v>80</v>
      </c>
      <c r="G602" s="5" t="s">
        <v>92</v>
      </c>
      <c r="H602" s="5" t="s">
        <v>44</v>
      </c>
      <c r="I602" s="5" t="s">
        <v>45</v>
      </c>
      <c r="J602" s="5">
        <v>857</v>
      </c>
      <c r="K602" s="7">
        <v>1273.6143807872704</v>
      </c>
      <c r="L602" s="5">
        <v>2</v>
      </c>
      <c r="M602" s="5">
        <v>0</v>
      </c>
      <c r="N602" s="8">
        <f t="shared" si="0"/>
        <v>2547.2287615745408</v>
      </c>
      <c r="O602" s="5">
        <f t="shared" si="1"/>
        <v>1714</v>
      </c>
      <c r="P602" s="5">
        <f t="shared" si="2"/>
        <v>833.22876157454084</v>
      </c>
      <c r="Q602" s="5" t="s">
        <v>46</v>
      </c>
      <c r="R602" s="5" t="s">
        <v>56</v>
      </c>
      <c r="T602" s="5">
        <v>8</v>
      </c>
      <c r="U602" s="5">
        <v>3</v>
      </c>
      <c r="W602" s="5">
        <f t="shared" si="3"/>
        <v>0</v>
      </c>
    </row>
    <row r="603" spans="1:23" ht="15.75" customHeight="1" x14ac:dyDescent="0.25">
      <c r="A603" s="5" t="s">
        <v>945</v>
      </c>
      <c r="B603" s="6">
        <v>45109</v>
      </c>
      <c r="C603" s="5" t="s">
        <v>276</v>
      </c>
      <c r="D603" s="5" t="s">
        <v>135</v>
      </c>
      <c r="E603" s="5" t="s">
        <v>60</v>
      </c>
      <c r="F603" s="5" t="s">
        <v>61</v>
      </c>
      <c r="G603" s="5" t="s">
        <v>97</v>
      </c>
      <c r="H603" s="5" t="s">
        <v>98</v>
      </c>
      <c r="I603" s="5" t="s">
        <v>99</v>
      </c>
      <c r="J603" s="5">
        <v>592</v>
      </c>
      <c r="K603" s="7">
        <v>979.32484973320277</v>
      </c>
      <c r="L603" s="5">
        <v>3</v>
      </c>
      <c r="M603" s="5">
        <v>5</v>
      </c>
      <c r="N603" s="8">
        <f t="shared" si="0"/>
        <v>2791.0758217396278</v>
      </c>
      <c r="O603" s="5">
        <f t="shared" si="1"/>
        <v>1776</v>
      </c>
      <c r="P603" s="5">
        <f t="shared" si="2"/>
        <v>1015.0758217396278</v>
      </c>
      <c r="Q603" s="5" t="s">
        <v>39</v>
      </c>
      <c r="R603" s="5" t="s">
        <v>32</v>
      </c>
      <c r="S603" s="6">
        <v>45117</v>
      </c>
      <c r="T603" s="5">
        <v>1</v>
      </c>
      <c r="U603" s="5">
        <v>4</v>
      </c>
      <c r="V603" s="5" t="s">
        <v>33</v>
      </c>
      <c r="W603" s="5">
        <f t="shared" si="3"/>
        <v>0</v>
      </c>
    </row>
    <row r="604" spans="1:23" ht="15.75" customHeight="1" x14ac:dyDescent="0.25">
      <c r="A604" s="5" t="s">
        <v>946</v>
      </c>
      <c r="B604" s="6">
        <v>45110</v>
      </c>
      <c r="C604" s="5" t="s">
        <v>195</v>
      </c>
      <c r="D604" s="5" t="s">
        <v>208</v>
      </c>
      <c r="E604" s="5" t="s">
        <v>80</v>
      </c>
      <c r="F604" s="5" t="s">
        <v>80</v>
      </c>
      <c r="G604" s="5" t="s">
        <v>87</v>
      </c>
      <c r="H604" s="5" t="s">
        <v>29</v>
      </c>
      <c r="I604" s="5" t="s">
        <v>88</v>
      </c>
      <c r="J604" s="5">
        <v>24340</v>
      </c>
      <c r="K604" s="7">
        <v>38096.068219599474</v>
      </c>
      <c r="L604" s="5">
        <v>5</v>
      </c>
      <c r="M604" s="5">
        <v>0</v>
      </c>
      <c r="N604" s="8">
        <f t="shared" si="0"/>
        <v>190480.34109799739</v>
      </c>
      <c r="O604" s="5">
        <f t="shared" si="1"/>
        <v>121700</v>
      </c>
      <c r="P604" s="5">
        <f t="shared" si="2"/>
        <v>68780.341097997385</v>
      </c>
      <c r="Q604" s="5" t="s">
        <v>46</v>
      </c>
      <c r="R604" s="5" t="s">
        <v>32</v>
      </c>
      <c r="S604" s="6">
        <v>45119</v>
      </c>
      <c r="T604" s="5">
        <v>4</v>
      </c>
      <c r="U604" s="5">
        <v>3</v>
      </c>
      <c r="V604" s="5" t="s">
        <v>33</v>
      </c>
      <c r="W604" s="5">
        <f t="shared" si="3"/>
        <v>0</v>
      </c>
    </row>
    <row r="605" spans="1:23" ht="15.75" customHeight="1" x14ac:dyDescent="0.25">
      <c r="A605" s="5" t="s">
        <v>947</v>
      </c>
      <c r="B605" s="6">
        <v>45111</v>
      </c>
      <c r="C605" s="5" t="s">
        <v>115</v>
      </c>
      <c r="D605" s="5" t="s">
        <v>105</v>
      </c>
      <c r="E605" s="5" t="s">
        <v>49</v>
      </c>
      <c r="F605" s="5" t="s">
        <v>50</v>
      </c>
      <c r="G605" s="5" t="s">
        <v>139</v>
      </c>
      <c r="H605" s="5" t="s">
        <v>76</v>
      </c>
      <c r="I605" s="5" t="s">
        <v>140</v>
      </c>
      <c r="J605" s="5">
        <v>45177</v>
      </c>
      <c r="K605" s="7">
        <v>56391.195359021855</v>
      </c>
      <c r="L605" s="5">
        <v>4</v>
      </c>
      <c r="M605" s="5">
        <v>15</v>
      </c>
      <c r="N605" s="8">
        <f t="shared" si="0"/>
        <v>191730.06422067431</v>
      </c>
      <c r="O605" s="5">
        <f t="shared" si="1"/>
        <v>180708</v>
      </c>
      <c r="P605" s="5">
        <f t="shared" si="2"/>
        <v>11022.064220674307</v>
      </c>
      <c r="Q605" s="5" t="s">
        <v>31</v>
      </c>
      <c r="R605" s="5" t="s">
        <v>32</v>
      </c>
      <c r="S605" s="6">
        <v>45118</v>
      </c>
      <c r="T605" s="5">
        <v>1</v>
      </c>
      <c r="U605" s="5">
        <v>4</v>
      </c>
      <c r="V605" s="5" t="s">
        <v>33</v>
      </c>
      <c r="W605" s="5">
        <f t="shared" si="3"/>
        <v>0</v>
      </c>
    </row>
    <row r="606" spans="1:23" ht="15.75" customHeight="1" x14ac:dyDescent="0.25">
      <c r="A606" s="5" t="s">
        <v>948</v>
      </c>
      <c r="B606" s="6">
        <v>45111</v>
      </c>
      <c r="C606" s="5" t="s">
        <v>765</v>
      </c>
      <c r="D606" s="5" t="s">
        <v>181</v>
      </c>
      <c r="E606" s="5" t="s">
        <v>54</v>
      </c>
      <c r="F606" s="5" t="s">
        <v>55</v>
      </c>
      <c r="G606" s="5" t="s">
        <v>75</v>
      </c>
      <c r="H606" s="5" t="s">
        <v>76</v>
      </c>
      <c r="I606" s="5" t="s">
        <v>77</v>
      </c>
      <c r="J606" s="5">
        <v>634</v>
      </c>
      <c r="K606" s="7">
        <v>975.19761136837462</v>
      </c>
      <c r="L606" s="5">
        <v>5</v>
      </c>
      <c r="M606" s="5">
        <v>5</v>
      </c>
      <c r="N606" s="8">
        <f t="shared" si="0"/>
        <v>4632.1886539997795</v>
      </c>
      <c r="O606" s="5">
        <f t="shared" si="1"/>
        <v>3170</v>
      </c>
      <c r="P606" s="5">
        <f t="shared" si="2"/>
        <v>1462.1886539997795</v>
      </c>
      <c r="Q606" s="5" t="s">
        <v>39</v>
      </c>
      <c r="R606" s="5" t="s">
        <v>56</v>
      </c>
      <c r="T606" s="5">
        <v>10</v>
      </c>
      <c r="U606" s="5">
        <v>1</v>
      </c>
      <c r="W606" s="5">
        <f t="shared" si="3"/>
        <v>0</v>
      </c>
    </row>
    <row r="607" spans="1:23" ht="15.75" customHeight="1" x14ac:dyDescent="0.25">
      <c r="A607" s="5" t="s">
        <v>949</v>
      </c>
      <c r="B607" s="6">
        <v>45111</v>
      </c>
      <c r="C607" s="5" t="s">
        <v>385</v>
      </c>
      <c r="D607" s="5" t="s">
        <v>53</v>
      </c>
      <c r="E607" s="5" t="s">
        <v>26</v>
      </c>
      <c r="F607" s="5" t="s">
        <v>27</v>
      </c>
      <c r="G607" s="5" t="s">
        <v>106</v>
      </c>
      <c r="H607" s="5" t="s">
        <v>98</v>
      </c>
      <c r="I607" s="5" t="s">
        <v>107</v>
      </c>
      <c r="J607" s="5">
        <v>917</v>
      </c>
      <c r="K607" s="7">
        <v>1189.8730160198284</v>
      </c>
      <c r="L607" s="5">
        <v>5</v>
      </c>
      <c r="M607" s="5">
        <v>0</v>
      </c>
      <c r="N607" s="8">
        <f t="shared" si="0"/>
        <v>5949.3650800991418</v>
      </c>
      <c r="O607" s="5">
        <f t="shared" si="1"/>
        <v>4585</v>
      </c>
      <c r="P607" s="5">
        <f t="shared" si="2"/>
        <v>1364.3650800991418</v>
      </c>
      <c r="Q607" s="5" t="s">
        <v>39</v>
      </c>
      <c r="R607" s="5" t="s">
        <v>32</v>
      </c>
      <c r="S607" s="6">
        <v>45118</v>
      </c>
      <c r="T607" s="5">
        <v>1</v>
      </c>
      <c r="U607" s="5">
        <v>4</v>
      </c>
      <c r="V607" s="5" t="s">
        <v>33</v>
      </c>
      <c r="W607" s="5">
        <f t="shared" si="3"/>
        <v>0</v>
      </c>
    </row>
    <row r="608" spans="1:23" ht="15.75" customHeight="1" x14ac:dyDescent="0.25">
      <c r="A608" s="5" t="s">
        <v>950</v>
      </c>
      <c r="B608" s="6">
        <v>45111</v>
      </c>
      <c r="C608" s="5" t="s">
        <v>566</v>
      </c>
      <c r="D608" s="5" t="s">
        <v>59</v>
      </c>
      <c r="E608" s="5" t="s">
        <v>60</v>
      </c>
      <c r="F608" s="5" t="s">
        <v>61</v>
      </c>
      <c r="G608" s="5" t="s">
        <v>92</v>
      </c>
      <c r="H608" s="5" t="s">
        <v>44</v>
      </c>
      <c r="I608" s="5" t="s">
        <v>45</v>
      </c>
      <c r="J608" s="5">
        <v>1418</v>
      </c>
      <c r="K608" s="7">
        <v>1564.2584702922684</v>
      </c>
      <c r="L608" s="5">
        <v>4</v>
      </c>
      <c r="M608" s="5">
        <v>15</v>
      </c>
      <c r="N608" s="8">
        <f t="shared" si="0"/>
        <v>5318.4787989937122</v>
      </c>
      <c r="O608" s="5">
        <f t="shared" si="1"/>
        <v>5672</v>
      </c>
      <c r="P608" s="5">
        <f t="shared" si="2"/>
        <v>-353.52120100628781</v>
      </c>
      <c r="Q608" s="5" t="s">
        <v>46</v>
      </c>
      <c r="R608" s="5" t="s">
        <v>32</v>
      </c>
      <c r="S608" s="6">
        <v>45118</v>
      </c>
      <c r="T608" s="5">
        <v>3</v>
      </c>
      <c r="U608" s="5">
        <v>3</v>
      </c>
      <c r="V608" s="5" t="s">
        <v>33</v>
      </c>
      <c r="W608" s="5">
        <f t="shared" si="3"/>
        <v>0</v>
      </c>
    </row>
    <row r="609" spans="1:23" ht="15.75" customHeight="1" x14ac:dyDescent="0.25">
      <c r="A609" s="5" t="s">
        <v>951</v>
      </c>
      <c r="B609" s="6">
        <v>45111</v>
      </c>
      <c r="C609" s="5" t="s">
        <v>793</v>
      </c>
      <c r="D609" s="5" t="s">
        <v>25</v>
      </c>
      <c r="E609" s="5" t="s">
        <v>60</v>
      </c>
      <c r="F609" s="5" t="s">
        <v>61</v>
      </c>
      <c r="G609" s="5" t="s">
        <v>87</v>
      </c>
      <c r="H609" s="5" t="s">
        <v>29</v>
      </c>
      <c r="I609" s="5" t="s">
        <v>88</v>
      </c>
      <c r="J609" s="5">
        <v>30019</v>
      </c>
      <c r="K609" s="7">
        <v>31713.976185761643</v>
      </c>
      <c r="L609" s="5">
        <v>5</v>
      </c>
      <c r="M609" s="5">
        <v>10</v>
      </c>
      <c r="N609" s="8">
        <f t="shared" si="0"/>
        <v>142712.8928359274</v>
      </c>
      <c r="O609" s="5">
        <f t="shared" si="1"/>
        <v>150095</v>
      </c>
      <c r="P609" s="5">
        <f t="shared" si="2"/>
        <v>-7382.1071640726004</v>
      </c>
      <c r="Q609" s="5" t="s">
        <v>39</v>
      </c>
      <c r="R609" s="5" t="s">
        <v>32</v>
      </c>
      <c r="S609" s="6">
        <v>45121</v>
      </c>
      <c r="T609" s="5">
        <v>5</v>
      </c>
      <c r="U609" s="5">
        <v>2</v>
      </c>
      <c r="V609" s="5" t="s">
        <v>33</v>
      </c>
      <c r="W609" s="5">
        <f t="shared" si="3"/>
        <v>0</v>
      </c>
    </row>
    <row r="610" spans="1:23" ht="15.75" customHeight="1" x14ac:dyDescent="0.25">
      <c r="A610" s="5" t="s">
        <v>952</v>
      </c>
      <c r="B610" s="6">
        <v>45112</v>
      </c>
      <c r="C610" s="5" t="s">
        <v>466</v>
      </c>
      <c r="D610" s="5" t="s">
        <v>208</v>
      </c>
      <c r="E610" s="5" t="s">
        <v>26</v>
      </c>
      <c r="F610" s="5" t="s">
        <v>27</v>
      </c>
      <c r="G610" s="5" t="s">
        <v>43</v>
      </c>
      <c r="H610" s="5" t="s">
        <v>44</v>
      </c>
      <c r="I610" s="5" t="s">
        <v>45</v>
      </c>
      <c r="J610" s="5">
        <v>341</v>
      </c>
      <c r="K610" s="7">
        <v>442.91314450859289</v>
      </c>
      <c r="L610" s="5">
        <v>5</v>
      </c>
      <c r="M610" s="5">
        <v>0</v>
      </c>
      <c r="N610" s="8">
        <f t="shared" si="0"/>
        <v>2214.5657225429645</v>
      </c>
      <c r="O610" s="5">
        <f t="shared" si="1"/>
        <v>1705</v>
      </c>
      <c r="P610" s="5">
        <f t="shared" si="2"/>
        <v>509.56572254296452</v>
      </c>
      <c r="Q610" s="5" t="s">
        <v>31</v>
      </c>
      <c r="R610" s="5" t="s">
        <v>56</v>
      </c>
      <c r="T610" s="5">
        <v>7</v>
      </c>
      <c r="U610" s="5">
        <v>3</v>
      </c>
      <c r="W610" s="5">
        <f t="shared" si="3"/>
        <v>0</v>
      </c>
    </row>
    <row r="611" spans="1:23" ht="15.75" customHeight="1" x14ac:dyDescent="0.25">
      <c r="A611" s="5" t="s">
        <v>953</v>
      </c>
      <c r="B611" s="6">
        <v>45112</v>
      </c>
      <c r="C611" s="5" t="s">
        <v>478</v>
      </c>
      <c r="D611" s="5" t="s">
        <v>25</v>
      </c>
      <c r="E611" s="5" t="s">
        <v>49</v>
      </c>
      <c r="F611" s="5" t="s">
        <v>50</v>
      </c>
      <c r="G611" s="5" t="s">
        <v>97</v>
      </c>
      <c r="H611" s="5" t="s">
        <v>98</v>
      </c>
      <c r="I611" s="5" t="s">
        <v>99</v>
      </c>
      <c r="J611" s="5">
        <v>248</v>
      </c>
      <c r="K611" s="7">
        <v>378.14886229300629</v>
      </c>
      <c r="L611" s="5">
        <v>5</v>
      </c>
      <c r="M611" s="5">
        <v>0</v>
      </c>
      <c r="N611" s="8">
        <f t="shared" si="0"/>
        <v>1890.7443114650314</v>
      </c>
      <c r="O611" s="5">
        <f t="shared" si="1"/>
        <v>1240</v>
      </c>
      <c r="P611" s="5">
        <f t="shared" si="2"/>
        <v>650.74431146503139</v>
      </c>
      <c r="Q611" s="5" t="s">
        <v>46</v>
      </c>
      <c r="R611" s="5" t="s">
        <v>56</v>
      </c>
      <c r="T611" s="5">
        <v>9</v>
      </c>
      <c r="U611" s="5">
        <v>1</v>
      </c>
      <c r="W611" s="5">
        <f t="shared" si="3"/>
        <v>0</v>
      </c>
    </row>
    <row r="612" spans="1:23" ht="15.75" customHeight="1" x14ac:dyDescent="0.25">
      <c r="A612" s="5" t="s">
        <v>954</v>
      </c>
      <c r="B612" s="6">
        <v>45112</v>
      </c>
      <c r="C612" s="5" t="s">
        <v>284</v>
      </c>
      <c r="D612" s="5" t="s">
        <v>64</v>
      </c>
      <c r="E612" s="5" t="s">
        <v>69</v>
      </c>
      <c r="F612" s="5" t="s">
        <v>55</v>
      </c>
      <c r="G612" s="5" t="s">
        <v>81</v>
      </c>
      <c r="H612" s="5" t="s">
        <v>44</v>
      </c>
      <c r="I612" s="5" t="s">
        <v>82</v>
      </c>
      <c r="J612" s="5">
        <v>1520</v>
      </c>
      <c r="K612" s="7">
        <v>2090.313226537336</v>
      </c>
      <c r="L612" s="5">
        <v>5</v>
      </c>
      <c r="M612" s="5">
        <v>0</v>
      </c>
      <c r="N612" s="8">
        <f t="shared" si="0"/>
        <v>10451.566132686679</v>
      </c>
      <c r="O612" s="5">
        <f t="shared" si="1"/>
        <v>7600</v>
      </c>
      <c r="P612" s="5">
        <f t="shared" si="2"/>
        <v>2851.5661326866793</v>
      </c>
      <c r="Q612" s="5" t="s">
        <v>46</v>
      </c>
      <c r="R612" s="5" t="s">
        <v>32</v>
      </c>
      <c r="S612" s="6">
        <v>45119</v>
      </c>
      <c r="T612" s="5">
        <v>4</v>
      </c>
      <c r="U612" s="5">
        <v>4</v>
      </c>
      <c r="V612" s="5" t="s">
        <v>33</v>
      </c>
      <c r="W612" s="5">
        <f t="shared" si="3"/>
        <v>0</v>
      </c>
    </row>
    <row r="613" spans="1:23" ht="15.75" customHeight="1" x14ac:dyDescent="0.25">
      <c r="A613" s="5" t="s">
        <v>955</v>
      </c>
      <c r="B613" s="6">
        <v>45112</v>
      </c>
      <c r="C613" s="5" t="s">
        <v>355</v>
      </c>
      <c r="D613" s="5" t="s">
        <v>150</v>
      </c>
      <c r="E613" s="5" t="s">
        <v>49</v>
      </c>
      <c r="F613" s="5" t="s">
        <v>50</v>
      </c>
      <c r="G613" s="5" t="s">
        <v>43</v>
      </c>
      <c r="H613" s="5" t="s">
        <v>44</v>
      </c>
      <c r="I613" s="5" t="s">
        <v>45</v>
      </c>
      <c r="J613" s="5">
        <v>575</v>
      </c>
      <c r="K613" s="7">
        <v>829.59075678054796</v>
      </c>
      <c r="L613" s="5">
        <v>2</v>
      </c>
      <c r="M613" s="5">
        <v>5</v>
      </c>
      <c r="N613" s="8">
        <f t="shared" si="0"/>
        <v>1576.222437883041</v>
      </c>
      <c r="O613" s="5">
        <f t="shared" si="1"/>
        <v>1150</v>
      </c>
      <c r="P613" s="5">
        <f t="shared" si="2"/>
        <v>426.22243788304104</v>
      </c>
      <c r="Q613" s="5" t="s">
        <v>83</v>
      </c>
      <c r="R613" s="5" t="s">
        <v>32</v>
      </c>
      <c r="S613" s="6">
        <v>45120</v>
      </c>
      <c r="T613" s="5">
        <v>5</v>
      </c>
      <c r="U613" s="5">
        <v>3</v>
      </c>
      <c r="V613" s="5" t="s">
        <v>33</v>
      </c>
      <c r="W613" s="5">
        <f t="shared" si="3"/>
        <v>0</v>
      </c>
    </row>
    <row r="614" spans="1:23" ht="15.75" customHeight="1" x14ac:dyDescent="0.25">
      <c r="A614" s="5" t="s">
        <v>956</v>
      </c>
      <c r="B614" s="6">
        <v>45112</v>
      </c>
      <c r="C614" s="5" t="s">
        <v>521</v>
      </c>
      <c r="D614" s="5" t="s">
        <v>148</v>
      </c>
      <c r="E614" s="5" t="s">
        <v>112</v>
      </c>
      <c r="F614" s="5" t="s">
        <v>113</v>
      </c>
      <c r="G614" s="5" t="s">
        <v>75</v>
      </c>
      <c r="H614" s="5" t="s">
        <v>76</v>
      </c>
      <c r="I614" s="5" t="s">
        <v>77</v>
      </c>
      <c r="J614" s="5">
        <v>1453</v>
      </c>
      <c r="K614" s="7">
        <v>1906.4388575820735</v>
      </c>
      <c r="L614" s="5">
        <v>1</v>
      </c>
      <c r="M614" s="5">
        <v>0</v>
      </c>
      <c r="N614" s="8">
        <f t="shared" si="0"/>
        <v>1906.4388575820735</v>
      </c>
      <c r="O614" s="5">
        <f t="shared" si="1"/>
        <v>1453</v>
      </c>
      <c r="P614" s="5">
        <f t="shared" si="2"/>
        <v>453.43885758207352</v>
      </c>
      <c r="Q614" s="5" t="s">
        <v>31</v>
      </c>
      <c r="R614" s="5" t="s">
        <v>56</v>
      </c>
      <c r="T614" s="5">
        <v>8</v>
      </c>
      <c r="U614" s="5">
        <v>2</v>
      </c>
      <c r="W614" s="5">
        <f t="shared" si="3"/>
        <v>0</v>
      </c>
    </row>
    <row r="615" spans="1:23" ht="15.75" customHeight="1" x14ac:dyDescent="0.25">
      <c r="A615" s="5" t="s">
        <v>957</v>
      </c>
      <c r="B615" s="6">
        <v>45113</v>
      </c>
      <c r="C615" s="5" t="s">
        <v>506</v>
      </c>
      <c r="D615" s="5" t="s">
        <v>86</v>
      </c>
      <c r="E615" s="5" t="s">
        <v>26</v>
      </c>
      <c r="F615" s="5" t="s">
        <v>27</v>
      </c>
      <c r="G615" s="5" t="s">
        <v>106</v>
      </c>
      <c r="H615" s="5" t="s">
        <v>98</v>
      </c>
      <c r="I615" s="5" t="s">
        <v>107</v>
      </c>
      <c r="J615" s="5">
        <v>963</v>
      </c>
      <c r="K615" s="7">
        <v>1386.3718134401781</v>
      </c>
      <c r="L615" s="5">
        <v>5</v>
      </c>
      <c r="M615" s="5">
        <v>15</v>
      </c>
      <c r="N615" s="8">
        <f t="shared" si="0"/>
        <v>5892.0802071207563</v>
      </c>
      <c r="O615" s="5">
        <f t="shared" si="1"/>
        <v>4815</v>
      </c>
      <c r="P615" s="5">
        <f t="shared" si="2"/>
        <v>1077.0802071207563</v>
      </c>
      <c r="Q615" s="5" t="s">
        <v>31</v>
      </c>
      <c r="R615" s="5" t="s">
        <v>32</v>
      </c>
      <c r="S615" s="6">
        <v>45123</v>
      </c>
      <c r="T615" s="5">
        <v>3</v>
      </c>
      <c r="U615" s="5">
        <v>2</v>
      </c>
      <c r="V615" s="5" t="s">
        <v>33</v>
      </c>
      <c r="W615" s="5">
        <f t="shared" si="3"/>
        <v>0</v>
      </c>
    </row>
    <row r="616" spans="1:23" ht="15.75" customHeight="1" x14ac:dyDescent="0.25">
      <c r="A616" s="5" t="s">
        <v>958</v>
      </c>
      <c r="B616" s="6">
        <v>45113</v>
      </c>
      <c r="C616" s="5" t="s">
        <v>210</v>
      </c>
      <c r="D616" s="5" t="s">
        <v>138</v>
      </c>
      <c r="E616" s="5" t="s">
        <v>80</v>
      </c>
      <c r="F616" s="5" t="s">
        <v>80</v>
      </c>
      <c r="G616" s="5" t="s">
        <v>70</v>
      </c>
      <c r="H616" s="5" t="s">
        <v>44</v>
      </c>
      <c r="I616" s="5" t="s">
        <v>71</v>
      </c>
      <c r="J616" s="5">
        <v>909</v>
      </c>
      <c r="K616" s="7">
        <v>1465.2545716573854</v>
      </c>
      <c r="L616" s="5">
        <v>5</v>
      </c>
      <c r="M616" s="5">
        <v>20</v>
      </c>
      <c r="N616" s="8">
        <f t="shared" si="0"/>
        <v>5861.0182866295427</v>
      </c>
      <c r="O616" s="5">
        <f t="shared" si="1"/>
        <v>4545</v>
      </c>
      <c r="P616" s="5">
        <f t="shared" si="2"/>
        <v>1316.0182866295427</v>
      </c>
      <c r="Q616" s="5" t="s">
        <v>83</v>
      </c>
      <c r="R616" s="5" t="s">
        <v>32</v>
      </c>
      <c r="S616" s="6">
        <v>45119</v>
      </c>
      <c r="T616" s="5">
        <v>3</v>
      </c>
      <c r="U616" s="5">
        <v>2</v>
      </c>
      <c r="V616" s="5" t="s">
        <v>33</v>
      </c>
      <c r="W616" s="5">
        <f t="shared" si="3"/>
        <v>0</v>
      </c>
    </row>
    <row r="617" spans="1:23" ht="15.75" customHeight="1" x14ac:dyDescent="0.25">
      <c r="A617" s="5" t="s">
        <v>959</v>
      </c>
      <c r="B617" s="6">
        <v>45113</v>
      </c>
      <c r="C617" s="5" t="s">
        <v>406</v>
      </c>
      <c r="D617" s="5" t="s">
        <v>36</v>
      </c>
      <c r="E617" s="5" t="s">
        <v>26</v>
      </c>
      <c r="F617" s="5" t="s">
        <v>27</v>
      </c>
      <c r="G617" s="5" t="s">
        <v>28</v>
      </c>
      <c r="H617" s="5" t="s">
        <v>29</v>
      </c>
      <c r="I617" s="5" t="s">
        <v>30</v>
      </c>
      <c r="J617" s="5">
        <v>3648</v>
      </c>
      <c r="K617" s="7">
        <v>5339.8444703255473</v>
      </c>
      <c r="L617" s="5">
        <v>2</v>
      </c>
      <c r="M617" s="5">
        <v>20</v>
      </c>
      <c r="N617" s="8">
        <f t="shared" si="0"/>
        <v>8543.7511525208756</v>
      </c>
      <c r="O617" s="5">
        <f t="shared" si="1"/>
        <v>7296</v>
      </c>
      <c r="P617" s="5">
        <f t="shared" si="2"/>
        <v>1247.7511525208756</v>
      </c>
      <c r="Q617" s="5" t="s">
        <v>46</v>
      </c>
      <c r="R617" s="5" t="s">
        <v>32</v>
      </c>
      <c r="S617" s="6">
        <v>45125</v>
      </c>
      <c r="T617" s="5">
        <v>7</v>
      </c>
      <c r="U617" s="5">
        <v>4</v>
      </c>
      <c r="V617" s="5" t="s">
        <v>89</v>
      </c>
      <c r="W617" s="5">
        <f t="shared" si="3"/>
        <v>1</v>
      </c>
    </row>
    <row r="618" spans="1:23" ht="15.75" customHeight="1" x14ac:dyDescent="0.25">
      <c r="A618" s="5" t="s">
        <v>960</v>
      </c>
      <c r="B618" s="6">
        <v>45113</v>
      </c>
      <c r="C618" s="5" t="s">
        <v>404</v>
      </c>
      <c r="D618" s="5" t="s">
        <v>102</v>
      </c>
      <c r="E618" s="5" t="s">
        <v>37</v>
      </c>
      <c r="F618" s="5" t="s">
        <v>38</v>
      </c>
      <c r="G618" s="5" t="s">
        <v>75</v>
      </c>
      <c r="H618" s="5" t="s">
        <v>76</v>
      </c>
      <c r="I618" s="5" t="s">
        <v>77</v>
      </c>
      <c r="J618" s="5">
        <v>925</v>
      </c>
      <c r="K618" s="7">
        <v>1363.5153165960414</v>
      </c>
      <c r="L618" s="5">
        <v>3</v>
      </c>
      <c r="M618" s="5">
        <v>10</v>
      </c>
      <c r="N618" s="8">
        <f t="shared" si="0"/>
        <v>3681.4913548093118</v>
      </c>
      <c r="O618" s="5">
        <f t="shared" si="1"/>
        <v>2775</v>
      </c>
      <c r="P618" s="5">
        <f t="shared" si="2"/>
        <v>906.49135480931182</v>
      </c>
      <c r="Q618" s="5" t="s">
        <v>46</v>
      </c>
      <c r="R618" s="5" t="s">
        <v>32</v>
      </c>
      <c r="S618" s="6">
        <v>45118</v>
      </c>
      <c r="T618" s="5">
        <v>1</v>
      </c>
      <c r="U618" s="5">
        <v>4</v>
      </c>
      <c r="V618" s="5" t="s">
        <v>33</v>
      </c>
      <c r="W618" s="5">
        <f t="shared" si="3"/>
        <v>0</v>
      </c>
    </row>
    <row r="619" spans="1:23" ht="15.75" customHeight="1" x14ac:dyDescent="0.25">
      <c r="A619" s="5" t="s">
        <v>961</v>
      </c>
      <c r="B619" s="6">
        <v>45114</v>
      </c>
      <c r="C619" s="5" t="s">
        <v>848</v>
      </c>
      <c r="D619" s="5" t="s">
        <v>25</v>
      </c>
      <c r="E619" s="5" t="s">
        <v>37</v>
      </c>
      <c r="F619" s="5" t="s">
        <v>38</v>
      </c>
      <c r="G619" s="5" t="s">
        <v>43</v>
      </c>
      <c r="H619" s="5" t="s">
        <v>44</v>
      </c>
      <c r="I619" s="5" t="s">
        <v>45</v>
      </c>
      <c r="J619" s="5">
        <v>589</v>
      </c>
      <c r="K619" s="7">
        <v>930.66187750094196</v>
      </c>
      <c r="L619" s="5">
        <v>3</v>
      </c>
      <c r="M619" s="5">
        <v>5</v>
      </c>
      <c r="N619" s="8">
        <f t="shared" si="0"/>
        <v>2652.3863508776844</v>
      </c>
      <c r="O619" s="5">
        <f t="shared" si="1"/>
        <v>1767</v>
      </c>
      <c r="P619" s="5">
        <f t="shared" si="2"/>
        <v>885.38635087768444</v>
      </c>
      <c r="Q619" s="5" t="s">
        <v>46</v>
      </c>
      <c r="R619" s="5" t="s">
        <v>32</v>
      </c>
      <c r="S619" s="6">
        <v>45120</v>
      </c>
      <c r="T619" s="5">
        <v>2</v>
      </c>
      <c r="U619" s="5">
        <v>5</v>
      </c>
      <c r="V619" s="5" t="s">
        <v>33</v>
      </c>
      <c r="W619" s="5">
        <f t="shared" si="3"/>
        <v>0</v>
      </c>
    </row>
    <row r="620" spans="1:23" ht="15.75" customHeight="1" x14ac:dyDescent="0.25">
      <c r="A620" s="5" t="s">
        <v>962</v>
      </c>
      <c r="B620" s="6">
        <v>45114</v>
      </c>
      <c r="C620" s="5" t="s">
        <v>73</v>
      </c>
      <c r="D620" s="5" t="s">
        <v>102</v>
      </c>
      <c r="E620" s="5" t="s">
        <v>37</v>
      </c>
      <c r="F620" s="5" t="s">
        <v>38</v>
      </c>
      <c r="G620" s="5" t="s">
        <v>75</v>
      </c>
      <c r="H620" s="5" t="s">
        <v>76</v>
      </c>
      <c r="I620" s="5" t="s">
        <v>77</v>
      </c>
      <c r="J620" s="5">
        <v>1383</v>
      </c>
      <c r="K620" s="7">
        <v>2073.9337210229155</v>
      </c>
      <c r="L620" s="5">
        <v>4</v>
      </c>
      <c r="M620" s="5">
        <v>20</v>
      </c>
      <c r="N620" s="8">
        <f t="shared" si="0"/>
        <v>6636.5879072733296</v>
      </c>
      <c r="O620" s="5">
        <f t="shared" si="1"/>
        <v>5532</v>
      </c>
      <c r="P620" s="5">
        <f t="shared" si="2"/>
        <v>1104.5879072733296</v>
      </c>
      <c r="Q620" s="5" t="s">
        <v>83</v>
      </c>
      <c r="R620" s="5" t="s">
        <v>32</v>
      </c>
      <c r="S620" s="6">
        <v>45121</v>
      </c>
      <c r="T620" s="5">
        <v>2</v>
      </c>
      <c r="U620" s="5">
        <v>5</v>
      </c>
      <c r="V620" s="5" t="s">
        <v>33</v>
      </c>
      <c r="W620" s="5">
        <f t="shared" si="3"/>
        <v>0</v>
      </c>
    </row>
    <row r="621" spans="1:23" ht="15.75" customHeight="1" x14ac:dyDescent="0.25">
      <c r="A621" s="5" t="s">
        <v>963</v>
      </c>
      <c r="B621" s="6">
        <v>45114</v>
      </c>
      <c r="C621" s="5" t="s">
        <v>692</v>
      </c>
      <c r="D621" s="5" t="s">
        <v>150</v>
      </c>
      <c r="E621" s="5" t="s">
        <v>112</v>
      </c>
      <c r="F621" s="5" t="s">
        <v>113</v>
      </c>
      <c r="G621" s="5" t="s">
        <v>97</v>
      </c>
      <c r="H621" s="5" t="s">
        <v>98</v>
      </c>
      <c r="I621" s="5" t="s">
        <v>99</v>
      </c>
      <c r="J621" s="5">
        <v>385</v>
      </c>
      <c r="K621" s="7">
        <v>585.65403778034033</v>
      </c>
      <c r="L621" s="5">
        <v>4</v>
      </c>
      <c r="M621" s="5">
        <v>20</v>
      </c>
      <c r="N621" s="8">
        <f t="shared" si="0"/>
        <v>1874.0929208970892</v>
      </c>
      <c r="O621" s="5">
        <f t="shared" si="1"/>
        <v>1540</v>
      </c>
      <c r="P621" s="5">
        <f t="shared" si="2"/>
        <v>334.09292089708924</v>
      </c>
      <c r="Q621" s="5" t="s">
        <v>31</v>
      </c>
      <c r="R621" s="5" t="s">
        <v>32</v>
      </c>
      <c r="S621" s="6">
        <v>45121</v>
      </c>
      <c r="T621" s="5">
        <v>1</v>
      </c>
      <c r="U621" s="5">
        <v>5</v>
      </c>
      <c r="V621" s="5" t="s">
        <v>33</v>
      </c>
      <c r="W621" s="5">
        <f t="shared" si="3"/>
        <v>0</v>
      </c>
    </row>
    <row r="622" spans="1:23" ht="15.75" customHeight="1" x14ac:dyDescent="0.25">
      <c r="A622" s="5" t="s">
        <v>964</v>
      </c>
      <c r="B622" s="6">
        <v>45114</v>
      </c>
      <c r="C622" s="5" t="s">
        <v>239</v>
      </c>
      <c r="D622" s="5" t="s">
        <v>86</v>
      </c>
      <c r="E622" s="5" t="s">
        <v>80</v>
      </c>
      <c r="F622" s="5" t="s">
        <v>80</v>
      </c>
      <c r="G622" s="5" t="s">
        <v>119</v>
      </c>
      <c r="H622" s="5" t="s">
        <v>76</v>
      </c>
      <c r="I622" s="5" t="s">
        <v>120</v>
      </c>
      <c r="J622" s="5">
        <v>28047</v>
      </c>
      <c r="K622" s="7">
        <v>47562.486889819003</v>
      </c>
      <c r="L622" s="5">
        <v>1</v>
      </c>
      <c r="M622" s="5">
        <v>15</v>
      </c>
      <c r="N622" s="8">
        <f t="shared" si="0"/>
        <v>40428.11385634615</v>
      </c>
      <c r="O622" s="5">
        <f t="shared" si="1"/>
        <v>28047</v>
      </c>
      <c r="P622" s="5">
        <f t="shared" si="2"/>
        <v>12381.11385634615</v>
      </c>
      <c r="Q622" s="5" t="s">
        <v>31</v>
      </c>
      <c r="R622" s="5" t="s">
        <v>56</v>
      </c>
      <c r="T622" s="5">
        <v>8</v>
      </c>
      <c r="U622" s="5">
        <v>4</v>
      </c>
      <c r="W622" s="5">
        <f t="shared" si="3"/>
        <v>0</v>
      </c>
    </row>
    <row r="623" spans="1:23" ht="15.75" customHeight="1" x14ac:dyDescent="0.25">
      <c r="A623" s="5" t="s">
        <v>965</v>
      </c>
      <c r="B623" s="6">
        <v>45114</v>
      </c>
      <c r="C623" s="5" t="s">
        <v>332</v>
      </c>
      <c r="D623" s="5" t="s">
        <v>25</v>
      </c>
      <c r="E623" s="5" t="s">
        <v>54</v>
      </c>
      <c r="F623" s="5" t="s">
        <v>55</v>
      </c>
      <c r="G623" s="5" t="s">
        <v>139</v>
      </c>
      <c r="H623" s="5" t="s">
        <v>76</v>
      </c>
      <c r="I623" s="5" t="s">
        <v>140</v>
      </c>
      <c r="J623" s="5">
        <v>40612</v>
      </c>
      <c r="K623" s="7">
        <v>67881.64092418713</v>
      </c>
      <c r="L623" s="5">
        <v>3</v>
      </c>
      <c r="M623" s="5">
        <v>0</v>
      </c>
      <c r="N623" s="8">
        <f t="shared" si="0"/>
        <v>203644.92277256137</v>
      </c>
      <c r="O623" s="5">
        <f t="shared" si="1"/>
        <v>121836</v>
      </c>
      <c r="P623" s="5">
        <f t="shared" si="2"/>
        <v>81808.922772561375</v>
      </c>
      <c r="Q623" s="5" t="s">
        <v>83</v>
      </c>
      <c r="R623" s="5" t="s">
        <v>32</v>
      </c>
      <c r="S623" s="6">
        <v>45122</v>
      </c>
      <c r="T623" s="5">
        <v>2</v>
      </c>
      <c r="U623" s="5">
        <v>5</v>
      </c>
      <c r="V623" s="5" t="s">
        <v>33</v>
      </c>
      <c r="W623" s="5">
        <f t="shared" si="3"/>
        <v>0</v>
      </c>
    </row>
    <row r="624" spans="1:23" ht="15.75" customHeight="1" x14ac:dyDescent="0.25">
      <c r="A624" s="5" t="s">
        <v>966</v>
      </c>
      <c r="B624" s="6">
        <v>45114</v>
      </c>
      <c r="C624" s="5" t="s">
        <v>427</v>
      </c>
      <c r="D624" s="5" t="s">
        <v>36</v>
      </c>
      <c r="E624" s="5" t="s">
        <v>49</v>
      </c>
      <c r="F624" s="5" t="s">
        <v>50</v>
      </c>
      <c r="G624" s="5" t="s">
        <v>81</v>
      </c>
      <c r="H624" s="5" t="s">
        <v>44</v>
      </c>
      <c r="I624" s="5" t="s">
        <v>82</v>
      </c>
      <c r="J624" s="5">
        <v>1038</v>
      </c>
      <c r="K624" s="7">
        <v>1117.7739269971948</v>
      </c>
      <c r="L624" s="5">
        <v>5</v>
      </c>
      <c r="M624" s="5">
        <v>15</v>
      </c>
      <c r="N624" s="8">
        <f t="shared" si="0"/>
        <v>4750.5391897380787</v>
      </c>
      <c r="O624" s="5">
        <f t="shared" si="1"/>
        <v>5190</v>
      </c>
      <c r="P624" s="5">
        <f t="shared" si="2"/>
        <v>-439.46081026192132</v>
      </c>
      <c r="Q624" s="5" t="s">
        <v>83</v>
      </c>
      <c r="R624" s="5" t="s">
        <v>32</v>
      </c>
      <c r="S624" s="6">
        <v>45125</v>
      </c>
      <c r="T624" s="5">
        <v>6</v>
      </c>
      <c r="U624" s="5">
        <v>3</v>
      </c>
      <c r="V624" s="5" t="s">
        <v>33</v>
      </c>
      <c r="W624" s="5">
        <f t="shared" si="3"/>
        <v>0</v>
      </c>
    </row>
    <row r="625" spans="1:23" ht="15.75" customHeight="1" x14ac:dyDescent="0.25">
      <c r="A625" s="5" t="s">
        <v>967</v>
      </c>
      <c r="B625" s="6">
        <v>45114</v>
      </c>
      <c r="C625" s="5" t="s">
        <v>216</v>
      </c>
      <c r="D625" s="5" t="s">
        <v>116</v>
      </c>
      <c r="E625" s="5" t="s">
        <v>80</v>
      </c>
      <c r="F625" s="5" t="s">
        <v>80</v>
      </c>
      <c r="G625" s="5" t="s">
        <v>97</v>
      </c>
      <c r="H625" s="5" t="s">
        <v>98</v>
      </c>
      <c r="I625" s="5" t="s">
        <v>99</v>
      </c>
      <c r="J625" s="5">
        <v>463</v>
      </c>
      <c r="K625" s="7">
        <v>606.92573563342444</v>
      </c>
      <c r="L625" s="5">
        <v>4</v>
      </c>
      <c r="M625" s="5">
        <v>0</v>
      </c>
      <c r="N625" s="8">
        <f t="shared" si="0"/>
        <v>2427.7029425336978</v>
      </c>
      <c r="O625" s="5">
        <f t="shared" si="1"/>
        <v>1852</v>
      </c>
      <c r="P625" s="5">
        <f t="shared" si="2"/>
        <v>575.70294253369775</v>
      </c>
      <c r="Q625" s="5" t="s">
        <v>46</v>
      </c>
      <c r="R625" s="5" t="s">
        <v>56</v>
      </c>
      <c r="T625" s="5">
        <v>7</v>
      </c>
      <c r="U625" s="5">
        <v>3</v>
      </c>
      <c r="W625" s="5">
        <f t="shared" si="3"/>
        <v>0</v>
      </c>
    </row>
    <row r="626" spans="1:23" ht="15.75" customHeight="1" x14ac:dyDescent="0.25">
      <c r="A626" s="5" t="s">
        <v>968</v>
      </c>
      <c r="B626" s="6">
        <v>45115</v>
      </c>
      <c r="C626" s="5" t="s">
        <v>711</v>
      </c>
      <c r="D626" s="5" t="s">
        <v>86</v>
      </c>
      <c r="E626" s="5" t="s">
        <v>69</v>
      </c>
      <c r="F626" s="5" t="s">
        <v>55</v>
      </c>
      <c r="G626" s="5" t="s">
        <v>81</v>
      </c>
      <c r="H626" s="5" t="s">
        <v>44</v>
      </c>
      <c r="I626" s="5" t="s">
        <v>82</v>
      </c>
      <c r="J626" s="5">
        <v>813</v>
      </c>
      <c r="K626" s="7">
        <v>1334.0221296068507</v>
      </c>
      <c r="L626" s="5">
        <v>3</v>
      </c>
      <c r="M626" s="5">
        <v>10</v>
      </c>
      <c r="N626" s="8">
        <f t="shared" si="0"/>
        <v>3601.8597499384969</v>
      </c>
      <c r="O626" s="5">
        <f t="shared" si="1"/>
        <v>2439</v>
      </c>
      <c r="P626" s="5">
        <f t="shared" si="2"/>
        <v>1162.8597499384969</v>
      </c>
      <c r="Q626" s="5" t="s">
        <v>83</v>
      </c>
      <c r="R626" s="5" t="s">
        <v>56</v>
      </c>
      <c r="T626" s="5">
        <v>7</v>
      </c>
      <c r="U626" s="5">
        <v>4</v>
      </c>
      <c r="W626" s="5">
        <f t="shared" si="3"/>
        <v>0</v>
      </c>
    </row>
    <row r="627" spans="1:23" ht="15.75" customHeight="1" x14ac:dyDescent="0.25">
      <c r="A627" s="5" t="s">
        <v>969</v>
      </c>
      <c r="B627" s="6">
        <v>45115</v>
      </c>
      <c r="C627" s="5" t="s">
        <v>416</v>
      </c>
      <c r="D627" s="5" t="s">
        <v>25</v>
      </c>
      <c r="E627" s="5" t="s">
        <v>26</v>
      </c>
      <c r="F627" s="5" t="s">
        <v>27</v>
      </c>
      <c r="G627" s="5" t="s">
        <v>124</v>
      </c>
      <c r="H627" s="5" t="s">
        <v>76</v>
      </c>
      <c r="I627" s="5" t="s">
        <v>125</v>
      </c>
      <c r="J627" s="5">
        <v>89477</v>
      </c>
      <c r="K627" s="7">
        <v>145397.24854298055</v>
      </c>
      <c r="L627" s="5">
        <v>4</v>
      </c>
      <c r="M627" s="5">
        <v>15</v>
      </c>
      <c r="N627" s="8">
        <f t="shared" si="0"/>
        <v>494350.64504613384</v>
      </c>
      <c r="O627" s="5">
        <f t="shared" si="1"/>
        <v>357908</v>
      </c>
      <c r="P627" s="5">
        <f t="shared" si="2"/>
        <v>136442.64504613384</v>
      </c>
      <c r="Q627" s="5" t="s">
        <v>46</v>
      </c>
      <c r="R627" s="5" t="s">
        <v>32</v>
      </c>
      <c r="S627" s="6">
        <v>45120</v>
      </c>
      <c r="T627" s="5">
        <v>1</v>
      </c>
      <c r="U627" s="5">
        <v>5</v>
      </c>
      <c r="V627" s="5" t="s">
        <v>33</v>
      </c>
      <c r="W627" s="5">
        <f t="shared" si="3"/>
        <v>0</v>
      </c>
    </row>
    <row r="628" spans="1:23" ht="15.75" customHeight="1" x14ac:dyDescent="0.25">
      <c r="A628" s="5" t="s">
        <v>970</v>
      </c>
      <c r="B628" s="6">
        <v>45116</v>
      </c>
      <c r="C628" s="5" t="s">
        <v>711</v>
      </c>
      <c r="D628" s="5" t="s">
        <v>148</v>
      </c>
      <c r="E628" s="5" t="s">
        <v>54</v>
      </c>
      <c r="F628" s="5" t="s">
        <v>55</v>
      </c>
      <c r="G628" s="5" t="s">
        <v>87</v>
      </c>
      <c r="H628" s="5" t="s">
        <v>29</v>
      </c>
      <c r="I628" s="5" t="s">
        <v>88</v>
      </c>
      <c r="J628" s="5">
        <v>44371</v>
      </c>
      <c r="K628" s="7">
        <v>48753.004276013082</v>
      </c>
      <c r="L628" s="5">
        <v>1</v>
      </c>
      <c r="M628" s="5">
        <v>10</v>
      </c>
      <c r="N628" s="8">
        <f t="shared" si="0"/>
        <v>43877.703848411773</v>
      </c>
      <c r="O628" s="5">
        <f t="shared" si="1"/>
        <v>44371</v>
      </c>
      <c r="P628" s="5">
        <f t="shared" si="2"/>
        <v>-493.29615158822708</v>
      </c>
      <c r="Q628" s="5" t="s">
        <v>83</v>
      </c>
      <c r="R628" s="5" t="s">
        <v>56</v>
      </c>
      <c r="T628" s="5">
        <v>7</v>
      </c>
      <c r="U628" s="5">
        <v>2</v>
      </c>
      <c r="W628" s="5">
        <f t="shared" si="3"/>
        <v>0</v>
      </c>
    </row>
    <row r="629" spans="1:23" ht="15.75" customHeight="1" x14ac:dyDescent="0.25">
      <c r="A629" s="5" t="s">
        <v>971</v>
      </c>
      <c r="B629" s="6">
        <v>45116</v>
      </c>
      <c r="C629" s="5" t="s">
        <v>972</v>
      </c>
      <c r="D629" s="5" t="s">
        <v>36</v>
      </c>
      <c r="E629" s="5" t="s">
        <v>54</v>
      </c>
      <c r="F629" s="5" t="s">
        <v>55</v>
      </c>
      <c r="G629" s="5" t="s">
        <v>124</v>
      </c>
      <c r="H629" s="5" t="s">
        <v>76</v>
      </c>
      <c r="I629" s="5" t="s">
        <v>125</v>
      </c>
      <c r="J629" s="5">
        <v>69526</v>
      </c>
      <c r="K629" s="7">
        <v>117296.88860906452</v>
      </c>
      <c r="L629" s="5">
        <v>2</v>
      </c>
      <c r="M629" s="5">
        <v>5</v>
      </c>
      <c r="N629" s="8">
        <f t="shared" si="0"/>
        <v>222864.08835722259</v>
      </c>
      <c r="O629" s="5">
        <f t="shared" si="1"/>
        <v>139052</v>
      </c>
      <c r="P629" s="5">
        <f t="shared" si="2"/>
        <v>83812.088357222587</v>
      </c>
      <c r="Q629" s="5" t="s">
        <v>83</v>
      </c>
      <c r="R629" s="5" t="s">
        <v>32</v>
      </c>
      <c r="S629" s="6">
        <v>45125</v>
      </c>
      <c r="T629" s="5">
        <v>5</v>
      </c>
      <c r="U629" s="5">
        <v>2</v>
      </c>
      <c r="V629" s="5" t="s">
        <v>33</v>
      </c>
      <c r="W629" s="5">
        <f t="shared" si="3"/>
        <v>0</v>
      </c>
    </row>
    <row r="630" spans="1:23" ht="15.75" customHeight="1" x14ac:dyDescent="0.25">
      <c r="A630" s="5" t="s">
        <v>973</v>
      </c>
      <c r="B630" s="6">
        <v>45116</v>
      </c>
      <c r="C630" s="5" t="s">
        <v>974</v>
      </c>
      <c r="D630" s="5" t="s">
        <v>36</v>
      </c>
      <c r="E630" s="5" t="s">
        <v>60</v>
      </c>
      <c r="F630" s="5" t="s">
        <v>61</v>
      </c>
      <c r="G630" s="5" t="s">
        <v>28</v>
      </c>
      <c r="H630" s="5" t="s">
        <v>29</v>
      </c>
      <c r="I630" s="5" t="s">
        <v>30</v>
      </c>
      <c r="J630" s="5">
        <v>5594</v>
      </c>
      <c r="K630" s="7">
        <v>8417.5260734339845</v>
      </c>
      <c r="L630" s="5">
        <v>5</v>
      </c>
      <c r="M630" s="5">
        <v>15</v>
      </c>
      <c r="N630" s="8">
        <f t="shared" si="0"/>
        <v>35774.485812094434</v>
      </c>
      <c r="O630" s="5">
        <f t="shared" si="1"/>
        <v>27970</v>
      </c>
      <c r="P630" s="5">
        <f t="shared" si="2"/>
        <v>7804.4858120944336</v>
      </c>
      <c r="Q630" s="5" t="s">
        <v>31</v>
      </c>
      <c r="R630" s="5" t="s">
        <v>56</v>
      </c>
      <c r="T630" s="5">
        <v>10</v>
      </c>
      <c r="U630" s="5">
        <v>1</v>
      </c>
      <c r="W630" s="5">
        <f t="shared" si="3"/>
        <v>0</v>
      </c>
    </row>
    <row r="631" spans="1:23" ht="15.75" customHeight="1" x14ac:dyDescent="0.25">
      <c r="A631" s="5" t="s">
        <v>975</v>
      </c>
      <c r="B631" s="6">
        <v>45116</v>
      </c>
      <c r="C631" s="5" t="s">
        <v>976</v>
      </c>
      <c r="D631" s="5" t="s">
        <v>102</v>
      </c>
      <c r="E631" s="5" t="s">
        <v>37</v>
      </c>
      <c r="F631" s="5" t="s">
        <v>38</v>
      </c>
      <c r="G631" s="5" t="s">
        <v>81</v>
      </c>
      <c r="H631" s="5" t="s">
        <v>44</v>
      </c>
      <c r="I631" s="5" t="s">
        <v>82</v>
      </c>
      <c r="J631" s="5">
        <v>781</v>
      </c>
      <c r="K631" s="7">
        <v>809.68001853253634</v>
      </c>
      <c r="L631" s="5">
        <v>4</v>
      </c>
      <c r="M631" s="5">
        <v>20</v>
      </c>
      <c r="N631" s="8">
        <f t="shared" si="0"/>
        <v>2590.9760593041165</v>
      </c>
      <c r="O631" s="5">
        <f t="shared" si="1"/>
        <v>3124</v>
      </c>
      <c r="P631" s="5">
        <f t="shared" si="2"/>
        <v>-533.02394069588354</v>
      </c>
      <c r="Q631" s="5" t="s">
        <v>31</v>
      </c>
      <c r="R631" s="5" t="s">
        <v>32</v>
      </c>
      <c r="S631" s="6">
        <v>45125</v>
      </c>
      <c r="T631" s="5">
        <v>4</v>
      </c>
      <c r="U631" s="5">
        <v>4</v>
      </c>
      <c r="V631" s="5" t="s">
        <v>33</v>
      </c>
      <c r="W631" s="5">
        <f t="shared" si="3"/>
        <v>0</v>
      </c>
    </row>
    <row r="632" spans="1:23" ht="15.75" customHeight="1" x14ac:dyDescent="0.25">
      <c r="A632" s="5" t="s">
        <v>977</v>
      </c>
      <c r="B632" s="6">
        <v>45117</v>
      </c>
      <c r="C632" s="5" t="s">
        <v>681</v>
      </c>
      <c r="D632" s="5" t="s">
        <v>36</v>
      </c>
      <c r="E632" s="5" t="s">
        <v>26</v>
      </c>
      <c r="F632" s="5" t="s">
        <v>27</v>
      </c>
      <c r="G632" s="5" t="s">
        <v>87</v>
      </c>
      <c r="H632" s="5" t="s">
        <v>29</v>
      </c>
      <c r="I632" s="5" t="s">
        <v>88</v>
      </c>
      <c r="J632" s="5">
        <v>48810</v>
      </c>
      <c r="K632" s="7">
        <v>52587.032861540851</v>
      </c>
      <c r="L632" s="5">
        <v>1</v>
      </c>
      <c r="M632" s="5">
        <v>20</v>
      </c>
      <c r="N632" s="8">
        <f t="shared" si="0"/>
        <v>42069.626289232685</v>
      </c>
      <c r="O632" s="5">
        <f t="shared" si="1"/>
        <v>48810</v>
      </c>
      <c r="P632" s="5">
        <f t="shared" si="2"/>
        <v>-6740.3737107673151</v>
      </c>
      <c r="Q632" s="5" t="s">
        <v>46</v>
      </c>
      <c r="R632" s="5" t="s">
        <v>56</v>
      </c>
      <c r="T632" s="5">
        <v>10</v>
      </c>
      <c r="U632" s="5">
        <v>1</v>
      </c>
      <c r="W632" s="5">
        <f t="shared" si="3"/>
        <v>0</v>
      </c>
    </row>
    <row r="633" spans="1:23" ht="15.75" customHeight="1" x14ac:dyDescent="0.25">
      <c r="A633" s="5" t="s">
        <v>978</v>
      </c>
      <c r="B633" s="6">
        <v>45117</v>
      </c>
      <c r="C633" s="5" t="s">
        <v>425</v>
      </c>
      <c r="D633" s="5" t="s">
        <v>36</v>
      </c>
      <c r="E633" s="5" t="s">
        <v>60</v>
      </c>
      <c r="F633" s="5" t="s">
        <v>61</v>
      </c>
      <c r="G633" s="5" t="s">
        <v>70</v>
      </c>
      <c r="H633" s="5" t="s">
        <v>44</v>
      </c>
      <c r="I633" s="5" t="s">
        <v>71</v>
      </c>
      <c r="J633" s="5">
        <v>864</v>
      </c>
      <c r="K633" s="7">
        <v>1496.8445520535593</v>
      </c>
      <c r="L633" s="5">
        <v>2</v>
      </c>
      <c r="M633" s="5">
        <v>5</v>
      </c>
      <c r="N633" s="8">
        <f t="shared" si="0"/>
        <v>2844.0046489017623</v>
      </c>
      <c r="O633" s="5">
        <f t="shared" si="1"/>
        <v>1728</v>
      </c>
      <c r="P633" s="5">
        <f t="shared" si="2"/>
        <v>1116.0046489017623</v>
      </c>
      <c r="Q633" s="5" t="s">
        <v>46</v>
      </c>
      <c r="R633" s="5" t="s">
        <v>32</v>
      </c>
      <c r="S633" s="6">
        <v>45122</v>
      </c>
      <c r="T633" s="5">
        <v>2</v>
      </c>
      <c r="U633" s="5">
        <v>4</v>
      </c>
      <c r="V633" s="5" t="s">
        <v>33</v>
      </c>
      <c r="W633" s="5">
        <f t="shared" si="3"/>
        <v>0</v>
      </c>
    </row>
    <row r="634" spans="1:23" ht="15.75" customHeight="1" x14ac:dyDescent="0.25">
      <c r="A634" s="5" t="s">
        <v>979</v>
      </c>
      <c r="B634" s="6">
        <v>45117</v>
      </c>
      <c r="C634" s="5" t="s">
        <v>199</v>
      </c>
      <c r="D634" s="5" t="s">
        <v>25</v>
      </c>
      <c r="E634" s="5" t="s">
        <v>54</v>
      </c>
      <c r="F634" s="5" t="s">
        <v>55</v>
      </c>
      <c r="G634" s="5" t="s">
        <v>97</v>
      </c>
      <c r="H634" s="5" t="s">
        <v>98</v>
      </c>
      <c r="I634" s="5" t="s">
        <v>99</v>
      </c>
      <c r="J634" s="5">
        <v>574</v>
      </c>
      <c r="K634" s="7">
        <v>973.41232434575249</v>
      </c>
      <c r="L634" s="5">
        <v>5</v>
      </c>
      <c r="M634" s="5">
        <v>0</v>
      </c>
      <c r="N634" s="8">
        <f t="shared" si="0"/>
        <v>4867.0616217287625</v>
      </c>
      <c r="O634" s="5">
        <f t="shared" si="1"/>
        <v>2870</v>
      </c>
      <c r="P634" s="5">
        <f t="shared" si="2"/>
        <v>1997.0616217287625</v>
      </c>
      <c r="Q634" s="5" t="s">
        <v>39</v>
      </c>
      <c r="R634" s="5" t="s">
        <v>32</v>
      </c>
      <c r="S634" s="6">
        <v>45126</v>
      </c>
      <c r="T634" s="5">
        <v>5</v>
      </c>
      <c r="U634" s="5">
        <v>2</v>
      </c>
      <c r="V634" s="5" t="s">
        <v>33</v>
      </c>
      <c r="W634" s="5">
        <f t="shared" si="3"/>
        <v>0</v>
      </c>
    </row>
    <row r="635" spans="1:23" ht="15.75" customHeight="1" x14ac:dyDescent="0.25">
      <c r="A635" s="5" t="s">
        <v>980</v>
      </c>
      <c r="B635" s="6">
        <v>45117</v>
      </c>
      <c r="C635" s="5" t="s">
        <v>913</v>
      </c>
      <c r="D635" s="5" t="s">
        <v>25</v>
      </c>
      <c r="E635" s="5" t="s">
        <v>80</v>
      </c>
      <c r="F635" s="5" t="s">
        <v>80</v>
      </c>
      <c r="G635" s="5" t="s">
        <v>119</v>
      </c>
      <c r="H635" s="5" t="s">
        <v>76</v>
      </c>
      <c r="I635" s="5" t="s">
        <v>120</v>
      </c>
      <c r="J635" s="5">
        <v>36116</v>
      </c>
      <c r="K635" s="7">
        <v>63907.217158235093</v>
      </c>
      <c r="L635" s="5">
        <v>4</v>
      </c>
      <c r="M635" s="5">
        <v>5</v>
      </c>
      <c r="N635" s="8">
        <f t="shared" si="0"/>
        <v>242847.42520129334</v>
      </c>
      <c r="O635" s="5">
        <f t="shared" si="1"/>
        <v>144464</v>
      </c>
      <c r="P635" s="5">
        <f t="shared" si="2"/>
        <v>98383.425201293343</v>
      </c>
      <c r="Q635" s="5" t="s">
        <v>31</v>
      </c>
      <c r="R635" s="5" t="s">
        <v>32</v>
      </c>
      <c r="S635" s="6">
        <v>45123</v>
      </c>
      <c r="T635" s="5">
        <v>3</v>
      </c>
      <c r="U635" s="5">
        <v>4</v>
      </c>
      <c r="V635" s="5" t="s">
        <v>33</v>
      </c>
      <c r="W635" s="5">
        <f t="shared" si="3"/>
        <v>0</v>
      </c>
    </row>
    <row r="636" spans="1:23" ht="15.75" customHeight="1" x14ac:dyDescent="0.25">
      <c r="A636" s="5" t="s">
        <v>981</v>
      </c>
      <c r="B636" s="6">
        <v>45118</v>
      </c>
      <c r="C636" s="5" t="s">
        <v>425</v>
      </c>
      <c r="D636" s="5" t="s">
        <v>208</v>
      </c>
      <c r="E636" s="5" t="s">
        <v>80</v>
      </c>
      <c r="F636" s="5" t="s">
        <v>80</v>
      </c>
      <c r="G636" s="5" t="s">
        <v>43</v>
      </c>
      <c r="H636" s="5" t="s">
        <v>44</v>
      </c>
      <c r="I636" s="5" t="s">
        <v>45</v>
      </c>
      <c r="J636" s="5">
        <v>698</v>
      </c>
      <c r="K636" s="7">
        <v>988.53838340340678</v>
      </c>
      <c r="L636" s="5">
        <v>2</v>
      </c>
      <c r="M636" s="5">
        <v>15</v>
      </c>
      <c r="N636" s="8">
        <f t="shared" si="0"/>
        <v>1680.5152517857914</v>
      </c>
      <c r="O636" s="5">
        <f t="shared" si="1"/>
        <v>1396</v>
      </c>
      <c r="P636" s="5">
        <f t="shared" si="2"/>
        <v>284.51525178579141</v>
      </c>
      <c r="Q636" s="5" t="s">
        <v>46</v>
      </c>
      <c r="R636" s="5" t="s">
        <v>32</v>
      </c>
      <c r="S636" s="6">
        <v>45129</v>
      </c>
      <c r="T636" s="5">
        <v>5</v>
      </c>
      <c r="U636" s="5">
        <v>2</v>
      </c>
      <c r="V636" s="5" t="s">
        <v>33</v>
      </c>
      <c r="W636" s="5">
        <f t="shared" si="3"/>
        <v>0</v>
      </c>
    </row>
    <row r="637" spans="1:23" ht="15.75" customHeight="1" x14ac:dyDescent="0.25">
      <c r="A637" s="5" t="s">
        <v>982</v>
      </c>
      <c r="B637" s="6">
        <v>45119</v>
      </c>
      <c r="C637" s="5" t="s">
        <v>404</v>
      </c>
      <c r="D637" s="5" t="s">
        <v>59</v>
      </c>
      <c r="E637" s="5" t="s">
        <v>112</v>
      </c>
      <c r="F637" s="5" t="s">
        <v>113</v>
      </c>
      <c r="G637" s="5" t="s">
        <v>119</v>
      </c>
      <c r="H637" s="5" t="s">
        <v>76</v>
      </c>
      <c r="I637" s="5" t="s">
        <v>120</v>
      </c>
      <c r="J637" s="5">
        <v>45904</v>
      </c>
      <c r="K637" s="7">
        <v>67109.328056699916</v>
      </c>
      <c r="L637" s="5">
        <v>1</v>
      </c>
      <c r="M637" s="5">
        <v>20</v>
      </c>
      <c r="N637" s="8">
        <f t="shared" si="0"/>
        <v>53687.462445359939</v>
      </c>
      <c r="O637" s="5">
        <f t="shared" si="1"/>
        <v>45904</v>
      </c>
      <c r="P637" s="5">
        <f t="shared" si="2"/>
        <v>7783.462445359939</v>
      </c>
      <c r="Q637" s="5" t="s">
        <v>39</v>
      </c>
      <c r="R637" s="5" t="s">
        <v>56</v>
      </c>
      <c r="T637" s="5">
        <v>7</v>
      </c>
      <c r="U637" s="5">
        <v>4</v>
      </c>
      <c r="W637" s="5">
        <f t="shared" si="3"/>
        <v>0</v>
      </c>
    </row>
    <row r="638" spans="1:23" ht="15.75" customHeight="1" x14ac:dyDescent="0.25">
      <c r="A638" s="5" t="s">
        <v>983</v>
      </c>
      <c r="B638" s="6">
        <v>45120</v>
      </c>
      <c r="C638" s="5" t="s">
        <v>856</v>
      </c>
      <c r="D638" s="5" t="s">
        <v>116</v>
      </c>
      <c r="E638" s="5" t="s">
        <v>69</v>
      </c>
      <c r="F638" s="5" t="s">
        <v>55</v>
      </c>
      <c r="G638" s="5" t="s">
        <v>87</v>
      </c>
      <c r="H638" s="5" t="s">
        <v>29</v>
      </c>
      <c r="I638" s="5" t="s">
        <v>88</v>
      </c>
      <c r="J638" s="5">
        <v>56456</v>
      </c>
      <c r="K638" s="7">
        <v>67612.534709917061</v>
      </c>
      <c r="L638" s="5">
        <v>2</v>
      </c>
      <c r="M638" s="5">
        <v>10</v>
      </c>
      <c r="N638" s="8">
        <f t="shared" si="0"/>
        <v>121702.56247785072</v>
      </c>
      <c r="O638" s="5">
        <f t="shared" si="1"/>
        <v>112912</v>
      </c>
      <c r="P638" s="5">
        <f t="shared" si="2"/>
        <v>8790.562477850719</v>
      </c>
      <c r="Q638" s="5" t="s">
        <v>31</v>
      </c>
      <c r="R638" s="5" t="s">
        <v>32</v>
      </c>
      <c r="S638" s="6">
        <v>45131</v>
      </c>
      <c r="T638" s="5">
        <v>4</v>
      </c>
      <c r="U638" s="5">
        <v>4</v>
      </c>
      <c r="V638" s="5" t="s">
        <v>33</v>
      </c>
      <c r="W638" s="5">
        <f t="shared" si="3"/>
        <v>0</v>
      </c>
    </row>
    <row r="639" spans="1:23" ht="15.75" customHeight="1" x14ac:dyDescent="0.25">
      <c r="A639" s="5" t="s">
        <v>984</v>
      </c>
      <c r="B639" s="6">
        <v>45120</v>
      </c>
      <c r="C639" s="5" t="s">
        <v>796</v>
      </c>
      <c r="D639" s="5" t="s">
        <v>102</v>
      </c>
      <c r="E639" s="5" t="s">
        <v>37</v>
      </c>
      <c r="F639" s="5" t="s">
        <v>38</v>
      </c>
      <c r="G639" s="5" t="s">
        <v>87</v>
      </c>
      <c r="H639" s="5" t="s">
        <v>29</v>
      </c>
      <c r="I639" s="5" t="s">
        <v>88</v>
      </c>
      <c r="J639" s="5">
        <v>23891</v>
      </c>
      <c r="K639" s="7">
        <v>41783.06298181165</v>
      </c>
      <c r="L639" s="5">
        <v>4</v>
      </c>
      <c r="M639" s="5">
        <v>10</v>
      </c>
      <c r="N639" s="8">
        <f t="shared" si="0"/>
        <v>150419.02673452193</v>
      </c>
      <c r="O639" s="5">
        <f t="shared" si="1"/>
        <v>95564</v>
      </c>
      <c r="P639" s="5">
        <f t="shared" si="2"/>
        <v>54855.026734521933</v>
      </c>
      <c r="Q639" s="5" t="s">
        <v>39</v>
      </c>
      <c r="R639" s="5" t="s">
        <v>56</v>
      </c>
      <c r="T639" s="5">
        <v>10</v>
      </c>
      <c r="U639" s="5">
        <v>1</v>
      </c>
      <c r="W639" s="5">
        <f t="shared" si="3"/>
        <v>0</v>
      </c>
    </row>
    <row r="640" spans="1:23" ht="15.75" customHeight="1" x14ac:dyDescent="0.25">
      <c r="A640" s="5" t="s">
        <v>985</v>
      </c>
      <c r="B640" s="6">
        <v>45120</v>
      </c>
      <c r="C640" s="5" t="s">
        <v>657</v>
      </c>
      <c r="D640" s="5" t="s">
        <v>86</v>
      </c>
      <c r="E640" s="5" t="s">
        <v>60</v>
      </c>
      <c r="F640" s="5" t="s">
        <v>61</v>
      </c>
      <c r="G640" s="5" t="s">
        <v>70</v>
      </c>
      <c r="H640" s="5" t="s">
        <v>44</v>
      </c>
      <c r="I640" s="5" t="s">
        <v>71</v>
      </c>
      <c r="J640" s="5">
        <v>967</v>
      </c>
      <c r="K640" s="7">
        <v>1244.7404936790792</v>
      </c>
      <c r="L640" s="5">
        <v>3</v>
      </c>
      <c r="M640" s="5">
        <v>5</v>
      </c>
      <c r="N640" s="8">
        <f t="shared" si="0"/>
        <v>3547.510406985376</v>
      </c>
      <c r="O640" s="5">
        <f t="shared" si="1"/>
        <v>2901</v>
      </c>
      <c r="P640" s="5">
        <f t="shared" si="2"/>
        <v>646.51040698537599</v>
      </c>
      <c r="Q640" s="5" t="s">
        <v>39</v>
      </c>
      <c r="R640" s="5" t="s">
        <v>32</v>
      </c>
      <c r="S640" s="6">
        <v>45128</v>
      </c>
      <c r="T640" s="5">
        <v>1</v>
      </c>
      <c r="U640" s="5">
        <v>5</v>
      </c>
      <c r="V640" s="5" t="s">
        <v>33</v>
      </c>
      <c r="W640" s="5">
        <f t="shared" si="3"/>
        <v>0</v>
      </c>
    </row>
    <row r="641" spans="1:23" ht="15.75" customHeight="1" x14ac:dyDescent="0.25">
      <c r="A641" s="5" t="s">
        <v>986</v>
      </c>
      <c r="B641" s="6">
        <v>45121</v>
      </c>
      <c r="C641" s="5" t="s">
        <v>611</v>
      </c>
      <c r="D641" s="5" t="s">
        <v>146</v>
      </c>
      <c r="E641" s="5" t="s">
        <v>37</v>
      </c>
      <c r="F641" s="5" t="s">
        <v>38</v>
      </c>
      <c r="G641" s="5" t="s">
        <v>75</v>
      </c>
      <c r="H641" s="5" t="s">
        <v>76</v>
      </c>
      <c r="I641" s="5" t="s">
        <v>77</v>
      </c>
      <c r="J641" s="5">
        <v>1681</v>
      </c>
      <c r="K641" s="7">
        <v>2611.4592166070806</v>
      </c>
      <c r="L641" s="5">
        <v>1</v>
      </c>
      <c r="M641" s="5">
        <v>15</v>
      </c>
      <c r="N641" s="8">
        <f t="shared" si="0"/>
        <v>2219.7403341160184</v>
      </c>
      <c r="O641" s="5">
        <f t="shared" si="1"/>
        <v>1681</v>
      </c>
      <c r="P641" s="5">
        <f t="shared" si="2"/>
        <v>538.7403341160184</v>
      </c>
      <c r="Q641" s="5" t="s">
        <v>46</v>
      </c>
      <c r="R641" s="5" t="s">
        <v>32</v>
      </c>
      <c r="S641" s="6">
        <v>45133</v>
      </c>
      <c r="T641" s="5">
        <v>8</v>
      </c>
      <c r="U641" s="5">
        <v>4</v>
      </c>
      <c r="V641" s="5" t="s">
        <v>89</v>
      </c>
      <c r="W641" s="5">
        <f t="shared" si="3"/>
        <v>1</v>
      </c>
    </row>
    <row r="642" spans="1:23" ht="15.75" customHeight="1" x14ac:dyDescent="0.25">
      <c r="A642" s="5" t="s">
        <v>987</v>
      </c>
      <c r="B642" s="6">
        <v>45121</v>
      </c>
      <c r="C642" s="5" t="s">
        <v>988</v>
      </c>
      <c r="D642" s="5" t="s">
        <v>188</v>
      </c>
      <c r="E642" s="5" t="s">
        <v>60</v>
      </c>
      <c r="F642" s="5" t="s">
        <v>61</v>
      </c>
      <c r="G642" s="5" t="s">
        <v>75</v>
      </c>
      <c r="H642" s="5" t="s">
        <v>76</v>
      </c>
      <c r="I642" s="5" t="s">
        <v>77</v>
      </c>
      <c r="J642" s="5">
        <v>880</v>
      </c>
      <c r="K642" s="7">
        <v>1351.9467201582743</v>
      </c>
      <c r="L642" s="5">
        <v>1</v>
      </c>
      <c r="M642" s="5">
        <v>5</v>
      </c>
      <c r="N642" s="8">
        <f t="shared" si="0"/>
        <v>1284.3493841503605</v>
      </c>
      <c r="O642" s="5">
        <f t="shared" si="1"/>
        <v>880</v>
      </c>
      <c r="P642" s="5">
        <f t="shared" si="2"/>
        <v>404.34938415036049</v>
      </c>
      <c r="Q642" s="5" t="s">
        <v>39</v>
      </c>
      <c r="R642" s="5" t="s">
        <v>56</v>
      </c>
      <c r="T642" s="5">
        <v>10</v>
      </c>
      <c r="U642" s="5">
        <v>1</v>
      </c>
      <c r="W642" s="5">
        <f t="shared" si="3"/>
        <v>0</v>
      </c>
    </row>
    <row r="643" spans="1:23" ht="15.75" customHeight="1" x14ac:dyDescent="0.25">
      <c r="A643" s="5" t="s">
        <v>989</v>
      </c>
      <c r="B643" s="6">
        <v>45122</v>
      </c>
      <c r="C643" s="5" t="s">
        <v>560</v>
      </c>
      <c r="D643" s="5" t="s">
        <v>181</v>
      </c>
      <c r="E643" s="5" t="s">
        <v>80</v>
      </c>
      <c r="F643" s="5" t="s">
        <v>80</v>
      </c>
      <c r="G643" s="5" t="s">
        <v>28</v>
      </c>
      <c r="H643" s="5" t="s">
        <v>29</v>
      </c>
      <c r="I643" s="5" t="s">
        <v>30</v>
      </c>
      <c r="J643" s="5">
        <v>6154</v>
      </c>
      <c r="K643" s="7">
        <v>6660.1488594594048</v>
      </c>
      <c r="L643" s="5">
        <v>1</v>
      </c>
      <c r="M643" s="5">
        <v>10</v>
      </c>
      <c r="N643" s="8">
        <f t="shared" si="0"/>
        <v>5994.1339735134643</v>
      </c>
      <c r="O643" s="5">
        <f t="shared" si="1"/>
        <v>6154</v>
      </c>
      <c r="P643" s="5">
        <f t="shared" si="2"/>
        <v>-159.8660264865357</v>
      </c>
      <c r="Q643" s="5" t="s">
        <v>46</v>
      </c>
      <c r="R643" s="5" t="s">
        <v>56</v>
      </c>
      <c r="T643" s="5">
        <v>7</v>
      </c>
      <c r="U643" s="5">
        <v>4</v>
      </c>
      <c r="W643" s="5">
        <f t="shared" si="3"/>
        <v>0</v>
      </c>
    </row>
    <row r="644" spans="1:23" ht="15.75" customHeight="1" x14ac:dyDescent="0.25">
      <c r="A644" s="5" t="s">
        <v>990</v>
      </c>
      <c r="B644" s="6">
        <v>45122</v>
      </c>
      <c r="C644" s="5" t="s">
        <v>422</v>
      </c>
      <c r="D644" s="5" t="s">
        <v>148</v>
      </c>
      <c r="E644" s="5" t="s">
        <v>60</v>
      </c>
      <c r="F644" s="5" t="s">
        <v>61</v>
      </c>
      <c r="G644" s="5" t="s">
        <v>75</v>
      </c>
      <c r="H644" s="5" t="s">
        <v>76</v>
      </c>
      <c r="I644" s="5" t="s">
        <v>77</v>
      </c>
      <c r="J644" s="5">
        <v>1358</v>
      </c>
      <c r="K644" s="7">
        <v>1569.6600628699034</v>
      </c>
      <c r="L644" s="5">
        <v>1</v>
      </c>
      <c r="M644" s="5">
        <v>5</v>
      </c>
      <c r="N644" s="8">
        <f t="shared" si="0"/>
        <v>1491.1770597264081</v>
      </c>
      <c r="O644" s="5">
        <f t="shared" si="1"/>
        <v>1358</v>
      </c>
      <c r="P644" s="5">
        <f t="shared" si="2"/>
        <v>133.17705972640806</v>
      </c>
      <c r="Q644" s="5" t="s">
        <v>31</v>
      </c>
      <c r="R644" s="5" t="s">
        <v>32</v>
      </c>
      <c r="S644" s="6">
        <v>45131</v>
      </c>
      <c r="T644" s="5">
        <v>5</v>
      </c>
      <c r="U644" s="5">
        <v>3</v>
      </c>
      <c r="V644" s="5" t="s">
        <v>33</v>
      </c>
      <c r="W644" s="5">
        <f t="shared" si="3"/>
        <v>0</v>
      </c>
    </row>
    <row r="645" spans="1:23" ht="15.75" customHeight="1" x14ac:dyDescent="0.25">
      <c r="A645" s="5" t="s">
        <v>991</v>
      </c>
      <c r="B645" s="6">
        <v>45123</v>
      </c>
      <c r="C645" s="5" t="s">
        <v>79</v>
      </c>
      <c r="D645" s="5" t="s">
        <v>102</v>
      </c>
      <c r="E645" s="5" t="s">
        <v>54</v>
      </c>
      <c r="F645" s="5" t="s">
        <v>55</v>
      </c>
      <c r="G645" s="5" t="s">
        <v>70</v>
      </c>
      <c r="H645" s="5" t="s">
        <v>44</v>
      </c>
      <c r="I645" s="5" t="s">
        <v>71</v>
      </c>
      <c r="J645" s="5">
        <v>694</v>
      </c>
      <c r="K645" s="7">
        <v>1030.7368102475245</v>
      </c>
      <c r="L645" s="5">
        <v>2</v>
      </c>
      <c r="M645" s="5">
        <v>20</v>
      </c>
      <c r="N645" s="8">
        <f t="shared" si="0"/>
        <v>1649.1788963960394</v>
      </c>
      <c r="O645" s="5">
        <f t="shared" si="1"/>
        <v>1388</v>
      </c>
      <c r="P645" s="5">
        <f t="shared" si="2"/>
        <v>261.17889639603936</v>
      </c>
      <c r="Q645" s="5" t="s">
        <v>46</v>
      </c>
      <c r="R645" s="5" t="s">
        <v>32</v>
      </c>
      <c r="S645" s="6">
        <v>45129</v>
      </c>
      <c r="T645" s="5">
        <v>1</v>
      </c>
      <c r="U645" s="5">
        <v>4</v>
      </c>
      <c r="V645" s="5" t="s">
        <v>33</v>
      </c>
      <c r="W645" s="5">
        <f t="shared" si="3"/>
        <v>0</v>
      </c>
    </row>
    <row r="646" spans="1:23" ht="15.75" customHeight="1" x14ac:dyDescent="0.25">
      <c r="A646" s="5" t="s">
        <v>992</v>
      </c>
      <c r="B646" s="6">
        <v>45123</v>
      </c>
      <c r="C646" s="5" t="s">
        <v>833</v>
      </c>
      <c r="D646" s="5" t="s">
        <v>105</v>
      </c>
      <c r="E646" s="5" t="s">
        <v>37</v>
      </c>
      <c r="F646" s="5" t="s">
        <v>38</v>
      </c>
      <c r="G646" s="5" t="s">
        <v>87</v>
      </c>
      <c r="H646" s="5" t="s">
        <v>29</v>
      </c>
      <c r="I646" s="5" t="s">
        <v>88</v>
      </c>
      <c r="J646" s="5">
        <v>46437</v>
      </c>
      <c r="K646" s="7">
        <v>57950.718019703585</v>
      </c>
      <c r="L646" s="5">
        <v>4</v>
      </c>
      <c r="M646" s="5">
        <v>20</v>
      </c>
      <c r="N646" s="8">
        <f t="shared" si="0"/>
        <v>185442.29766305149</v>
      </c>
      <c r="O646" s="5">
        <f t="shared" si="1"/>
        <v>185748</v>
      </c>
      <c r="P646" s="5">
        <f t="shared" si="2"/>
        <v>-305.70233694851049</v>
      </c>
      <c r="Q646" s="5" t="s">
        <v>46</v>
      </c>
      <c r="R646" s="5" t="s">
        <v>32</v>
      </c>
      <c r="S646" s="6">
        <v>45134</v>
      </c>
      <c r="T646" s="5">
        <v>4</v>
      </c>
      <c r="U646" s="5">
        <v>4</v>
      </c>
      <c r="V646" s="5" t="s">
        <v>33</v>
      </c>
      <c r="W646" s="5">
        <f t="shared" si="3"/>
        <v>0</v>
      </c>
    </row>
    <row r="647" spans="1:23" ht="15.75" customHeight="1" x14ac:dyDescent="0.25">
      <c r="A647" s="5" t="s">
        <v>993</v>
      </c>
      <c r="B647" s="6">
        <v>45124</v>
      </c>
      <c r="C647" s="5" t="s">
        <v>79</v>
      </c>
      <c r="D647" s="5" t="s">
        <v>148</v>
      </c>
      <c r="E647" s="5" t="s">
        <v>37</v>
      </c>
      <c r="F647" s="5" t="s">
        <v>38</v>
      </c>
      <c r="G647" s="5" t="s">
        <v>139</v>
      </c>
      <c r="H647" s="5" t="s">
        <v>76</v>
      </c>
      <c r="I647" s="5" t="s">
        <v>140</v>
      </c>
      <c r="J647" s="5">
        <v>30575</v>
      </c>
      <c r="K647" s="7">
        <v>49191.031615084052</v>
      </c>
      <c r="L647" s="5">
        <v>1</v>
      </c>
      <c r="M647" s="5">
        <v>0</v>
      </c>
      <c r="N647" s="8">
        <f t="shared" si="0"/>
        <v>49191.031615084052</v>
      </c>
      <c r="O647" s="5">
        <f t="shared" si="1"/>
        <v>30575</v>
      </c>
      <c r="P647" s="5">
        <f t="shared" si="2"/>
        <v>18616.031615084052</v>
      </c>
      <c r="Q647" s="5" t="s">
        <v>46</v>
      </c>
      <c r="R647" s="5" t="s">
        <v>56</v>
      </c>
      <c r="T647" s="5">
        <v>8</v>
      </c>
      <c r="U647" s="5">
        <v>2</v>
      </c>
      <c r="W647" s="5">
        <f t="shared" si="3"/>
        <v>0</v>
      </c>
    </row>
    <row r="648" spans="1:23" ht="15.75" customHeight="1" x14ac:dyDescent="0.25">
      <c r="A648" s="5" t="s">
        <v>994</v>
      </c>
      <c r="B648" s="6">
        <v>45125</v>
      </c>
      <c r="C648" s="5" t="s">
        <v>301</v>
      </c>
      <c r="D648" s="5" t="s">
        <v>148</v>
      </c>
      <c r="E648" s="5" t="s">
        <v>69</v>
      </c>
      <c r="F648" s="5" t="s">
        <v>55</v>
      </c>
      <c r="G648" s="5" t="s">
        <v>97</v>
      </c>
      <c r="H648" s="5" t="s">
        <v>98</v>
      </c>
      <c r="I648" s="5" t="s">
        <v>99</v>
      </c>
      <c r="J648" s="5">
        <v>578</v>
      </c>
      <c r="K648" s="7">
        <v>1007.4856797346499</v>
      </c>
      <c r="L648" s="5">
        <v>1</v>
      </c>
      <c r="M648" s="5">
        <v>0</v>
      </c>
      <c r="N648" s="8">
        <f t="shared" si="0"/>
        <v>1007.4856797346499</v>
      </c>
      <c r="O648" s="5">
        <f t="shared" si="1"/>
        <v>578</v>
      </c>
      <c r="P648" s="5">
        <f t="shared" si="2"/>
        <v>429.48567973464992</v>
      </c>
      <c r="Q648" s="5" t="s">
        <v>39</v>
      </c>
      <c r="R648" s="5" t="s">
        <v>32</v>
      </c>
      <c r="S648" s="6">
        <v>45131</v>
      </c>
      <c r="T648" s="5">
        <v>1</v>
      </c>
      <c r="U648" s="5">
        <v>4</v>
      </c>
      <c r="V648" s="5" t="s">
        <v>33</v>
      </c>
      <c r="W648" s="5">
        <f t="shared" si="3"/>
        <v>0</v>
      </c>
    </row>
    <row r="649" spans="1:23" ht="15.75" customHeight="1" x14ac:dyDescent="0.25">
      <c r="A649" s="5" t="s">
        <v>995</v>
      </c>
      <c r="B649" s="6">
        <v>45125</v>
      </c>
      <c r="C649" s="5" t="s">
        <v>884</v>
      </c>
      <c r="D649" s="5" t="s">
        <v>208</v>
      </c>
      <c r="E649" s="5" t="s">
        <v>69</v>
      </c>
      <c r="F649" s="5" t="s">
        <v>55</v>
      </c>
      <c r="G649" s="5" t="s">
        <v>92</v>
      </c>
      <c r="H649" s="5" t="s">
        <v>44</v>
      </c>
      <c r="I649" s="5" t="s">
        <v>45</v>
      </c>
      <c r="J649" s="5">
        <v>811</v>
      </c>
      <c r="K649" s="7">
        <v>1032.0570861007884</v>
      </c>
      <c r="L649" s="5">
        <v>2</v>
      </c>
      <c r="M649" s="5">
        <v>20</v>
      </c>
      <c r="N649" s="8">
        <f t="shared" si="0"/>
        <v>1651.2913377612615</v>
      </c>
      <c r="O649" s="5">
        <f t="shared" si="1"/>
        <v>1622</v>
      </c>
      <c r="P649" s="5">
        <f t="shared" si="2"/>
        <v>29.291337761261502</v>
      </c>
      <c r="Q649" s="5" t="s">
        <v>39</v>
      </c>
      <c r="R649" s="5" t="s">
        <v>32</v>
      </c>
      <c r="S649" s="6">
        <v>45133</v>
      </c>
      <c r="T649" s="5">
        <v>3</v>
      </c>
      <c r="U649" s="5">
        <v>2</v>
      </c>
      <c r="V649" s="5" t="s">
        <v>33</v>
      </c>
      <c r="W649" s="5">
        <f t="shared" si="3"/>
        <v>0</v>
      </c>
    </row>
    <row r="650" spans="1:23" ht="15.75" customHeight="1" x14ac:dyDescent="0.25">
      <c r="A650" s="5" t="s">
        <v>996</v>
      </c>
      <c r="B650" s="6">
        <v>45126</v>
      </c>
      <c r="C650" s="5" t="s">
        <v>574</v>
      </c>
      <c r="D650" s="5" t="s">
        <v>105</v>
      </c>
      <c r="E650" s="5" t="s">
        <v>26</v>
      </c>
      <c r="F650" s="5" t="s">
        <v>27</v>
      </c>
      <c r="G650" s="5" t="s">
        <v>139</v>
      </c>
      <c r="H650" s="5" t="s">
        <v>76</v>
      </c>
      <c r="I650" s="5" t="s">
        <v>140</v>
      </c>
      <c r="J650" s="5">
        <v>41535</v>
      </c>
      <c r="K650" s="7">
        <v>71979.805936384451</v>
      </c>
      <c r="L650" s="5">
        <v>5</v>
      </c>
      <c r="M650" s="5">
        <v>0</v>
      </c>
      <c r="N650" s="8">
        <f t="shared" si="0"/>
        <v>359899.02968192229</v>
      </c>
      <c r="O650" s="5">
        <f t="shared" si="1"/>
        <v>207675</v>
      </c>
      <c r="P650" s="5">
        <f t="shared" si="2"/>
        <v>152224.02968192229</v>
      </c>
      <c r="Q650" s="5" t="s">
        <v>39</v>
      </c>
      <c r="R650" s="5" t="s">
        <v>56</v>
      </c>
      <c r="T650" s="5">
        <v>8</v>
      </c>
      <c r="U650" s="5">
        <v>4</v>
      </c>
      <c r="W650" s="5">
        <f t="shared" si="3"/>
        <v>0</v>
      </c>
    </row>
    <row r="651" spans="1:23" ht="15.75" customHeight="1" x14ac:dyDescent="0.25">
      <c r="A651" s="5" t="s">
        <v>997</v>
      </c>
      <c r="B651" s="6">
        <v>45126</v>
      </c>
      <c r="C651" s="5" t="s">
        <v>48</v>
      </c>
      <c r="D651" s="5" t="s">
        <v>135</v>
      </c>
      <c r="E651" s="5" t="s">
        <v>69</v>
      </c>
      <c r="F651" s="5" t="s">
        <v>55</v>
      </c>
      <c r="G651" s="5" t="s">
        <v>81</v>
      </c>
      <c r="H651" s="5" t="s">
        <v>44</v>
      </c>
      <c r="I651" s="5" t="s">
        <v>82</v>
      </c>
      <c r="J651" s="5">
        <v>960</v>
      </c>
      <c r="K651" s="7">
        <v>1551.8349918964211</v>
      </c>
      <c r="L651" s="5">
        <v>4</v>
      </c>
      <c r="M651" s="5">
        <v>5</v>
      </c>
      <c r="N651" s="8">
        <f t="shared" si="0"/>
        <v>5896.9729692064002</v>
      </c>
      <c r="O651" s="5">
        <f t="shared" si="1"/>
        <v>3840</v>
      </c>
      <c r="P651" s="5">
        <f t="shared" si="2"/>
        <v>2056.9729692064002</v>
      </c>
      <c r="Q651" s="5" t="s">
        <v>31</v>
      </c>
      <c r="R651" s="5" t="s">
        <v>32</v>
      </c>
      <c r="S651" s="6">
        <v>45137</v>
      </c>
      <c r="T651" s="5">
        <v>4</v>
      </c>
      <c r="U651" s="5">
        <v>3</v>
      </c>
      <c r="V651" s="5" t="s">
        <v>33</v>
      </c>
      <c r="W651" s="5">
        <f t="shared" si="3"/>
        <v>0</v>
      </c>
    </row>
    <row r="652" spans="1:23" ht="15.75" customHeight="1" x14ac:dyDescent="0.25">
      <c r="A652" s="5" t="s">
        <v>998</v>
      </c>
      <c r="B652" s="6">
        <v>45127</v>
      </c>
      <c r="C652" s="5" t="s">
        <v>601</v>
      </c>
      <c r="D652" s="5" t="s">
        <v>64</v>
      </c>
      <c r="E652" s="5" t="s">
        <v>26</v>
      </c>
      <c r="F652" s="5" t="s">
        <v>27</v>
      </c>
      <c r="G652" s="5" t="s">
        <v>43</v>
      </c>
      <c r="H652" s="5" t="s">
        <v>44</v>
      </c>
      <c r="I652" s="5" t="s">
        <v>45</v>
      </c>
      <c r="J652" s="5">
        <v>259</v>
      </c>
      <c r="K652" s="7">
        <v>341.34186789830096</v>
      </c>
      <c r="L652" s="5">
        <v>4</v>
      </c>
      <c r="M652" s="5">
        <v>5</v>
      </c>
      <c r="N652" s="8">
        <f t="shared" si="0"/>
        <v>1297.0990980135437</v>
      </c>
      <c r="O652" s="5">
        <f t="shared" si="1"/>
        <v>1036</v>
      </c>
      <c r="P652" s="5">
        <f t="shared" si="2"/>
        <v>261.09909801354365</v>
      </c>
      <c r="Q652" s="5" t="s">
        <v>83</v>
      </c>
      <c r="R652" s="5" t="s">
        <v>56</v>
      </c>
      <c r="T652" s="5">
        <v>10</v>
      </c>
      <c r="U652" s="5">
        <v>1</v>
      </c>
      <c r="W652" s="5">
        <f t="shared" si="3"/>
        <v>0</v>
      </c>
    </row>
    <row r="653" spans="1:23" ht="15.75" customHeight="1" x14ac:dyDescent="0.25">
      <c r="A653" s="5" t="s">
        <v>999</v>
      </c>
      <c r="B653" s="6">
        <v>45127</v>
      </c>
      <c r="C653" s="5" t="s">
        <v>332</v>
      </c>
      <c r="D653" s="5" t="s">
        <v>53</v>
      </c>
      <c r="E653" s="5" t="s">
        <v>49</v>
      </c>
      <c r="F653" s="5" t="s">
        <v>50</v>
      </c>
      <c r="G653" s="5" t="s">
        <v>124</v>
      </c>
      <c r="H653" s="5" t="s">
        <v>76</v>
      </c>
      <c r="I653" s="5" t="s">
        <v>125</v>
      </c>
      <c r="J653" s="5">
        <v>59753</v>
      </c>
      <c r="K653" s="7">
        <v>97879.746146491074</v>
      </c>
      <c r="L653" s="5">
        <v>4</v>
      </c>
      <c r="M653" s="5">
        <v>15</v>
      </c>
      <c r="N653" s="8">
        <f t="shared" si="0"/>
        <v>332791.13689806964</v>
      </c>
      <c r="O653" s="5">
        <f t="shared" si="1"/>
        <v>239012</v>
      </c>
      <c r="P653" s="5">
        <f t="shared" si="2"/>
        <v>93779.136898069642</v>
      </c>
      <c r="Q653" s="5" t="s">
        <v>31</v>
      </c>
      <c r="R653" s="5" t="s">
        <v>32</v>
      </c>
      <c r="S653" s="6">
        <v>45135</v>
      </c>
      <c r="T653" s="5">
        <v>3</v>
      </c>
      <c r="U653" s="5">
        <v>2</v>
      </c>
      <c r="V653" s="5" t="s">
        <v>33</v>
      </c>
      <c r="W653" s="5">
        <f t="shared" si="3"/>
        <v>0</v>
      </c>
    </row>
    <row r="654" spans="1:23" ht="15.75" customHeight="1" x14ac:dyDescent="0.25">
      <c r="A654" s="5" t="s">
        <v>1000</v>
      </c>
      <c r="B654" s="6">
        <v>45127</v>
      </c>
      <c r="C654" s="5" t="s">
        <v>235</v>
      </c>
      <c r="D654" s="5" t="s">
        <v>105</v>
      </c>
      <c r="E654" s="5" t="s">
        <v>54</v>
      </c>
      <c r="F654" s="5" t="s">
        <v>55</v>
      </c>
      <c r="G654" s="5" t="s">
        <v>43</v>
      </c>
      <c r="H654" s="5" t="s">
        <v>44</v>
      </c>
      <c r="I654" s="5" t="s">
        <v>45</v>
      </c>
      <c r="J654" s="5">
        <v>738</v>
      </c>
      <c r="K654" s="7">
        <v>742.71673922300386</v>
      </c>
      <c r="L654" s="5">
        <v>4</v>
      </c>
      <c r="M654" s="5">
        <v>20</v>
      </c>
      <c r="N654" s="8">
        <f t="shared" si="0"/>
        <v>2376.6935655136126</v>
      </c>
      <c r="O654" s="5">
        <f t="shared" si="1"/>
        <v>2952</v>
      </c>
      <c r="P654" s="5">
        <f t="shared" si="2"/>
        <v>-575.30643448638739</v>
      </c>
      <c r="Q654" s="5" t="s">
        <v>31</v>
      </c>
      <c r="R654" s="5" t="s">
        <v>56</v>
      </c>
      <c r="T654" s="5">
        <v>7</v>
      </c>
      <c r="U654" s="5">
        <v>4</v>
      </c>
      <c r="W654" s="5">
        <f t="shared" si="3"/>
        <v>0</v>
      </c>
    </row>
    <row r="655" spans="1:23" ht="15.75" customHeight="1" x14ac:dyDescent="0.25">
      <c r="A655" s="5" t="s">
        <v>1001</v>
      </c>
      <c r="B655" s="6">
        <v>45127</v>
      </c>
      <c r="C655" s="5" t="s">
        <v>318</v>
      </c>
      <c r="D655" s="5" t="s">
        <v>105</v>
      </c>
      <c r="E655" s="5" t="s">
        <v>80</v>
      </c>
      <c r="F655" s="5" t="s">
        <v>80</v>
      </c>
      <c r="G655" s="5" t="s">
        <v>43</v>
      </c>
      <c r="H655" s="5" t="s">
        <v>44</v>
      </c>
      <c r="I655" s="5" t="s">
        <v>45</v>
      </c>
      <c r="J655" s="5">
        <v>492</v>
      </c>
      <c r="K655" s="7">
        <v>742.46985382066021</v>
      </c>
      <c r="L655" s="5">
        <v>1</v>
      </c>
      <c r="M655" s="5">
        <v>5</v>
      </c>
      <c r="N655" s="8">
        <f t="shared" si="0"/>
        <v>705.34636112962721</v>
      </c>
      <c r="O655" s="5">
        <f t="shared" si="1"/>
        <v>492</v>
      </c>
      <c r="P655" s="5">
        <f t="shared" si="2"/>
        <v>213.34636112962721</v>
      </c>
      <c r="Q655" s="5" t="s">
        <v>39</v>
      </c>
      <c r="R655" s="5" t="s">
        <v>32</v>
      </c>
      <c r="S655" s="6">
        <v>45133</v>
      </c>
      <c r="T655" s="5">
        <v>1</v>
      </c>
      <c r="U655" s="5">
        <v>4</v>
      </c>
      <c r="V655" s="5" t="s">
        <v>33</v>
      </c>
      <c r="W655" s="5">
        <f t="shared" si="3"/>
        <v>0</v>
      </c>
    </row>
    <row r="656" spans="1:23" ht="15.75" customHeight="1" x14ac:dyDescent="0.25">
      <c r="A656" s="5" t="s">
        <v>1002</v>
      </c>
      <c r="B656" s="6">
        <v>45128</v>
      </c>
      <c r="C656" s="5" t="s">
        <v>976</v>
      </c>
      <c r="D656" s="5" t="s">
        <v>64</v>
      </c>
      <c r="E656" s="5" t="s">
        <v>26</v>
      </c>
      <c r="F656" s="5" t="s">
        <v>27</v>
      </c>
      <c r="G656" s="5" t="s">
        <v>87</v>
      </c>
      <c r="H656" s="5" t="s">
        <v>29</v>
      </c>
      <c r="I656" s="5" t="s">
        <v>88</v>
      </c>
      <c r="J656" s="5">
        <v>30045</v>
      </c>
      <c r="K656" s="7">
        <v>52548.458489733646</v>
      </c>
      <c r="L656" s="5">
        <v>5</v>
      </c>
      <c r="M656" s="5">
        <v>10</v>
      </c>
      <c r="N656" s="8">
        <f t="shared" si="0"/>
        <v>236468.0632038014</v>
      </c>
      <c r="O656" s="5">
        <f t="shared" si="1"/>
        <v>150225</v>
      </c>
      <c r="P656" s="5">
        <f t="shared" si="2"/>
        <v>86243.063203801401</v>
      </c>
      <c r="Q656" s="5" t="s">
        <v>31</v>
      </c>
      <c r="R656" s="5" t="s">
        <v>32</v>
      </c>
      <c r="S656" s="6">
        <v>45138</v>
      </c>
      <c r="T656" s="5">
        <v>4</v>
      </c>
      <c r="U656" s="5">
        <v>2</v>
      </c>
      <c r="V656" s="5" t="s">
        <v>33</v>
      </c>
      <c r="W656" s="5">
        <f t="shared" si="3"/>
        <v>0</v>
      </c>
    </row>
    <row r="657" spans="1:23" ht="15.75" customHeight="1" x14ac:dyDescent="0.25">
      <c r="A657" s="5" t="s">
        <v>1003</v>
      </c>
      <c r="B657" s="6">
        <v>45128</v>
      </c>
      <c r="C657" s="5" t="s">
        <v>1004</v>
      </c>
      <c r="D657" s="5" t="s">
        <v>116</v>
      </c>
      <c r="E657" s="5" t="s">
        <v>54</v>
      </c>
      <c r="F657" s="5" t="s">
        <v>55</v>
      </c>
      <c r="G657" s="5" t="s">
        <v>124</v>
      </c>
      <c r="H657" s="5" t="s">
        <v>76</v>
      </c>
      <c r="I657" s="5" t="s">
        <v>125</v>
      </c>
      <c r="J657" s="5">
        <v>76368</v>
      </c>
      <c r="K657" s="7">
        <v>130420.84975660598</v>
      </c>
      <c r="L657" s="5">
        <v>1</v>
      </c>
      <c r="M657" s="5">
        <v>0</v>
      </c>
      <c r="N657" s="8">
        <f t="shared" si="0"/>
        <v>130420.84975660598</v>
      </c>
      <c r="O657" s="5">
        <f t="shared" si="1"/>
        <v>76368</v>
      </c>
      <c r="P657" s="5">
        <f t="shared" si="2"/>
        <v>54052.849756605981</v>
      </c>
      <c r="Q657" s="5" t="s">
        <v>83</v>
      </c>
      <c r="R657" s="5" t="s">
        <v>56</v>
      </c>
      <c r="T657" s="5">
        <v>9</v>
      </c>
      <c r="U657" s="5">
        <v>1</v>
      </c>
      <c r="W657" s="5">
        <f t="shared" si="3"/>
        <v>0</v>
      </c>
    </row>
    <row r="658" spans="1:23" ht="15.75" customHeight="1" x14ac:dyDescent="0.25">
      <c r="A658" s="5" t="s">
        <v>1005</v>
      </c>
      <c r="B658" s="6">
        <v>45128</v>
      </c>
      <c r="C658" s="5" t="s">
        <v>85</v>
      </c>
      <c r="D658" s="5" t="s">
        <v>150</v>
      </c>
      <c r="E658" s="5" t="s">
        <v>69</v>
      </c>
      <c r="F658" s="5" t="s">
        <v>55</v>
      </c>
      <c r="G658" s="5" t="s">
        <v>28</v>
      </c>
      <c r="H658" s="5" t="s">
        <v>29</v>
      </c>
      <c r="I658" s="5" t="s">
        <v>30</v>
      </c>
      <c r="J658" s="5">
        <v>5651</v>
      </c>
      <c r="K658" s="7">
        <v>8450.7289680213471</v>
      </c>
      <c r="L658" s="5">
        <v>5</v>
      </c>
      <c r="M658" s="5">
        <v>10</v>
      </c>
      <c r="N658" s="8">
        <f t="shared" si="0"/>
        <v>38028.28035609606</v>
      </c>
      <c r="O658" s="5">
        <f t="shared" si="1"/>
        <v>28255</v>
      </c>
      <c r="P658" s="5">
        <f t="shared" si="2"/>
        <v>9773.2803560960601</v>
      </c>
      <c r="Q658" s="5" t="s">
        <v>39</v>
      </c>
      <c r="R658" s="5" t="s">
        <v>32</v>
      </c>
      <c r="S658" s="6">
        <v>45137</v>
      </c>
      <c r="T658" s="5">
        <v>4</v>
      </c>
      <c r="U658" s="5">
        <v>2</v>
      </c>
      <c r="V658" s="5" t="s">
        <v>33</v>
      </c>
      <c r="W658" s="5">
        <f t="shared" si="3"/>
        <v>0</v>
      </c>
    </row>
    <row r="659" spans="1:23" ht="15.75" customHeight="1" x14ac:dyDescent="0.25">
      <c r="A659" s="5" t="s">
        <v>1006</v>
      </c>
      <c r="B659" s="6">
        <v>45128</v>
      </c>
      <c r="C659" s="5" t="s">
        <v>214</v>
      </c>
      <c r="D659" s="5" t="s">
        <v>181</v>
      </c>
      <c r="E659" s="5" t="s">
        <v>112</v>
      </c>
      <c r="F659" s="5" t="s">
        <v>113</v>
      </c>
      <c r="G659" s="5" t="s">
        <v>106</v>
      </c>
      <c r="H659" s="5" t="s">
        <v>98</v>
      </c>
      <c r="I659" s="5" t="s">
        <v>107</v>
      </c>
      <c r="J659" s="5">
        <v>761</v>
      </c>
      <c r="K659" s="7">
        <v>979.5455103967189</v>
      </c>
      <c r="L659" s="5">
        <v>4</v>
      </c>
      <c r="M659" s="5">
        <v>20</v>
      </c>
      <c r="N659" s="8">
        <f t="shared" si="0"/>
        <v>3134.5456332695007</v>
      </c>
      <c r="O659" s="5">
        <f t="shared" si="1"/>
        <v>3044</v>
      </c>
      <c r="P659" s="5">
        <f t="shared" si="2"/>
        <v>90.54563326950074</v>
      </c>
      <c r="Q659" s="5" t="s">
        <v>39</v>
      </c>
      <c r="R659" s="5" t="s">
        <v>56</v>
      </c>
      <c r="T659" s="5">
        <v>7</v>
      </c>
      <c r="U659" s="5">
        <v>4</v>
      </c>
      <c r="W659" s="5">
        <f t="shared" si="3"/>
        <v>0</v>
      </c>
    </row>
    <row r="660" spans="1:23" ht="15.75" customHeight="1" x14ac:dyDescent="0.25">
      <c r="A660" s="5" t="s">
        <v>1007</v>
      </c>
      <c r="B660" s="6">
        <v>45129</v>
      </c>
      <c r="C660" s="5" t="s">
        <v>1008</v>
      </c>
      <c r="D660" s="5" t="s">
        <v>208</v>
      </c>
      <c r="E660" s="5" t="s">
        <v>80</v>
      </c>
      <c r="F660" s="5" t="s">
        <v>80</v>
      </c>
      <c r="G660" s="5" t="s">
        <v>124</v>
      </c>
      <c r="H660" s="5" t="s">
        <v>76</v>
      </c>
      <c r="I660" s="5" t="s">
        <v>125</v>
      </c>
      <c r="J660" s="5">
        <v>87785</v>
      </c>
      <c r="K660" s="7">
        <v>131467.91870471727</v>
      </c>
      <c r="L660" s="5">
        <v>3</v>
      </c>
      <c r="M660" s="5">
        <v>5</v>
      </c>
      <c r="N660" s="8">
        <f t="shared" si="0"/>
        <v>374683.56830844417</v>
      </c>
      <c r="O660" s="5">
        <f t="shared" si="1"/>
        <v>263355</v>
      </c>
      <c r="P660" s="5">
        <f t="shared" si="2"/>
        <v>111328.56830844417</v>
      </c>
      <c r="Q660" s="5" t="s">
        <v>83</v>
      </c>
      <c r="R660" s="5" t="s">
        <v>56</v>
      </c>
      <c r="T660" s="5">
        <v>9</v>
      </c>
      <c r="U660" s="5">
        <v>1</v>
      </c>
      <c r="W660" s="5">
        <f t="shared" si="3"/>
        <v>0</v>
      </c>
    </row>
    <row r="661" spans="1:23" ht="15.75" customHeight="1" x14ac:dyDescent="0.25">
      <c r="A661" s="5" t="s">
        <v>1009</v>
      </c>
      <c r="B661" s="6">
        <v>45129</v>
      </c>
      <c r="C661" s="5" t="s">
        <v>881</v>
      </c>
      <c r="D661" s="5" t="s">
        <v>59</v>
      </c>
      <c r="E661" s="5" t="s">
        <v>49</v>
      </c>
      <c r="F661" s="5" t="s">
        <v>50</v>
      </c>
      <c r="G661" s="5" t="s">
        <v>28</v>
      </c>
      <c r="H661" s="5" t="s">
        <v>29</v>
      </c>
      <c r="I661" s="5" t="s">
        <v>30</v>
      </c>
      <c r="J661" s="5">
        <v>6102</v>
      </c>
      <c r="K661" s="7">
        <v>6216.4953307785308</v>
      </c>
      <c r="L661" s="5">
        <v>5</v>
      </c>
      <c r="M661" s="5">
        <v>20</v>
      </c>
      <c r="N661" s="8">
        <f t="shared" si="0"/>
        <v>24865.981323114127</v>
      </c>
      <c r="O661" s="5">
        <f t="shared" si="1"/>
        <v>30510</v>
      </c>
      <c r="P661" s="5">
        <f t="shared" si="2"/>
        <v>-5644.018676885873</v>
      </c>
      <c r="Q661" s="5" t="s">
        <v>46</v>
      </c>
      <c r="R661" s="5" t="s">
        <v>32</v>
      </c>
      <c r="S661" s="6">
        <v>45139</v>
      </c>
      <c r="T661" s="5">
        <v>5</v>
      </c>
      <c r="U661" s="5">
        <v>3</v>
      </c>
      <c r="V661" s="5" t="s">
        <v>33</v>
      </c>
      <c r="W661" s="5">
        <f t="shared" si="3"/>
        <v>0</v>
      </c>
    </row>
    <row r="662" spans="1:23" ht="15.75" customHeight="1" x14ac:dyDescent="0.25">
      <c r="A662" s="5" t="s">
        <v>1010</v>
      </c>
      <c r="B662" s="6">
        <v>45130</v>
      </c>
      <c r="C662" s="5" t="s">
        <v>282</v>
      </c>
      <c r="D662" s="5" t="s">
        <v>184</v>
      </c>
      <c r="E662" s="5" t="s">
        <v>112</v>
      </c>
      <c r="F662" s="5" t="s">
        <v>113</v>
      </c>
      <c r="G662" s="5" t="s">
        <v>139</v>
      </c>
      <c r="H662" s="5" t="s">
        <v>76</v>
      </c>
      <c r="I662" s="5" t="s">
        <v>140</v>
      </c>
      <c r="J662" s="5">
        <v>49535</v>
      </c>
      <c r="K662" s="7">
        <v>84574.685472780344</v>
      </c>
      <c r="L662" s="5">
        <v>4</v>
      </c>
      <c r="M662" s="5">
        <v>20</v>
      </c>
      <c r="N662" s="8">
        <f t="shared" si="0"/>
        <v>270638.99351289711</v>
      </c>
      <c r="O662" s="5">
        <f t="shared" si="1"/>
        <v>198140</v>
      </c>
      <c r="P662" s="5">
        <f t="shared" si="2"/>
        <v>72498.993512897112</v>
      </c>
      <c r="Q662" s="5" t="s">
        <v>83</v>
      </c>
      <c r="R662" s="5" t="s">
        <v>56</v>
      </c>
      <c r="T662" s="5">
        <v>8</v>
      </c>
      <c r="U662" s="5">
        <v>3</v>
      </c>
      <c r="W662" s="5">
        <f t="shared" si="3"/>
        <v>0</v>
      </c>
    </row>
    <row r="663" spans="1:23" ht="15.75" customHeight="1" x14ac:dyDescent="0.25">
      <c r="A663" s="5" t="s">
        <v>1011</v>
      </c>
      <c r="B663" s="6">
        <v>45130</v>
      </c>
      <c r="C663" s="5" t="s">
        <v>1012</v>
      </c>
      <c r="D663" s="5" t="s">
        <v>102</v>
      </c>
      <c r="E663" s="5" t="s">
        <v>80</v>
      </c>
      <c r="F663" s="5" t="s">
        <v>80</v>
      </c>
      <c r="G663" s="5" t="s">
        <v>119</v>
      </c>
      <c r="H663" s="5" t="s">
        <v>76</v>
      </c>
      <c r="I663" s="5" t="s">
        <v>120</v>
      </c>
      <c r="J663" s="5">
        <v>50837</v>
      </c>
      <c r="K663" s="7">
        <v>61149.193098552598</v>
      </c>
      <c r="L663" s="5">
        <v>5</v>
      </c>
      <c r="M663" s="5">
        <v>0</v>
      </c>
      <c r="N663" s="8">
        <f t="shared" si="0"/>
        <v>305745.96549276297</v>
      </c>
      <c r="O663" s="5">
        <f t="shared" si="1"/>
        <v>254185</v>
      </c>
      <c r="P663" s="5">
        <f t="shared" si="2"/>
        <v>51560.965492762974</v>
      </c>
      <c r="Q663" s="5" t="s">
        <v>31</v>
      </c>
      <c r="R663" s="5" t="s">
        <v>32</v>
      </c>
      <c r="S663" s="6">
        <v>45139</v>
      </c>
      <c r="T663" s="5">
        <v>2</v>
      </c>
      <c r="U663" s="5">
        <v>5</v>
      </c>
      <c r="V663" s="5" t="s">
        <v>33</v>
      </c>
      <c r="W663" s="5">
        <f t="shared" si="3"/>
        <v>0</v>
      </c>
    </row>
    <row r="664" spans="1:23" ht="15.75" customHeight="1" x14ac:dyDescent="0.25">
      <c r="A664" s="5" t="s">
        <v>1013</v>
      </c>
      <c r="B664" s="6">
        <v>45130</v>
      </c>
      <c r="C664" s="5" t="s">
        <v>334</v>
      </c>
      <c r="D664" s="5" t="s">
        <v>135</v>
      </c>
      <c r="E664" s="5" t="s">
        <v>80</v>
      </c>
      <c r="F664" s="5" t="s">
        <v>80</v>
      </c>
      <c r="G664" s="5" t="s">
        <v>87</v>
      </c>
      <c r="H664" s="5" t="s">
        <v>29</v>
      </c>
      <c r="I664" s="5" t="s">
        <v>88</v>
      </c>
      <c r="J664" s="5">
        <v>24475</v>
      </c>
      <c r="K664" s="7">
        <v>37193.870246471248</v>
      </c>
      <c r="L664" s="5">
        <v>4</v>
      </c>
      <c r="M664" s="5">
        <v>10</v>
      </c>
      <c r="N664" s="8">
        <f t="shared" si="0"/>
        <v>133897.93288729648</v>
      </c>
      <c r="O664" s="5">
        <f t="shared" si="1"/>
        <v>97900</v>
      </c>
      <c r="P664" s="5">
        <f t="shared" si="2"/>
        <v>35997.932887296483</v>
      </c>
      <c r="Q664" s="5" t="s">
        <v>46</v>
      </c>
      <c r="R664" s="5" t="s">
        <v>32</v>
      </c>
      <c r="S664" s="6">
        <v>45139</v>
      </c>
      <c r="T664" s="5">
        <v>4</v>
      </c>
      <c r="U664" s="5">
        <v>3</v>
      </c>
      <c r="V664" s="5" t="s">
        <v>33</v>
      </c>
      <c r="W664" s="5">
        <f t="shared" si="3"/>
        <v>0</v>
      </c>
    </row>
    <row r="665" spans="1:23" ht="15.75" customHeight="1" x14ac:dyDescent="0.25">
      <c r="A665" s="5" t="s">
        <v>1014</v>
      </c>
      <c r="B665" s="6">
        <v>45131</v>
      </c>
      <c r="C665" s="5" t="s">
        <v>250</v>
      </c>
      <c r="D665" s="5" t="s">
        <v>64</v>
      </c>
      <c r="E665" s="5" t="s">
        <v>69</v>
      </c>
      <c r="F665" s="5" t="s">
        <v>55</v>
      </c>
      <c r="G665" s="5" t="s">
        <v>124</v>
      </c>
      <c r="H665" s="5" t="s">
        <v>76</v>
      </c>
      <c r="I665" s="5" t="s">
        <v>125</v>
      </c>
      <c r="J665" s="5">
        <v>53377</v>
      </c>
      <c r="K665" s="7">
        <v>71184.371553751014</v>
      </c>
      <c r="L665" s="5">
        <v>3</v>
      </c>
      <c r="M665" s="5">
        <v>20</v>
      </c>
      <c r="N665" s="8">
        <f t="shared" si="0"/>
        <v>170842.49172900245</v>
      </c>
      <c r="O665" s="5">
        <f t="shared" si="1"/>
        <v>160131</v>
      </c>
      <c r="P665" s="5">
        <f t="shared" si="2"/>
        <v>10711.491729002446</v>
      </c>
      <c r="Q665" s="5" t="s">
        <v>31</v>
      </c>
      <c r="R665" s="5" t="s">
        <v>32</v>
      </c>
      <c r="S665" s="6">
        <v>45140</v>
      </c>
      <c r="T665" s="5">
        <v>5</v>
      </c>
      <c r="U665" s="5">
        <v>4</v>
      </c>
      <c r="V665" s="5" t="s">
        <v>33</v>
      </c>
      <c r="W665" s="5">
        <f t="shared" si="3"/>
        <v>0</v>
      </c>
    </row>
    <row r="666" spans="1:23" ht="15.75" customHeight="1" x14ac:dyDescent="0.25">
      <c r="A666" s="5" t="s">
        <v>1015</v>
      </c>
      <c r="B666" s="6">
        <v>45131</v>
      </c>
      <c r="C666" s="5" t="s">
        <v>216</v>
      </c>
      <c r="D666" s="5" t="s">
        <v>105</v>
      </c>
      <c r="E666" s="5" t="s">
        <v>69</v>
      </c>
      <c r="F666" s="5" t="s">
        <v>55</v>
      </c>
      <c r="G666" s="5" t="s">
        <v>43</v>
      </c>
      <c r="H666" s="5" t="s">
        <v>44</v>
      </c>
      <c r="I666" s="5" t="s">
        <v>45</v>
      </c>
      <c r="J666" s="5">
        <v>472</v>
      </c>
      <c r="K666" s="7">
        <v>794.41573190998201</v>
      </c>
      <c r="L666" s="5">
        <v>2</v>
      </c>
      <c r="M666" s="5">
        <v>5</v>
      </c>
      <c r="N666" s="8">
        <f t="shared" si="0"/>
        <v>1509.3898906289658</v>
      </c>
      <c r="O666" s="5">
        <f t="shared" si="1"/>
        <v>944</v>
      </c>
      <c r="P666" s="5">
        <f t="shared" si="2"/>
        <v>565.38989062896576</v>
      </c>
      <c r="Q666" s="5" t="s">
        <v>46</v>
      </c>
      <c r="R666" s="5" t="s">
        <v>32</v>
      </c>
      <c r="S666" s="6">
        <v>45138</v>
      </c>
      <c r="T666" s="5">
        <v>4</v>
      </c>
      <c r="U666" s="5">
        <v>3</v>
      </c>
      <c r="V666" s="5" t="s">
        <v>33</v>
      </c>
      <c r="W666" s="5">
        <f t="shared" si="3"/>
        <v>0</v>
      </c>
    </row>
    <row r="667" spans="1:23" ht="15.75" customHeight="1" x14ac:dyDescent="0.25">
      <c r="A667" s="5" t="s">
        <v>1016</v>
      </c>
      <c r="B667" s="6">
        <v>45132</v>
      </c>
      <c r="C667" s="5" t="s">
        <v>932</v>
      </c>
      <c r="D667" s="5" t="s">
        <v>42</v>
      </c>
      <c r="E667" s="5" t="s">
        <v>54</v>
      </c>
      <c r="F667" s="5" t="s">
        <v>55</v>
      </c>
      <c r="G667" s="5" t="s">
        <v>87</v>
      </c>
      <c r="H667" s="5" t="s">
        <v>29</v>
      </c>
      <c r="I667" s="5" t="s">
        <v>88</v>
      </c>
      <c r="J667" s="5">
        <v>30886</v>
      </c>
      <c r="K667" s="7">
        <v>51790.344675283704</v>
      </c>
      <c r="L667" s="5">
        <v>4</v>
      </c>
      <c r="M667" s="5">
        <v>10</v>
      </c>
      <c r="N667" s="8">
        <f t="shared" si="0"/>
        <v>186445.24083102134</v>
      </c>
      <c r="O667" s="5">
        <f t="shared" si="1"/>
        <v>123544</v>
      </c>
      <c r="P667" s="5">
        <f t="shared" si="2"/>
        <v>62901.240831021336</v>
      </c>
      <c r="Q667" s="5" t="s">
        <v>31</v>
      </c>
      <c r="R667" s="5" t="s">
        <v>32</v>
      </c>
      <c r="S667" s="6">
        <v>45144</v>
      </c>
      <c r="T667" s="5">
        <v>5</v>
      </c>
      <c r="U667" s="5">
        <v>2</v>
      </c>
      <c r="V667" s="5" t="s">
        <v>33</v>
      </c>
      <c r="W667" s="5">
        <f t="shared" si="3"/>
        <v>0</v>
      </c>
    </row>
    <row r="668" spans="1:23" ht="15.75" customHeight="1" x14ac:dyDescent="0.25">
      <c r="A668" s="5" t="s">
        <v>1017</v>
      </c>
      <c r="B668" s="6">
        <v>45132</v>
      </c>
      <c r="C668" s="5" t="s">
        <v>239</v>
      </c>
      <c r="D668" s="5" t="s">
        <v>86</v>
      </c>
      <c r="E668" s="5" t="s">
        <v>49</v>
      </c>
      <c r="F668" s="5" t="s">
        <v>50</v>
      </c>
      <c r="G668" s="5" t="s">
        <v>70</v>
      </c>
      <c r="H668" s="5" t="s">
        <v>44</v>
      </c>
      <c r="I668" s="5" t="s">
        <v>71</v>
      </c>
      <c r="J668" s="5">
        <v>1165</v>
      </c>
      <c r="K668" s="7">
        <v>1221.6825341703473</v>
      </c>
      <c r="L668" s="5">
        <v>1</v>
      </c>
      <c r="M668" s="5">
        <v>0</v>
      </c>
      <c r="N668" s="8">
        <f t="shared" si="0"/>
        <v>1221.6825341703473</v>
      </c>
      <c r="O668" s="5">
        <f t="shared" si="1"/>
        <v>1165</v>
      </c>
      <c r="P668" s="5">
        <f t="shared" si="2"/>
        <v>56.682534170347253</v>
      </c>
      <c r="Q668" s="5" t="s">
        <v>83</v>
      </c>
      <c r="R668" s="5" t="s">
        <v>56</v>
      </c>
      <c r="T668" s="5">
        <v>7</v>
      </c>
      <c r="U668" s="5">
        <v>2</v>
      </c>
      <c r="W668" s="5">
        <f t="shared" si="3"/>
        <v>0</v>
      </c>
    </row>
    <row r="669" spans="1:23" ht="15.75" customHeight="1" x14ac:dyDescent="0.25">
      <c r="A669" s="5" t="s">
        <v>1018</v>
      </c>
      <c r="B669" s="6">
        <v>45132</v>
      </c>
      <c r="C669" s="5" t="s">
        <v>457</v>
      </c>
      <c r="D669" s="5" t="s">
        <v>86</v>
      </c>
      <c r="E669" s="5" t="s">
        <v>26</v>
      </c>
      <c r="F669" s="5" t="s">
        <v>27</v>
      </c>
      <c r="G669" s="5" t="s">
        <v>43</v>
      </c>
      <c r="H669" s="5" t="s">
        <v>44</v>
      </c>
      <c r="I669" s="5" t="s">
        <v>45</v>
      </c>
      <c r="J669" s="5">
        <v>276</v>
      </c>
      <c r="K669" s="7">
        <v>413.33853118233037</v>
      </c>
      <c r="L669" s="5">
        <v>3</v>
      </c>
      <c r="M669" s="5">
        <v>5</v>
      </c>
      <c r="N669" s="8">
        <f t="shared" si="0"/>
        <v>1178.0148138696416</v>
      </c>
      <c r="O669" s="5">
        <f t="shared" si="1"/>
        <v>828</v>
      </c>
      <c r="P669" s="5">
        <f t="shared" si="2"/>
        <v>350.01481386964156</v>
      </c>
      <c r="Q669" s="5" t="s">
        <v>31</v>
      </c>
      <c r="R669" s="5" t="s">
        <v>32</v>
      </c>
      <c r="S669" s="6">
        <v>45139</v>
      </c>
      <c r="T669" s="5">
        <v>3</v>
      </c>
      <c r="U669" s="5">
        <v>3</v>
      </c>
      <c r="V669" s="5" t="s">
        <v>33</v>
      </c>
      <c r="W669" s="5">
        <f t="shared" si="3"/>
        <v>0</v>
      </c>
    </row>
    <row r="670" spans="1:23" ht="15.75" customHeight="1" x14ac:dyDescent="0.25">
      <c r="A670" s="5" t="s">
        <v>1019</v>
      </c>
      <c r="B670" s="6">
        <v>45132</v>
      </c>
      <c r="C670" s="5" t="s">
        <v>566</v>
      </c>
      <c r="D670" s="5" t="s">
        <v>184</v>
      </c>
      <c r="E670" s="5" t="s">
        <v>112</v>
      </c>
      <c r="F670" s="5" t="s">
        <v>113</v>
      </c>
      <c r="G670" s="5" t="s">
        <v>70</v>
      </c>
      <c r="H670" s="5" t="s">
        <v>44</v>
      </c>
      <c r="I670" s="5" t="s">
        <v>71</v>
      </c>
      <c r="J670" s="5">
        <v>663</v>
      </c>
      <c r="K670" s="7">
        <v>976.56718370545229</v>
      </c>
      <c r="L670" s="5">
        <v>2</v>
      </c>
      <c r="M670" s="5">
        <v>20</v>
      </c>
      <c r="N670" s="8">
        <f t="shared" si="0"/>
        <v>1562.5074939287238</v>
      </c>
      <c r="O670" s="5">
        <f t="shared" si="1"/>
        <v>1326</v>
      </c>
      <c r="P670" s="5">
        <f t="shared" si="2"/>
        <v>236.50749392872376</v>
      </c>
      <c r="Q670" s="5" t="s">
        <v>83</v>
      </c>
      <c r="R670" s="5" t="s">
        <v>32</v>
      </c>
      <c r="S670" s="6">
        <v>45136</v>
      </c>
      <c r="T670" s="5">
        <v>1</v>
      </c>
      <c r="U670" s="5">
        <v>5</v>
      </c>
      <c r="V670" s="5" t="s">
        <v>33</v>
      </c>
      <c r="W670" s="5">
        <f t="shared" si="3"/>
        <v>0</v>
      </c>
    </row>
    <row r="671" spans="1:23" ht="15.75" customHeight="1" x14ac:dyDescent="0.25">
      <c r="A671" s="5" t="s">
        <v>1020</v>
      </c>
      <c r="B671" s="6">
        <v>45132</v>
      </c>
      <c r="C671" s="5" t="s">
        <v>255</v>
      </c>
      <c r="D671" s="5" t="s">
        <v>42</v>
      </c>
      <c r="E671" s="5" t="s">
        <v>26</v>
      </c>
      <c r="F671" s="5" t="s">
        <v>27</v>
      </c>
      <c r="G671" s="5" t="s">
        <v>81</v>
      </c>
      <c r="H671" s="5" t="s">
        <v>44</v>
      </c>
      <c r="I671" s="5" t="s">
        <v>82</v>
      </c>
      <c r="J671" s="5">
        <v>1254</v>
      </c>
      <c r="K671" s="7">
        <v>1901.5995704718498</v>
      </c>
      <c r="L671" s="5">
        <v>4</v>
      </c>
      <c r="M671" s="5">
        <v>15</v>
      </c>
      <c r="N671" s="8">
        <f t="shared" si="0"/>
        <v>6465.438539604289</v>
      </c>
      <c r="O671" s="5">
        <f t="shared" si="1"/>
        <v>5016</v>
      </c>
      <c r="P671" s="5">
        <f t="shared" si="2"/>
        <v>1449.438539604289</v>
      </c>
      <c r="Q671" s="5" t="s">
        <v>39</v>
      </c>
      <c r="R671" s="5" t="s">
        <v>56</v>
      </c>
      <c r="T671" s="5">
        <v>9</v>
      </c>
      <c r="U671" s="5">
        <v>1</v>
      </c>
      <c r="W671" s="5">
        <f t="shared" si="3"/>
        <v>0</v>
      </c>
    </row>
    <row r="672" spans="1:23" ht="15.75" customHeight="1" x14ac:dyDescent="0.25">
      <c r="A672" s="5" t="s">
        <v>1021</v>
      </c>
      <c r="B672" s="6">
        <v>45133</v>
      </c>
      <c r="C672" s="5" t="s">
        <v>659</v>
      </c>
      <c r="D672" s="5" t="s">
        <v>116</v>
      </c>
      <c r="E672" s="5" t="s">
        <v>26</v>
      </c>
      <c r="F672" s="5" t="s">
        <v>27</v>
      </c>
      <c r="G672" s="5" t="s">
        <v>97</v>
      </c>
      <c r="H672" s="5" t="s">
        <v>98</v>
      </c>
      <c r="I672" s="5" t="s">
        <v>99</v>
      </c>
      <c r="J672" s="5">
        <v>564</v>
      </c>
      <c r="K672" s="7">
        <v>939.19089747917405</v>
      </c>
      <c r="L672" s="5">
        <v>2</v>
      </c>
      <c r="M672" s="5">
        <v>20</v>
      </c>
      <c r="N672" s="8">
        <f t="shared" si="0"/>
        <v>1502.7054359666786</v>
      </c>
      <c r="O672" s="5">
        <f t="shared" si="1"/>
        <v>1128</v>
      </c>
      <c r="P672" s="5">
        <f t="shared" si="2"/>
        <v>374.70543596667858</v>
      </c>
      <c r="Q672" s="5" t="s">
        <v>46</v>
      </c>
      <c r="R672" s="5" t="s">
        <v>32</v>
      </c>
      <c r="S672" s="6">
        <v>45143</v>
      </c>
      <c r="T672" s="5">
        <v>6</v>
      </c>
      <c r="U672" s="5">
        <v>4</v>
      </c>
      <c r="V672" s="5" t="s">
        <v>89</v>
      </c>
      <c r="W672" s="5">
        <f t="shared" si="3"/>
        <v>1</v>
      </c>
    </row>
    <row r="673" spans="1:23" ht="15.75" customHeight="1" x14ac:dyDescent="0.25">
      <c r="A673" s="5" t="s">
        <v>1022</v>
      </c>
      <c r="B673" s="6">
        <v>45133</v>
      </c>
      <c r="C673" s="5" t="s">
        <v>642</v>
      </c>
      <c r="D673" s="5" t="s">
        <v>148</v>
      </c>
      <c r="E673" s="5" t="s">
        <v>60</v>
      </c>
      <c r="F673" s="5" t="s">
        <v>61</v>
      </c>
      <c r="G673" s="5" t="s">
        <v>124</v>
      </c>
      <c r="H673" s="5" t="s">
        <v>76</v>
      </c>
      <c r="I673" s="5" t="s">
        <v>125</v>
      </c>
      <c r="J673" s="5">
        <v>66953</v>
      </c>
      <c r="K673" s="7">
        <v>89463.343153855749</v>
      </c>
      <c r="L673" s="5">
        <v>1</v>
      </c>
      <c r="M673" s="5">
        <v>15</v>
      </c>
      <c r="N673" s="8">
        <f t="shared" si="0"/>
        <v>76043.84168077739</v>
      </c>
      <c r="O673" s="5">
        <f t="shared" si="1"/>
        <v>66953</v>
      </c>
      <c r="P673" s="5">
        <f t="shared" si="2"/>
        <v>9090.8416807773901</v>
      </c>
      <c r="Q673" s="5" t="s">
        <v>31</v>
      </c>
      <c r="R673" s="5" t="s">
        <v>32</v>
      </c>
      <c r="S673" s="6">
        <v>45146</v>
      </c>
      <c r="T673" s="5">
        <v>7</v>
      </c>
      <c r="U673" s="5">
        <v>4</v>
      </c>
      <c r="V673" s="5" t="s">
        <v>89</v>
      </c>
      <c r="W673" s="5">
        <f t="shared" si="3"/>
        <v>1</v>
      </c>
    </row>
    <row r="674" spans="1:23" ht="15.75" customHeight="1" x14ac:dyDescent="0.25">
      <c r="A674" s="5" t="s">
        <v>1023</v>
      </c>
      <c r="B674" s="6">
        <v>45134</v>
      </c>
      <c r="C674" s="5" t="s">
        <v>524</v>
      </c>
      <c r="D674" s="5" t="s">
        <v>184</v>
      </c>
      <c r="E674" s="5" t="s">
        <v>69</v>
      </c>
      <c r="F674" s="5" t="s">
        <v>55</v>
      </c>
      <c r="G674" s="5" t="s">
        <v>87</v>
      </c>
      <c r="H674" s="5" t="s">
        <v>29</v>
      </c>
      <c r="I674" s="5" t="s">
        <v>88</v>
      </c>
      <c r="J674" s="5">
        <v>39775</v>
      </c>
      <c r="K674" s="7">
        <v>64246.653594731149</v>
      </c>
      <c r="L674" s="5">
        <v>4</v>
      </c>
      <c r="M674" s="5">
        <v>10</v>
      </c>
      <c r="N674" s="8">
        <f t="shared" si="0"/>
        <v>231287.95294103216</v>
      </c>
      <c r="O674" s="5">
        <f t="shared" si="1"/>
        <v>159100</v>
      </c>
      <c r="P674" s="5">
        <f t="shared" si="2"/>
        <v>72187.952941032156</v>
      </c>
      <c r="Q674" s="5" t="s">
        <v>39</v>
      </c>
      <c r="R674" s="5" t="s">
        <v>32</v>
      </c>
      <c r="S674" s="6">
        <v>45141</v>
      </c>
      <c r="T674" s="5">
        <v>4</v>
      </c>
      <c r="U674" s="5">
        <v>4</v>
      </c>
      <c r="V674" s="5" t="s">
        <v>33</v>
      </c>
      <c r="W674" s="5">
        <f t="shared" si="3"/>
        <v>0</v>
      </c>
    </row>
    <row r="675" spans="1:23" ht="15.75" customHeight="1" x14ac:dyDescent="0.25">
      <c r="A675" s="5" t="s">
        <v>1024</v>
      </c>
      <c r="B675" s="6">
        <v>45134</v>
      </c>
      <c r="C675" s="5" t="s">
        <v>413</v>
      </c>
      <c r="D675" s="5" t="s">
        <v>148</v>
      </c>
      <c r="E675" s="5" t="s">
        <v>26</v>
      </c>
      <c r="F675" s="5" t="s">
        <v>27</v>
      </c>
      <c r="G675" s="5" t="s">
        <v>87</v>
      </c>
      <c r="H675" s="5" t="s">
        <v>29</v>
      </c>
      <c r="I675" s="5" t="s">
        <v>88</v>
      </c>
      <c r="J675" s="5">
        <v>56675</v>
      </c>
      <c r="K675" s="7">
        <v>59423.697751952255</v>
      </c>
      <c r="L675" s="5">
        <v>2</v>
      </c>
      <c r="M675" s="5">
        <v>20</v>
      </c>
      <c r="N675" s="8">
        <f t="shared" si="0"/>
        <v>95077.916403123614</v>
      </c>
      <c r="O675" s="5">
        <f t="shared" si="1"/>
        <v>113350</v>
      </c>
      <c r="P675" s="5">
        <f t="shared" si="2"/>
        <v>-18272.083596876386</v>
      </c>
      <c r="Q675" s="5" t="s">
        <v>39</v>
      </c>
      <c r="R675" s="5" t="s">
        <v>32</v>
      </c>
      <c r="S675" s="6">
        <v>45143</v>
      </c>
      <c r="T675" s="5">
        <v>6</v>
      </c>
      <c r="U675" s="5">
        <v>2</v>
      </c>
      <c r="V675" s="5" t="s">
        <v>33</v>
      </c>
      <c r="W675" s="5">
        <f t="shared" si="3"/>
        <v>0</v>
      </c>
    </row>
    <row r="676" spans="1:23" ht="15.75" customHeight="1" x14ac:dyDescent="0.25">
      <c r="A676" s="5" t="s">
        <v>1025</v>
      </c>
      <c r="B676" s="6">
        <v>45134</v>
      </c>
      <c r="C676" s="5" t="s">
        <v>1026</v>
      </c>
      <c r="D676" s="5" t="s">
        <v>59</v>
      </c>
      <c r="E676" s="5" t="s">
        <v>37</v>
      </c>
      <c r="F676" s="5" t="s">
        <v>38</v>
      </c>
      <c r="G676" s="5" t="s">
        <v>43</v>
      </c>
      <c r="H676" s="5" t="s">
        <v>44</v>
      </c>
      <c r="I676" s="5" t="s">
        <v>45</v>
      </c>
      <c r="J676" s="5">
        <v>302</v>
      </c>
      <c r="K676" s="7">
        <v>336.84303684454022</v>
      </c>
      <c r="L676" s="5">
        <v>3</v>
      </c>
      <c r="M676" s="5">
        <v>0</v>
      </c>
      <c r="N676" s="8">
        <f t="shared" si="0"/>
        <v>1010.5291105336207</v>
      </c>
      <c r="O676" s="5">
        <f t="shared" si="1"/>
        <v>906</v>
      </c>
      <c r="P676" s="5">
        <f t="shared" si="2"/>
        <v>104.52911053362072</v>
      </c>
      <c r="Q676" s="5" t="s">
        <v>46</v>
      </c>
      <c r="R676" s="5" t="s">
        <v>32</v>
      </c>
      <c r="S676" s="6">
        <v>45140</v>
      </c>
      <c r="T676" s="5">
        <v>1</v>
      </c>
      <c r="U676" s="5">
        <v>4</v>
      </c>
      <c r="V676" s="5" t="s">
        <v>33</v>
      </c>
      <c r="W676" s="5">
        <f t="shared" si="3"/>
        <v>0</v>
      </c>
    </row>
    <row r="677" spans="1:23" ht="15.75" customHeight="1" x14ac:dyDescent="0.25">
      <c r="A677" s="5" t="s">
        <v>1027</v>
      </c>
      <c r="B677" s="6">
        <v>45134</v>
      </c>
      <c r="C677" s="5" t="s">
        <v>611</v>
      </c>
      <c r="D677" s="5" t="s">
        <v>135</v>
      </c>
      <c r="E677" s="5" t="s">
        <v>80</v>
      </c>
      <c r="F677" s="5" t="s">
        <v>80</v>
      </c>
      <c r="G677" s="5" t="s">
        <v>43</v>
      </c>
      <c r="H677" s="5" t="s">
        <v>44</v>
      </c>
      <c r="I677" s="5" t="s">
        <v>45</v>
      </c>
      <c r="J677" s="5">
        <v>663</v>
      </c>
      <c r="K677" s="7">
        <v>1047.4786623755363</v>
      </c>
      <c r="L677" s="5">
        <v>4</v>
      </c>
      <c r="M677" s="5">
        <v>20</v>
      </c>
      <c r="N677" s="8">
        <f t="shared" si="0"/>
        <v>3351.9317196017164</v>
      </c>
      <c r="O677" s="5">
        <f t="shared" si="1"/>
        <v>2652</v>
      </c>
      <c r="P677" s="5">
        <f t="shared" si="2"/>
        <v>699.9317196017164</v>
      </c>
      <c r="Q677" s="5" t="s">
        <v>46</v>
      </c>
      <c r="R677" s="5" t="s">
        <v>56</v>
      </c>
      <c r="T677" s="5">
        <v>10</v>
      </c>
      <c r="U677" s="5">
        <v>1</v>
      </c>
      <c r="W677" s="5">
        <f t="shared" si="3"/>
        <v>0</v>
      </c>
    </row>
    <row r="678" spans="1:23" ht="15.75" customHeight="1" x14ac:dyDescent="0.25">
      <c r="A678" s="5" t="s">
        <v>1028</v>
      </c>
      <c r="B678" s="6">
        <v>45135</v>
      </c>
      <c r="C678" s="5" t="s">
        <v>193</v>
      </c>
      <c r="D678" s="5" t="s">
        <v>188</v>
      </c>
      <c r="E678" s="5" t="s">
        <v>54</v>
      </c>
      <c r="F678" s="5" t="s">
        <v>55</v>
      </c>
      <c r="G678" s="5" t="s">
        <v>43</v>
      </c>
      <c r="H678" s="5" t="s">
        <v>44</v>
      </c>
      <c r="I678" s="5" t="s">
        <v>45</v>
      </c>
      <c r="J678" s="5">
        <v>392</v>
      </c>
      <c r="K678" s="7">
        <v>614.34128809058598</v>
      </c>
      <c r="L678" s="5">
        <v>3</v>
      </c>
      <c r="M678" s="5">
        <v>20</v>
      </c>
      <c r="N678" s="8">
        <f t="shared" si="0"/>
        <v>1474.4190914174064</v>
      </c>
      <c r="O678" s="5">
        <f t="shared" si="1"/>
        <v>1176</v>
      </c>
      <c r="P678" s="5">
        <f t="shared" si="2"/>
        <v>298.41909141740643</v>
      </c>
      <c r="Q678" s="5" t="s">
        <v>39</v>
      </c>
      <c r="R678" s="5" t="s">
        <v>56</v>
      </c>
      <c r="T678" s="5">
        <v>8</v>
      </c>
      <c r="U678" s="5">
        <v>3</v>
      </c>
      <c r="W678" s="5">
        <f t="shared" si="3"/>
        <v>0</v>
      </c>
    </row>
    <row r="679" spans="1:23" ht="15.75" customHeight="1" x14ac:dyDescent="0.25">
      <c r="A679" s="5" t="s">
        <v>1029</v>
      </c>
      <c r="B679" s="6">
        <v>45135</v>
      </c>
      <c r="C679" s="5" t="s">
        <v>233</v>
      </c>
      <c r="D679" s="5" t="s">
        <v>138</v>
      </c>
      <c r="E679" s="5" t="s">
        <v>26</v>
      </c>
      <c r="F679" s="5" t="s">
        <v>27</v>
      </c>
      <c r="G679" s="5" t="s">
        <v>119</v>
      </c>
      <c r="H679" s="5" t="s">
        <v>76</v>
      </c>
      <c r="I679" s="5" t="s">
        <v>120</v>
      </c>
      <c r="J679" s="5">
        <v>29439</v>
      </c>
      <c r="K679" s="7">
        <v>52472.603720547842</v>
      </c>
      <c r="L679" s="5">
        <v>1</v>
      </c>
      <c r="M679" s="5">
        <v>10</v>
      </c>
      <c r="N679" s="8">
        <f t="shared" si="0"/>
        <v>47225.343348493057</v>
      </c>
      <c r="O679" s="5">
        <f t="shared" si="1"/>
        <v>29439</v>
      </c>
      <c r="P679" s="5">
        <f t="shared" si="2"/>
        <v>17786.343348493057</v>
      </c>
      <c r="Q679" s="5" t="s">
        <v>83</v>
      </c>
      <c r="R679" s="5" t="s">
        <v>32</v>
      </c>
      <c r="S679" s="6">
        <v>45147</v>
      </c>
      <c r="T679" s="5">
        <v>5</v>
      </c>
      <c r="U679" s="5">
        <v>3</v>
      </c>
      <c r="V679" s="5" t="s">
        <v>33</v>
      </c>
      <c r="W679" s="5">
        <f t="shared" si="3"/>
        <v>0</v>
      </c>
    </row>
    <row r="680" spans="1:23" ht="15.75" customHeight="1" x14ac:dyDescent="0.25">
      <c r="A680" s="5" t="s">
        <v>1030</v>
      </c>
      <c r="B680" s="6">
        <v>45135</v>
      </c>
      <c r="C680" s="5" t="s">
        <v>145</v>
      </c>
      <c r="D680" s="5" t="s">
        <v>148</v>
      </c>
      <c r="E680" s="5" t="s">
        <v>112</v>
      </c>
      <c r="F680" s="5" t="s">
        <v>113</v>
      </c>
      <c r="G680" s="5" t="s">
        <v>70</v>
      </c>
      <c r="H680" s="5" t="s">
        <v>44</v>
      </c>
      <c r="I680" s="5" t="s">
        <v>71</v>
      </c>
      <c r="J680" s="5">
        <v>971</v>
      </c>
      <c r="K680" s="7">
        <v>1380.0719157098581</v>
      </c>
      <c r="L680" s="5">
        <v>3</v>
      </c>
      <c r="M680" s="5">
        <v>20</v>
      </c>
      <c r="N680" s="8">
        <f t="shared" si="0"/>
        <v>3312.1725977036594</v>
      </c>
      <c r="O680" s="5">
        <f t="shared" si="1"/>
        <v>2913</v>
      </c>
      <c r="P680" s="5">
        <f t="shared" si="2"/>
        <v>399.17259770365945</v>
      </c>
      <c r="Q680" s="5" t="s">
        <v>39</v>
      </c>
      <c r="R680" s="5" t="s">
        <v>56</v>
      </c>
      <c r="T680" s="5">
        <v>7</v>
      </c>
      <c r="U680" s="5">
        <v>2</v>
      </c>
      <c r="W680" s="5">
        <f t="shared" si="3"/>
        <v>0</v>
      </c>
    </row>
    <row r="681" spans="1:23" ht="15.75" customHeight="1" x14ac:dyDescent="0.25">
      <c r="A681" s="5" t="s">
        <v>1031</v>
      </c>
      <c r="B681" s="6">
        <v>45135</v>
      </c>
      <c r="C681" s="5" t="s">
        <v>161</v>
      </c>
      <c r="D681" s="5" t="s">
        <v>86</v>
      </c>
      <c r="E681" s="5" t="s">
        <v>54</v>
      </c>
      <c r="F681" s="5" t="s">
        <v>55</v>
      </c>
      <c r="G681" s="5" t="s">
        <v>119</v>
      </c>
      <c r="H681" s="5" t="s">
        <v>76</v>
      </c>
      <c r="I681" s="5" t="s">
        <v>120</v>
      </c>
      <c r="J681" s="5">
        <v>73082</v>
      </c>
      <c r="K681" s="7">
        <v>88859.302781489969</v>
      </c>
      <c r="L681" s="5">
        <v>1</v>
      </c>
      <c r="M681" s="5">
        <v>5</v>
      </c>
      <c r="N681" s="8">
        <f t="shared" si="0"/>
        <v>84416.33764241547</v>
      </c>
      <c r="O681" s="5">
        <f t="shared" si="1"/>
        <v>73082</v>
      </c>
      <c r="P681" s="5">
        <f t="shared" si="2"/>
        <v>11334.33764241547</v>
      </c>
      <c r="Q681" s="5" t="s">
        <v>46</v>
      </c>
      <c r="R681" s="5" t="s">
        <v>56</v>
      </c>
      <c r="T681" s="5">
        <v>7</v>
      </c>
      <c r="U681" s="5">
        <v>3</v>
      </c>
      <c r="W681" s="5">
        <f t="shared" si="3"/>
        <v>0</v>
      </c>
    </row>
    <row r="682" spans="1:23" ht="15.75" customHeight="1" x14ac:dyDescent="0.25">
      <c r="A682" s="5" t="s">
        <v>1032</v>
      </c>
      <c r="B682" s="6">
        <v>45136</v>
      </c>
      <c r="C682" s="5" t="s">
        <v>609</v>
      </c>
      <c r="D682" s="5" t="s">
        <v>135</v>
      </c>
      <c r="E682" s="5" t="s">
        <v>80</v>
      </c>
      <c r="F682" s="5" t="s">
        <v>80</v>
      </c>
      <c r="G682" s="5" t="s">
        <v>75</v>
      </c>
      <c r="H682" s="5" t="s">
        <v>76</v>
      </c>
      <c r="I682" s="5" t="s">
        <v>77</v>
      </c>
      <c r="J682" s="5">
        <v>1317</v>
      </c>
      <c r="K682" s="7">
        <v>1360.6555486612383</v>
      </c>
      <c r="L682" s="5">
        <v>2</v>
      </c>
      <c r="M682" s="5">
        <v>0</v>
      </c>
      <c r="N682" s="8">
        <f t="shared" si="0"/>
        <v>2721.3110973224766</v>
      </c>
      <c r="O682" s="5">
        <f t="shared" si="1"/>
        <v>2634</v>
      </c>
      <c r="P682" s="5">
        <f t="shared" si="2"/>
        <v>87.311097322476598</v>
      </c>
      <c r="Q682" s="5" t="s">
        <v>83</v>
      </c>
      <c r="R682" s="5" t="s">
        <v>32</v>
      </c>
      <c r="S682" s="6">
        <v>45145</v>
      </c>
      <c r="T682" s="5">
        <v>5</v>
      </c>
      <c r="U682" s="5">
        <v>3</v>
      </c>
      <c r="V682" s="5" t="s">
        <v>33</v>
      </c>
      <c r="W682" s="5">
        <f t="shared" si="3"/>
        <v>0</v>
      </c>
    </row>
    <row r="683" spans="1:23" ht="15.75" customHeight="1" x14ac:dyDescent="0.25">
      <c r="A683" s="5" t="s">
        <v>1033</v>
      </c>
      <c r="B683" s="6">
        <v>45137</v>
      </c>
      <c r="C683" s="5" t="s">
        <v>1034</v>
      </c>
      <c r="D683" s="5" t="s">
        <v>105</v>
      </c>
      <c r="E683" s="5" t="s">
        <v>49</v>
      </c>
      <c r="F683" s="5" t="s">
        <v>50</v>
      </c>
      <c r="G683" s="5" t="s">
        <v>139</v>
      </c>
      <c r="H683" s="5" t="s">
        <v>76</v>
      </c>
      <c r="I683" s="5" t="s">
        <v>140</v>
      </c>
      <c r="J683" s="5">
        <v>31395</v>
      </c>
      <c r="K683" s="7">
        <v>45336.371336491917</v>
      </c>
      <c r="L683" s="5">
        <v>5</v>
      </c>
      <c r="M683" s="5">
        <v>10</v>
      </c>
      <c r="N683" s="8">
        <f t="shared" si="0"/>
        <v>204013.67101421364</v>
      </c>
      <c r="O683" s="5">
        <f t="shared" si="1"/>
        <v>156975</v>
      </c>
      <c r="P683" s="5">
        <f t="shared" si="2"/>
        <v>47038.671014213644</v>
      </c>
      <c r="Q683" s="5" t="s">
        <v>83</v>
      </c>
      <c r="R683" s="5" t="s">
        <v>56</v>
      </c>
      <c r="T683" s="5">
        <v>9</v>
      </c>
      <c r="U683" s="5">
        <v>1</v>
      </c>
      <c r="W683" s="5">
        <f t="shared" si="3"/>
        <v>0</v>
      </c>
    </row>
    <row r="684" spans="1:23" ht="15.75" customHeight="1" x14ac:dyDescent="0.25">
      <c r="A684" s="5" t="s">
        <v>1035</v>
      </c>
      <c r="B684" s="6">
        <v>45137</v>
      </c>
      <c r="C684" s="5" t="s">
        <v>154</v>
      </c>
      <c r="D684" s="5" t="s">
        <v>59</v>
      </c>
      <c r="E684" s="5" t="s">
        <v>37</v>
      </c>
      <c r="F684" s="5" t="s">
        <v>38</v>
      </c>
      <c r="G684" s="5" t="s">
        <v>124</v>
      </c>
      <c r="H684" s="5" t="s">
        <v>76</v>
      </c>
      <c r="I684" s="5" t="s">
        <v>125</v>
      </c>
      <c r="J684" s="5">
        <v>89288</v>
      </c>
      <c r="K684" s="7">
        <v>119315.90712094565</v>
      </c>
      <c r="L684" s="5">
        <v>4</v>
      </c>
      <c r="M684" s="5">
        <v>0</v>
      </c>
      <c r="N684" s="8">
        <f t="shared" si="0"/>
        <v>477263.62848378258</v>
      </c>
      <c r="O684" s="5">
        <f t="shared" si="1"/>
        <v>357152</v>
      </c>
      <c r="P684" s="5">
        <f t="shared" si="2"/>
        <v>120111.62848378258</v>
      </c>
      <c r="Q684" s="5" t="s">
        <v>39</v>
      </c>
      <c r="R684" s="5" t="s">
        <v>32</v>
      </c>
      <c r="S684" s="6">
        <v>45144</v>
      </c>
      <c r="T684" s="5">
        <v>2</v>
      </c>
      <c r="U684" s="5">
        <v>4</v>
      </c>
      <c r="V684" s="5" t="s">
        <v>33</v>
      </c>
      <c r="W684" s="5">
        <f t="shared" si="3"/>
        <v>0</v>
      </c>
    </row>
    <row r="685" spans="1:23" ht="15.75" customHeight="1" x14ac:dyDescent="0.25">
      <c r="A685" s="5" t="s">
        <v>1036</v>
      </c>
      <c r="B685" s="6">
        <v>45139</v>
      </c>
      <c r="C685" s="5" t="s">
        <v>422</v>
      </c>
      <c r="D685" s="5" t="s">
        <v>184</v>
      </c>
      <c r="E685" s="5" t="s">
        <v>69</v>
      </c>
      <c r="F685" s="5" t="s">
        <v>55</v>
      </c>
      <c r="G685" s="5" t="s">
        <v>43</v>
      </c>
      <c r="H685" s="5" t="s">
        <v>44</v>
      </c>
      <c r="I685" s="5" t="s">
        <v>45</v>
      </c>
      <c r="J685" s="5">
        <v>282</v>
      </c>
      <c r="K685" s="7">
        <v>311.57742610564111</v>
      </c>
      <c r="L685" s="5">
        <v>4</v>
      </c>
      <c r="M685" s="5">
        <v>15</v>
      </c>
      <c r="N685" s="8">
        <f t="shared" si="0"/>
        <v>1059.3632487591797</v>
      </c>
      <c r="O685" s="5">
        <f t="shared" si="1"/>
        <v>1128</v>
      </c>
      <c r="P685" s="5">
        <f t="shared" si="2"/>
        <v>-68.636751240820331</v>
      </c>
      <c r="Q685" s="5" t="s">
        <v>39</v>
      </c>
      <c r="R685" s="5" t="s">
        <v>32</v>
      </c>
      <c r="S685" s="6">
        <v>45148</v>
      </c>
      <c r="T685" s="5">
        <v>4</v>
      </c>
      <c r="U685" s="5">
        <v>3</v>
      </c>
      <c r="V685" s="5" t="s">
        <v>33</v>
      </c>
      <c r="W685" s="5">
        <f t="shared" si="3"/>
        <v>0</v>
      </c>
    </row>
    <row r="686" spans="1:23" ht="15.75" customHeight="1" x14ac:dyDescent="0.25">
      <c r="A686" s="5" t="s">
        <v>1037</v>
      </c>
      <c r="B686" s="6">
        <v>45139</v>
      </c>
      <c r="C686" s="5" t="s">
        <v>474</v>
      </c>
      <c r="D686" s="5" t="s">
        <v>86</v>
      </c>
      <c r="E686" s="5" t="s">
        <v>49</v>
      </c>
      <c r="F686" s="5" t="s">
        <v>50</v>
      </c>
      <c r="G686" s="5" t="s">
        <v>81</v>
      </c>
      <c r="H686" s="5" t="s">
        <v>44</v>
      </c>
      <c r="I686" s="5" t="s">
        <v>82</v>
      </c>
      <c r="J686" s="5">
        <v>2564</v>
      </c>
      <c r="K686" s="7">
        <v>4497.4759112790443</v>
      </c>
      <c r="L686" s="5">
        <v>2</v>
      </c>
      <c r="M686" s="5">
        <v>20</v>
      </c>
      <c r="N686" s="8">
        <f t="shared" si="0"/>
        <v>7195.9614580464713</v>
      </c>
      <c r="O686" s="5">
        <f t="shared" si="1"/>
        <v>5128</v>
      </c>
      <c r="P686" s="5">
        <f t="shared" si="2"/>
        <v>2067.9614580464713</v>
      </c>
      <c r="Q686" s="5" t="s">
        <v>46</v>
      </c>
      <c r="R686" s="5" t="s">
        <v>56</v>
      </c>
      <c r="T686" s="5">
        <v>10</v>
      </c>
      <c r="U686" s="5">
        <v>1</v>
      </c>
      <c r="W686" s="5">
        <f t="shared" si="3"/>
        <v>0</v>
      </c>
    </row>
    <row r="687" spans="1:23" ht="15.75" customHeight="1" x14ac:dyDescent="0.25">
      <c r="A687" s="5" t="s">
        <v>1038</v>
      </c>
      <c r="B687" s="6">
        <v>45140</v>
      </c>
      <c r="C687" s="5" t="s">
        <v>524</v>
      </c>
      <c r="D687" s="5" t="s">
        <v>25</v>
      </c>
      <c r="E687" s="5" t="s">
        <v>49</v>
      </c>
      <c r="F687" s="5" t="s">
        <v>50</v>
      </c>
      <c r="G687" s="5" t="s">
        <v>75</v>
      </c>
      <c r="H687" s="5" t="s">
        <v>76</v>
      </c>
      <c r="I687" s="5" t="s">
        <v>77</v>
      </c>
      <c r="J687" s="5">
        <v>1797</v>
      </c>
      <c r="K687" s="7">
        <v>2645.7942720735537</v>
      </c>
      <c r="L687" s="5">
        <v>5</v>
      </c>
      <c r="M687" s="5">
        <v>10</v>
      </c>
      <c r="N687" s="8">
        <f t="shared" si="0"/>
        <v>11906.074224330992</v>
      </c>
      <c r="O687" s="5">
        <f t="shared" si="1"/>
        <v>8985</v>
      </c>
      <c r="P687" s="5">
        <f t="shared" si="2"/>
        <v>2921.0742243309924</v>
      </c>
      <c r="Q687" s="5" t="s">
        <v>83</v>
      </c>
      <c r="R687" s="5" t="s">
        <v>32</v>
      </c>
      <c r="S687" s="6">
        <v>45150</v>
      </c>
      <c r="T687" s="5">
        <v>6</v>
      </c>
      <c r="U687" s="5">
        <v>3</v>
      </c>
      <c r="V687" s="5" t="s">
        <v>33</v>
      </c>
      <c r="W687" s="5">
        <f t="shared" si="3"/>
        <v>0</v>
      </c>
    </row>
    <row r="688" spans="1:23" ht="15.75" customHeight="1" x14ac:dyDescent="0.25">
      <c r="A688" s="5" t="s">
        <v>1039</v>
      </c>
      <c r="B688" s="6">
        <v>45140</v>
      </c>
      <c r="C688" s="5" t="s">
        <v>176</v>
      </c>
      <c r="D688" s="5" t="s">
        <v>42</v>
      </c>
      <c r="E688" s="5" t="s">
        <v>26</v>
      </c>
      <c r="F688" s="5" t="s">
        <v>27</v>
      </c>
      <c r="G688" s="5" t="s">
        <v>87</v>
      </c>
      <c r="H688" s="5" t="s">
        <v>29</v>
      </c>
      <c r="I688" s="5" t="s">
        <v>88</v>
      </c>
      <c r="J688" s="5">
        <v>32294</v>
      </c>
      <c r="K688" s="7">
        <v>49311.004003455339</v>
      </c>
      <c r="L688" s="5">
        <v>3</v>
      </c>
      <c r="M688" s="5">
        <v>5</v>
      </c>
      <c r="N688" s="8">
        <f t="shared" si="0"/>
        <v>140536.36140984771</v>
      </c>
      <c r="O688" s="5">
        <f t="shared" si="1"/>
        <v>96882</v>
      </c>
      <c r="P688" s="5">
        <f t="shared" si="2"/>
        <v>43654.361409847712</v>
      </c>
      <c r="Q688" s="5" t="s">
        <v>31</v>
      </c>
      <c r="R688" s="5" t="s">
        <v>32</v>
      </c>
      <c r="S688" s="6">
        <v>45147</v>
      </c>
      <c r="T688" s="5">
        <v>2</v>
      </c>
      <c r="U688" s="5">
        <v>4</v>
      </c>
      <c r="V688" s="5" t="s">
        <v>33</v>
      </c>
      <c r="W688" s="5">
        <f t="shared" si="3"/>
        <v>0</v>
      </c>
    </row>
    <row r="689" spans="1:23" ht="15.75" customHeight="1" x14ac:dyDescent="0.25">
      <c r="A689" s="5" t="s">
        <v>1040</v>
      </c>
      <c r="B689" s="6">
        <v>45140</v>
      </c>
      <c r="C689" s="5" t="s">
        <v>974</v>
      </c>
      <c r="D689" s="5" t="s">
        <v>25</v>
      </c>
      <c r="E689" s="5" t="s">
        <v>49</v>
      </c>
      <c r="F689" s="5" t="s">
        <v>50</v>
      </c>
      <c r="G689" s="5" t="s">
        <v>106</v>
      </c>
      <c r="H689" s="5" t="s">
        <v>98</v>
      </c>
      <c r="I689" s="5" t="s">
        <v>107</v>
      </c>
      <c r="J689" s="5">
        <v>658</v>
      </c>
      <c r="K689" s="7">
        <v>1029.4418656797818</v>
      </c>
      <c r="L689" s="5">
        <v>3</v>
      </c>
      <c r="M689" s="5">
        <v>15</v>
      </c>
      <c r="N689" s="8">
        <f t="shared" si="0"/>
        <v>2625.0767574834435</v>
      </c>
      <c r="O689" s="5">
        <f t="shared" si="1"/>
        <v>1974</v>
      </c>
      <c r="P689" s="5">
        <f t="shared" si="2"/>
        <v>651.07675748344354</v>
      </c>
      <c r="Q689" s="5" t="s">
        <v>31</v>
      </c>
      <c r="R689" s="5" t="s">
        <v>32</v>
      </c>
      <c r="S689" s="6">
        <v>45149</v>
      </c>
      <c r="T689" s="5">
        <v>2</v>
      </c>
      <c r="U689" s="5">
        <v>4</v>
      </c>
      <c r="V689" s="5" t="s">
        <v>33</v>
      </c>
      <c r="W689" s="5">
        <f t="shared" si="3"/>
        <v>0</v>
      </c>
    </row>
    <row r="690" spans="1:23" ht="15.75" customHeight="1" x14ac:dyDescent="0.25">
      <c r="A690" s="5" t="s">
        <v>1041</v>
      </c>
      <c r="B690" s="6">
        <v>45140</v>
      </c>
      <c r="C690" s="5" t="s">
        <v>199</v>
      </c>
      <c r="D690" s="5" t="s">
        <v>59</v>
      </c>
      <c r="E690" s="5" t="s">
        <v>26</v>
      </c>
      <c r="F690" s="5" t="s">
        <v>27</v>
      </c>
      <c r="G690" s="5" t="s">
        <v>106</v>
      </c>
      <c r="H690" s="5" t="s">
        <v>98</v>
      </c>
      <c r="I690" s="5" t="s">
        <v>107</v>
      </c>
      <c r="J690" s="5">
        <v>888</v>
      </c>
      <c r="K690" s="7">
        <v>1036.267453984615</v>
      </c>
      <c r="L690" s="5">
        <v>1</v>
      </c>
      <c r="M690" s="5">
        <v>5</v>
      </c>
      <c r="N690" s="8">
        <f t="shared" si="0"/>
        <v>984.45408128538418</v>
      </c>
      <c r="O690" s="5">
        <f t="shared" si="1"/>
        <v>888</v>
      </c>
      <c r="P690" s="5">
        <f t="shared" si="2"/>
        <v>96.454081285384177</v>
      </c>
      <c r="Q690" s="5" t="s">
        <v>31</v>
      </c>
      <c r="R690" s="5" t="s">
        <v>32</v>
      </c>
      <c r="S690" s="6">
        <v>45146</v>
      </c>
      <c r="T690" s="5">
        <v>2</v>
      </c>
      <c r="U690" s="5">
        <v>5</v>
      </c>
      <c r="V690" s="5" t="s">
        <v>33</v>
      </c>
      <c r="W690" s="5">
        <f t="shared" si="3"/>
        <v>0</v>
      </c>
    </row>
    <row r="691" spans="1:23" ht="15.75" customHeight="1" x14ac:dyDescent="0.25">
      <c r="A691" s="5" t="s">
        <v>1042</v>
      </c>
      <c r="B691" s="6">
        <v>45141</v>
      </c>
      <c r="C691" s="5" t="s">
        <v>974</v>
      </c>
      <c r="D691" s="5" t="s">
        <v>25</v>
      </c>
      <c r="E691" s="5" t="s">
        <v>60</v>
      </c>
      <c r="F691" s="5" t="s">
        <v>61</v>
      </c>
      <c r="G691" s="5" t="s">
        <v>70</v>
      </c>
      <c r="H691" s="5" t="s">
        <v>44</v>
      </c>
      <c r="I691" s="5" t="s">
        <v>71</v>
      </c>
      <c r="J691" s="5">
        <v>1390</v>
      </c>
      <c r="K691" s="7">
        <v>1870.4754195299367</v>
      </c>
      <c r="L691" s="5">
        <v>4</v>
      </c>
      <c r="M691" s="5">
        <v>10</v>
      </c>
      <c r="N691" s="8">
        <f t="shared" si="0"/>
        <v>6733.7115103077722</v>
      </c>
      <c r="O691" s="5">
        <f t="shared" si="1"/>
        <v>5560</v>
      </c>
      <c r="P691" s="5">
        <f t="shared" si="2"/>
        <v>1173.7115103077722</v>
      </c>
      <c r="Q691" s="5" t="s">
        <v>31</v>
      </c>
      <c r="R691" s="5" t="s">
        <v>56</v>
      </c>
      <c r="T691" s="5">
        <v>10</v>
      </c>
      <c r="U691" s="5">
        <v>1</v>
      </c>
      <c r="W691" s="5">
        <f t="shared" si="3"/>
        <v>0</v>
      </c>
    </row>
    <row r="692" spans="1:23" ht="15.75" customHeight="1" x14ac:dyDescent="0.25">
      <c r="A692" s="5" t="s">
        <v>1043</v>
      </c>
      <c r="B692" s="6">
        <v>45141</v>
      </c>
      <c r="C692" s="5" t="s">
        <v>504</v>
      </c>
      <c r="D692" s="5" t="s">
        <v>102</v>
      </c>
      <c r="E692" s="5" t="s">
        <v>37</v>
      </c>
      <c r="F692" s="5" t="s">
        <v>38</v>
      </c>
      <c r="G692" s="5" t="s">
        <v>97</v>
      </c>
      <c r="H692" s="5" t="s">
        <v>98</v>
      </c>
      <c r="I692" s="5" t="s">
        <v>99</v>
      </c>
      <c r="J692" s="5">
        <v>566</v>
      </c>
      <c r="K692" s="7">
        <v>691.90194835892532</v>
      </c>
      <c r="L692" s="5">
        <v>4</v>
      </c>
      <c r="M692" s="5">
        <v>15</v>
      </c>
      <c r="N692" s="8">
        <f t="shared" si="0"/>
        <v>2352.4666244203459</v>
      </c>
      <c r="O692" s="5">
        <f t="shared" si="1"/>
        <v>2264</v>
      </c>
      <c r="P692" s="5">
        <f t="shared" si="2"/>
        <v>88.466624420345852</v>
      </c>
      <c r="Q692" s="5" t="s">
        <v>46</v>
      </c>
      <c r="R692" s="5" t="s">
        <v>56</v>
      </c>
      <c r="T692" s="5">
        <v>8</v>
      </c>
      <c r="U692" s="5">
        <v>4</v>
      </c>
      <c r="W692" s="5">
        <f t="shared" si="3"/>
        <v>0</v>
      </c>
    </row>
    <row r="693" spans="1:23" ht="15.75" customHeight="1" x14ac:dyDescent="0.25">
      <c r="A693" s="5" t="s">
        <v>1044</v>
      </c>
      <c r="B693" s="6">
        <v>45141</v>
      </c>
      <c r="C693" s="5" t="s">
        <v>329</v>
      </c>
      <c r="D693" s="5" t="s">
        <v>59</v>
      </c>
      <c r="E693" s="5" t="s">
        <v>60</v>
      </c>
      <c r="F693" s="5" t="s">
        <v>61</v>
      </c>
      <c r="G693" s="5" t="s">
        <v>92</v>
      </c>
      <c r="H693" s="5" t="s">
        <v>44</v>
      </c>
      <c r="I693" s="5" t="s">
        <v>45</v>
      </c>
      <c r="J693" s="5">
        <v>1288</v>
      </c>
      <c r="K693" s="7">
        <v>1943.1326765493175</v>
      </c>
      <c r="L693" s="5">
        <v>4</v>
      </c>
      <c r="M693" s="5">
        <v>15</v>
      </c>
      <c r="N693" s="8">
        <f t="shared" si="0"/>
        <v>6606.6511002676789</v>
      </c>
      <c r="O693" s="5">
        <f t="shared" si="1"/>
        <v>5152</v>
      </c>
      <c r="P693" s="5">
        <f t="shared" si="2"/>
        <v>1454.6511002676789</v>
      </c>
      <c r="Q693" s="5" t="s">
        <v>31</v>
      </c>
      <c r="R693" s="5" t="s">
        <v>56</v>
      </c>
      <c r="T693" s="5">
        <v>8</v>
      </c>
      <c r="U693" s="5">
        <v>4</v>
      </c>
      <c r="W693" s="5">
        <f t="shared" si="3"/>
        <v>0</v>
      </c>
    </row>
    <row r="694" spans="1:23" ht="15.75" customHeight="1" x14ac:dyDescent="0.25">
      <c r="A694" s="5" t="s">
        <v>1045</v>
      </c>
      <c r="B694" s="6">
        <v>45141</v>
      </c>
      <c r="C694" s="5" t="s">
        <v>815</v>
      </c>
      <c r="D694" s="5" t="s">
        <v>36</v>
      </c>
      <c r="E694" s="5" t="s">
        <v>37</v>
      </c>
      <c r="F694" s="5" t="s">
        <v>38</v>
      </c>
      <c r="G694" s="5" t="s">
        <v>106</v>
      </c>
      <c r="H694" s="5" t="s">
        <v>98</v>
      </c>
      <c r="I694" s="5" t="s">
        <v>107</v>
      </c>
      <c r="J694" s="5">
        <v>582</v>
      </c>
      <c r="K694" s="7">
        <v>705.44670454545258</v>
      </c>
      <c r="L694" s="5">
        <v>1</v>
      </c>
      <c r="M694" s="5">
        <v>20</v>
      </c>
      <c r="N694" s="8">
        <f t="shared" si="0"/>
        <v>564.35736363636204</v>
      </c>
      <c r="O694" s="5">
        <f t="shared" si="1"/>
        <v>582</v>
      </c>
      <c r="P694" s="5">
        <f t="shared" si="2"/>
        <v>-17.642636363637962</v>
      </c>
      <c r="Q694" s="5" t="s">
        <v>46</v>
      </c>
      <c r="R694" s="5" t="s">
        <v>32</v>
      </c>
      <c r="S694" s="6">
        <v>45149</v>
      </c>
      <c r="T694" s="5">
        <v>5</v>
      </c>
      <c r="U694" s="5">
        <v>3</v>
      </c>
      <c r="V694" s="5" t="s">
        <v>33</v>
      </c>
      <c r="W694" s="5">
        <f t="shared" si="3"/>
        <v>0</v>
      </c>
    </row>
    <row r="695" spans="1:23" ht="15.75" customHeight="1" x14ac:dyDescent="0.25">
      <c r="A695" s="5" t="s">
        <v>1046</v>
      </c>
      <c r="B695" s="6">
        <v>45142</v>
      </c>
      <c r="C695" s="5" t="s">
        <v>290</v>
      </c>
      <c r="D695" s="5" t="s">
        <v>53</v>
      </c>
      <c r="E695" s="5" t="s">
        <v>112</v>
      </c>
      <c r="F695" s="5" t="s">
        <v>113</v>
      </c>
      <c r="G695" s="5" t="s">
        <v>81</v>
      </c>
      <c r="H695" s="5" t="s">
        <v>44</v>
      </c>
      <c r="I695" s="5" t="s">
        <v>82</v>
      </c>
      <c r="J695" s="5">
        <v>2135</v>
      </c>
      <c r="K695" s="7">
        <v>3430.1449852267119</v>
      </c>
      <c r="L695" s="5">
        <v>1</v>
      </c>
      <c r="M695" s="5">
        <v>15</v>
      </c>
      <c r="N695" s="8">
        <f t="shared" si="0"/>
        <v>2915.623237442705</v>
      </c>
      <c r="O695" s="5">
        <f t="shared" si="1"/>
        <v>2135</v>
      </c>
      <c r="P695" s="5">
        <f t="shared" si="2"/>
        <v>780.62323744270498</v>
      </c>
      <c r="Q695" s="5" t="s">
        <v>39</v>
      </c>
      <c r="R695" s="5" t="s">
        <v>32</v>
      </c>
      <c r="S695" s="6">
        <v>45151</v>
      </c>
      <c r="T695" s="5">
        <v>2</v>
      </c>
      <c r="U695" s="5">
        <v>4</v>
      </c>
      <c r="V695" s="5" t="s">
        <v>33</v>
      </c>
      <c r="W695" s="5">
        <f t="shared" si="3"/>
        <v>0</v>
      </c>
    </row>
    <row r="696" spans="1:23" ht="15.75" customHeight="1" x14ac:dyDescent="0.25">
      <c r="A696" s="5" t="s">
        <v>1047</v>
      </c>
      <c r="B696" s="6">
        <v>45142</v>
      </c>
      <c r="C696" s="5" t="s">
        <v>536</v>
      </c>
      <c r="D696" s="5" t="s">
        <v>86</v>
      </c>
      <c r="E696" s="5" t="s">
        <v>26</v>
      </c>
      <c r="F696" s="5" t="s">
        <v>27</v>
      </c>
      <c r="G696" s="5" t="s">
        <v>75</v>
      </c>
      <c r="H696" s="5" t="s">
        <v>76</v>
      </c>
      <c r="I696" s="5" t="s">
        <v>77</v>
      </c>
      <c r="J696" s="5">
        <v>923</v>
      </c>
      <c r="K696" s="7">
        <v>972.88081575804279</v>
      </c>
      <c r="L696" s="5">
        <v>3</v>
      </c>
      <c r="M696" s="5">
        <v>15</v>
      </c>
      <c r="N696" s="8">
        <f t="shared" si="0"/>
        <v>2480.8460801830088</v>
      </c>
      <c r="O696" s="5">
        <f t="shared" si="1"/>
        <v>2769</v>
      </c>
      <c r="P696" s="5">
        <f t="shared" si="2"/>
        <v>-288.15391981699122</v>
      </c>
      <c r="Q696" s="5" t="s">
        <v>31</v>
      </c>
      <c r="R696" s="5" t="s">
        <v>32</v>
      </c>
      <c r="S696" s="6">
        <v>45150</v>
      </c>
      <c r="T696" s="5">
        <v>5</v>
      </c>
      <c r="U696" s="5">
        <v>2</v>
      </c>
      <c r="V696" s="5" t="s">
        <v>33</v>
      </c>
      <c r="W696" s="5">
        <f t="shared" si="3"/>
        <v>0</v>
      </c>
    </row>
    <row r="697" spans="1:23" ht="15.75" customHeight="1" x14ac:dyDescent="0.25">
      <c r="A697" s="5" t="s">
        <v>1048</v>
      </c>
      <c r="B697" s="6">
        <v>45142</v>
      </c>
      <c r="C697" s="5" t="s">
        <v>704</v>
      </c>
      <c r="D697" s="5" t="s">
        <v>146</v>
      </c>
      <c r="E697" s="5" t="s">
        <v>69</v>
      </c>
      <c r="F697" s="5" t="s">
        <v>55</v>
      </c>
      <c r="G697" s="5" t="s">
        <v>106</v>
      </c>
      <c r="H697" s="5" t="s">
        <v>98</v>
      </c>
      <c r="I697" s="5" t="s">
        <v>107</v>
      </c>
      <c r="J697" s="5">
        <v>981</v>
      </c>
      <c r="K697" s="7">
        <v>1222.4215498636725</v>
      </c>
      <c r="L697" s="5">
        <v>1</v>
      </c>
      <c r="M697" s="5">
        <v>20</v>
      </c>
      <c r="N697" s="8">
        <f t="shared" si="0"/>
        <v>977.93723989093803</v>
      </c>
      <c r="O697" s="5">
        <f t="shared" si="1"/>
        <v>981</v>
      </c>
      <c r="P697" s="5">
        <f t="shared" si="2"/>
        <v>-3.0627601090619692</v>
      </c>
      <c r="Q697" s="5" t="s">
        <v>46</v>
      </c>
      <c r="R697" s="5" t="s">
        <v>56</v>
      </c>
      <c r="T697" s="5">
        <v>10</v>
      </c>
      <c r="U697" s="5">
        <v>1</v>
      </c>
      <c r="W697" s="5">
        <f t="shared" si="3"/>
        <v>0</v>
      </c>
    </row>
    <row r="698" spans="1:23" ht="15.75" customHeight="1" x14ac:dyDescent="0.25">
      <c r="A698" s="5" t="s">
        <v>1049</v>
      </c>
      <c r="B698" s="6">
        <v>45143</v>
      </c>
      <c r="C698" s="5" t="s">
        <v>599</v>
      </c>
      <c r="D698" s="5" t="s">
        <v>53</v>
      </c>
      <c r="E698" s="5" t="s">
        <v>37</v>
      </c>
      <c r="F698" s="5" t="s">
        <v>38</v>
      </c>
      <c r="G698" s="5" t="s">
        <v>28</v>
      </c>
      <c r="H698" s="5" t="s">
        <v>29</v>
      </c>
      <c r="I698" s="5" t="s">
        <v>30</v>
      </c>
      <c r="J698" s="5">
        <v>5814</v>
      </c>
      <c r="K698" s="7">
        <v>8495.8179382413709</v>
      </c>
      <c r="L698" s="5">
        <v>1</v>
      </c>
      <c r="M698" s="5">
        <v>20</v>
      </c>
      <c r="N698" s="8">
        <f t="shared" si="0"/>
        <v>6796.6543505930968</v>
      </c>
      <c r="O698" s="5">
        <f t="shared" si="1"/>
        <v>5814</v>
      </c>
      <c r="P698" s="5">
        <f t="shared" si="2"/>
        <v>982.65435059309675</v>
      </c>
      <c r="Q698" s="5" t="s">
        <v>31</v>
      </c>
      <c r="R698" s="5" t="s">
        <v>32</v>
      </c>
      <c r="S698" s="6">
        <v>45148</v>
      </c>
      <c r="T698" s="5">
        <v>2</v>
      </c>
      <c r="U698" s="5">
        <v>5</v>
      </c>
      <c r="V698" s="5" t="s">
        <v>33</v>
      </c>
      <c r="W698" s="5">
        <f t="shared" si="3"/>
        <v>0</v>
      </c>
    </row>
    <row r="699" spans="1:23" ht="15.75" customHeight="1" x14ac:dyDescent="0.25">
      <c r="A699" s="5" t="s">
        <v>1050</v>
      </c>
      <c r="B699" s="6">
        <v>45143</v>
      </c>
      <c r="C699" s="5" t="s">
        <v>250</v>
      </c>
      <c r="D699" s="5" t="s">
        <v>86</v>
      </c>
      <c r="E699" s="5" t="s">
        <v>54</v>
      </c>
      <c r="F699" s="5" t="s">
        <v>55</v>
      </c>
      <c r="G699" s="5" t="s">
        <v>87</v>
      </c>
      <c r="H699" s="5" t="s">
        <v>29</v>
      </c>
      <c r="I699" s="5" t="s">
        <v>88</v>
      </c>
      <c r="J699" s="5">
        <v>52284</v>
      </c>
      <c r="K699" s="7">
        <v>82542.930385566549</v>
      </c>
      <c r="L699" s="5">
        <v>1</v>
      </c>
      <c r="M699" s="5">
        <v>5</v>
      </c>
      <c r="N699" s="8">
        <f t="shared" si="0"/>
        <v>78415.783866288213</v>
      </c>
      <c r="O699" s="5">
        <f t="shared" si="1"/>
        <v>52284</v>
      </c>
      <c r="P699" s="5">
        <f t="shared" si="2"/>
        <v>26131.783866288213</v>
      </c>
      <c r="Q699" s="5" t="s">
        <v>31</v>
      </c>
      <c r="R699" s="5" t="s">
        <v>32</v>
      </c>
      <c r="S699" s="6">
        <v>45149</v>
      </c>
      <c r="T699" s="5">
        <v>3</v>
      </c>
      <c r="U699" s="5">
        <v>3</v>
      </c>
      <c r="V699" s="5" t="s">
        <v>33</v>
      </c>
      <c r="W699" s="5">
        <f t="shared" si="3"/>
        <v>0</v>
      </c>
    </row>
    <row r="700" spans="1:23" ht="15.75" customHeight="1" x14ac:dyDescent="0.25">
      <c r="A700" s="5" t="s">
        <v>1051</v>
      </c>
      <c r="B700" s="6">
        <v>45143</v>
      </c>
      <c r="C700" s="5" t="s">
        <v>437</v>
      </c>
      <c r="D700" s="5" t="s">
        <v>188</v>
      </c>
      <c r="E700" s="5" t="s">
        <v>49</v>
      </c>
      <c r="F700" s="5" t="s">
        <v>50</v>
      </c>
      <c r="G700" s="5" t="s">
        <v>70</v>
      </c>
      <c r="H700" s="5" t="s">
        <v>44</v>
      </c>
      <c r="I700" s="5" t="s">
        <v>71</v>
      </c>
      <c r="J700" s="5">
        <v>1968</v>
      </c>
      <c r="K700" s="7">
        <v>2387.7637834500269</v>
      </c>
      <c r="L700" s="5">
        <v>2</v>
      </c>
      <c r="M700" s="5">
        <v>5</v>
      </c>
      <c r="N700" s="8">
        <f t="shared" si="0"/>
        <v>4536.7511885550512</v>
      </c>
      <c r="O700" s="5">
        <f t="shared" si="1"/>
        <v>3936</v>
      </c>
      <c r="P700" s="5">
        <f t="shared" si="2"/>
        <v>600.75118855505116</v>
      </c>
      <c r="Q700" s="5" t="s">
        <v>83</v>
      </c>
      <c r="R700" s="5" t="s">
        <v>32</v>
      </c>
      <c r="S700" s="6">
        <v>45150</v>
      </c>
      <c r="T700" s="5">
        <v>3</v>
      </c>
      <c r="U700" s="5">
        <v>4</v>
      </c>
      <c r="V700" s="5" t="s">
        <v>33</v>
      </c>
      <c r="W700" s="5">
        <f t="shared" si="3"/>
        <v>0</v>
      </c>
    </row>
    <row r="701" spans="1:23" ht="15.75" customHeight="1" x14ac:dyDescent="0.25">
      <c r="A701" s="5" t="s">
        <v>1052</v>
      </c>
      <c r="B701" s="6">
        <v>45143</v>
      </c>
      <c r="C701" s="5" t="s">
        <v>547</v>
      </c>
      <c r="D701" s="5" t="s">
        <v>181</v>
      </c>
      <c r="E701" s="5" t="s">
        <v>49</v>
      </c>
      <c r="F701" s="5" t="s">
        <v>50</v>
      </c>
      <c r="G701" s="5" t="s">
        <v>92</v>
      </c>
      <c r="H701" s="5" t="s">
        <v>44</v>
      </c>
      <c r="I701" s="5" t="s">
        <v>45</v>
      </c>
      <c r="J701" s="5">
        <v>1038</v>
      </c>
      <c r="K701" s="7">
        <v>1847.0558232493274</v>
      </c>
      <c r="L701" s="5">
        <v>3</v>
      </c>
      <c r="M701" s="5">
        <v>0</v>
      </c>
      <c r="N701" s="8">
        <f t="shared" si="0"/>
        <v>5541.1674697479821</v>
      </c>
      <c r="O701" s="5">
        <f t="shared" si="1"/>
        <v>3114</v>
      </c>
      <c r="P701" s="5">
        <f t="shared" si="2"/>
        <v>2427.1674697479821</v>
      </c>
      <c r="Q701" s="5" t="s">
        <v>83</v>
      </c>
      <c r="R701" s="5" t="s">
        <v>32</v>
      </c>
      <c r="S701" s="6">
        <v>45153</v>
      </c>
      <c r="T701" s="5">
        <v>6</v>
      </c>
      <c r="U701" s="5">
        <v>3</v>
      </c>
      <c r="V701" s="5" t="s">
        <v>33</v>
      </c>
      <c r="W701" s="5">
        <f t="shared" si="3"/>
        <v>0</v>
      </c>
    </row>
    <row r="702" spans="1:23" ht="15.75" customHeight="1" x14ac:dyDescent="0.25">
      <c r="A702" s="5" t="s">
        <v>1053</v>
      </c>
      <c r="B702" s="6">
        <v>45143</v>
      </c>
      <c r="C702" s="5" t="s">
        <v>851</v>
      </c>
      <c r="D702" s="5" t="s">
        <v>135</v>
      </c>
      <c r="E702" s="5" t="s">
        <v>60</v>
      </c>
      <c r="F702" s="5" t="s">
        <v>61</v>
      </c>
      <c r="G702" s="5" t="s">
        <v>139</v>
      </c>
      <c r="H702" s="5" t="s">
        <v>76</v>
      </c>
      <c r="I702" s="5" t="s">
        <v>140</v>
      </c>
      <c r="J702" s="5">
        <v>32864</v>
      </c>
      <c r="K702" s="7">
        <v>54510.843814008171</v>
      </c>
      <c r="L702" s="5">
        <v>4</v>
      </c>
      <c r="M702" s="5">
        <v>0</v>
      </c>
      <c r="N702" s="8">
        <f t="shared" si="0"/>
        <v>218043.37525603268</v>
      </c>
      <c r="O702" s="5">
        <f t="shared" si="1"/>
        <v>131456</v>
      </c>
      <c r="P702" s="5">
        <f t="shared" si="2"/>
        <v>86587.375256032683</v>
      </c>
      <c r="Q702" s="5" t="s">
        <v>83</v>
      </c>
      <c r="R702" s="5" t="s">
        <v>32</v>
      </c>
      <c r="S702" s="6">
        <v>45153</v>
      </c>
      <c r="T702" s="5">
        <v>5</v>
      </c>
      <c r="U702" s="5">
        <v>3</v>
      </c>
      <c r="V702" s="5" t="s">
        <v>33</v>
      </c>
      <c r="W702" s="5">
        <f t="shared" si="3"/>
        <v>0</v>
      </c>
    </row>
    <row r="703" spans="1:23" ht="15.75" customHeight="1" x14ac:dyDescent="0.25">
      <c r="A703" s="5" t="s">
        <v>1054</v>
      </c>
      <c r="B703" s="6">
        <v>45143</v>
      </c>
      <c r="C703" s="5" t="s">
        <v>24</v>
      </c>
      <c r="D703" s="5" t="s">
        <v>208</v>
      </c>
      <c r="E703" s="5" t="s">
        <v>26</v>
      </c>
      <c r="F703" s="5" t="s">
        <v>27</v>
      </c>
      <c r="G703" s="5" t="s">
        <v>70</v>
      </c>
      <c r="H703" s="5" t="s">
        <v>44</v>
      </c>
      <c r="I703" s="5" t="s">
        <v>71</v>
      </c>
      <c r="J703" s="5">
        <v>1163</v>
      </c>
      <c r="K703" s="7">
        <v>2000.514701632183</v>
      </c>
      <c r="L703" s="5">
        <v>4</v>
      </c>
      <c r="M703" s="5">
        <v>0</v>
      </c>
      <c r="N703" s="8">
        <f t="shared" si="0"/>
        <v>8002.058806528732</v>
      </c>
      <c r="O703" s="5">
        <f t="shared" si="1"/>
        <v>4652</v>
      </c>
      <c r="P703" s="5">
        <f t="shared" si="2"/>
        <v>3350.058806528732</v>
      </c>
      <c r="Q703" s="5" t="s">
        <v>39</v>
      </c>
      <c r="R703" s="5" t="s">
        <v>56</v>
      </c>
      <c r="T703" s="5">
        <v>10</v>
      </c>
      <c r="U703" s="5">
        <v>1</v>
      </c>
      <c r="W703" s="5">
        <f t="shared" si="3"/>
        <v>0</v>
      </c>
    </row>
    <row r="704" spans="1:23" ht="15.75" customHeight="1" x14ac:dyDescent="0.25">
      <c r="A704" s="5" t="s">
        <v>1055</v>
      </c>
      <c r="B704" s="6">
        <v>45143</v>
      </c>
      <c r="C704" s="5" t="s">
        <v>584</v>
      </c>
      <c r="D704" s="5" t="s">
        <v>102</v>
      </c>
      <c r="E704" s="5" t="s">
        <v>37</v>
      </c>
      <c r="F704" s="5" t="s">
        <v>38</v>
      </c>
      <c r="G704" s="5" t="s">
        <v>119</v>
      </c>
      <c r="H704" s="5" t="s">
        <v>76</v>
      </c>
      <c r="I704" s="5" t="s">
        <v>120</v>
      </c>
      <c r="J704" s="5">
        <v>35462</v>
      </c>
      <c r="K704" s="7">
        <v>59959.728440435902</v>
      </c>
      <c r="L704" s="5">
        <v>5</v>
      </c>
      <c r="M704" s="5">
        <v>10</v>
      </c>
      <c r="N704" s="8">
        <f t="shared" si="0"/>
        <v>269818.77798196161</v>
      </c>
      <c r="O704" s="5">
        <f t="shared" si="1"/>
        <v>177310</v>
      </c>
      <c r="P704" s="5">
        <f t="shared" si="2"/>
        <v>92508.777981961612</v>
      </c>
      <c r="Q704" s="5" t="s">
        <v>46</v>
      </c>
      <c r="R704" s="5" t="s">
        <v>32</v>
      </c>
      <c r="S704" s="6">
        <v>45151</v>
      </c>
      <c r="T704" s="5">
        <v>1</v>
      </c>
      <c r="U704" s="5">
        <v>4</v>
      </c>
      <c r="V704" s="5" t="s">
        <v>33</v>
      </c>
      <c r="W704" s="5">
        <f t="shared" si="3"/>
        <v>0</v>
      </c>
    </row>
    <row r="705" spans="1:23" ht="15.75" customHeight="1" x14ac:dyDescent="0.25">
      <c r="A705" s="5" t="s">
        <v>1056</v>
      </c>
      <c r="B705" s="6">
        <v>45143</v>
      </c>
      <c r="C705" s="5" t="s">
        <v>296</v>
      </c>
      <c r="D705" s="5" t="s">
        <v>138</v>
      </c>
      <c r="E705" s="5" t="s">
        <v>69</v>
      </c>
      <c r="F705" s="5" t="s">
        <v>55</v>
      </c>
      <c r="G705" s="5" t="s">
        <v>119</v>
      </c>
      <c r="H705" s="5" t="s">
        <v>76</v>
      </c>
      <c r="I705" s="5" t="s">
        <v>120</v>
      </c>
      <c r="J705" s="5">
        <v>51795</v>
      </c>
      <c r="K705" s="7">
        <v>62609.352956722047</v>
      </c>
      <c r="L705" s="5">
        <v>4</v>
      </c>
      <c r="M705" s="5">
        <v>15</v>
      </c>
      <c r="N705" s="8">
        <f t="shared" si="0"/>
        <v>212871.80005285496</v>
      </c>
      <c r="O705" s="5">
        <f t="shared" si="1"/>
        <v>207180</v>
      </c>
      <c r="P705" s="5">
        <f t="shared" si="2"/>
        <v>5691.8000528549601</v>
      </c>
      <c r="Q705" s="5" t="s">
        <v>83</v>
      </c>
      <c r="R705" s="5" t="s">
        <v>32</v>
      </c>
      <c r="S705" s="6">
        <v>45149</v>
      </c>
      <c r="T705" s="5">
        <v>3</v>
      </c>
      <c r="U705" s="5">
        <v>3</v>
      </c>
      <c r="V705" s="5" t="s">
        <v>33</v>
      </c>
      <c r="W705" s="5">
        <f t="shared" si="3"/>
        <v>0</v>
      </c>
    </row>
    <row r="706" spans="1:23" ht="15.75" customHeight="1" x14ac:dyDescent="0.25">
      <c r="A706" s="5" t="s">
        <v>1057</v>
      </c>
      <c r="B706" s="6">
        <v>45143</v>
      </c>
      <c r="C706" s="5" t="s">
        <v>526</v>
      </c>
      <c r="D706" s="5" t="s">
        <v>42</v>
      </c>
      <c r="E706" s="5" t="s">
        <v>49</v>
      </c>
      <c r="F706" s="5" t="s">
        <v>50</v>
      </c>
      <c r="G706" s="5" t="s">
        <v>97</v>
      </c>
      <c r="H706" s="5" t="s">
        <v>98</v>
      </c>
      <c r="I706" s="5" t="s">
        <v>99</v>
      </c>
      <c r="J706" s="5">
        <v>437</v>
      </c>
      <c r="K706" s="7">
        <v>660.61776198559824</v>
      </c>
      <c r="L706" s="5">
        <v>2</v>
      </c>
      <c r="M706" s="5">
        <v>15</v>
      </c>
      <c r="N706" s="8">
        <f t="shared" si="0"/>
        <v>1123.050195375517</v>
      </c>
      <c r="O706" s="5">
        <f t="shared" si="1"/>
        <v>874</v>
      </c>
      <c r="P706" s="5">
        <f t="shared" si="2"/>
        <v>249.05019537551698</v>
      </c>
      <c r="Q706" s="5" t="s">
        <v>31</v>
      </c>
      <c r="R706" s="5" t="s">
        <v>32</v>
      </c>
      <c r="S706" s="6">
        <v>45153</v>
      </c>
      <c r="T706" s="5">
        <v>3</v>
      </c>
      <c r="U706" s="5">
        <v>4</v>
      </c>
      <c r="V706" s="5" t="s">
        <v>33</v>
      </c>
      <c r="W706" s="5">
        <f t="shared" si="3"/>
        <v>0</v>
      </c>
    </row>
    <row r="707" spans="1:23" ht="15.75" customHeight="1" x14ac:dyDescent="0.25">
      <c r="A707" s="5" t="s">
        <v>1058</v>
      </c>
      <c r="B707" s="6">
        <v>45143</v>
      </c>
      <c r="C707" s="5" t="s">
        <v>373</v>
      </c>
      <c r="D707" s="5" t="s">
        <v>148</v>
      </c>
      <c r="E707" s="5" t="s">
        <v>80</v>
      </c>
      <c r="F707" s="5" t="s">
        <v>80</v>
      </c>
      <c r="G707" s="5" t="s">
        <v>97</v>
      </c>
      <c r="H707" s="5" t="s">
        <v>98</v>
      </c>
      <c r="I707" s="5" t="s">
        <v>99</v>
      </c>
      <c r="J707" s="5">
        <v>479</v>
      </c>
      <c r="K707" s="7">
        <v>543.46219100733265</v>
      </c>
      <c r="L707" s="5">
        <v>4</v>
      </c>
      <c r="M707" s="5">
        <v>0</v>
      </c>
      <c r="N707" s="8">
        <f t="shared" si="0"/>
        <v>2173.8487640293306</v>
      </c>
      <c r="O707" s="5">
        <f t="shared" si="1"/>
        <v>1916</v>
      </c>
      <c r="P707" s="5">
        <f t="shared" si="2"/>
        <v>257.8487640293306</v>
      </c>
      <c r="Q707" s="5" t="s">
        <v>31</v>
      </c>
      <c r="R707" s="5" t="s">
        <v>56</v>
      </c>
      <c r="T707" s="5">
        <v>9</v>
      </c>
      <c r="U707" s="5">
        <v>1</v>
      </c>
      <c r="W707" s="5">
        <f t="shared" si="3"/>
        <v>0</v>
      </c>
    </row>
    <row r="708" spans="1:23" ht="15.75" customHeight="1" x14ac:dyDescent="0.25">
      <c r="A708" s="5" t="s">
        <v>1059</v>
      </c>
      <c r="B708" s="6">
        <v>45143</v>
      </c>
      <c r="C708" s="5" t="s">
        <v>410</v>
      </c>
      <c r="D708" s="5" t="s">
        <v>146</v>
      </c>
      <c r="E708" s="5" t="s">
        <v>49</v>
      </c>
      <c r="F708" s="5" t="s">
        <v>50</v>
      </c>
      <c r="G708" s="5" t="s">
        <v>124</v>
      </c>
      <c r="H708" s="5" t="s">
        <v>76</v>
      </c>
      <c r="I708" s="5" t="s">
        <v>125</v>
      </c>
      <c r="J708" s="5">
        <v>63276</v>
      </c>
      <c r="K708" s="7">
        <v>64151.169023608112</v>
      </c>
      <c r="L708" s="5">
        <v>1</v>
      </c>
      <c r="M708" s="5">
        <v>15</v>
      </c>
      <c r="N708" s="8">
        <f t="shared" si="0"/>
        <v>54528.493670066891</v>
      </c>
      <c r="O708" s="5">
        <f t="shared" si="1"/>
        <v>63276</v>
      </c>
      <c r="P708" s="5">
        <f t="shared" si="2"/>
        <v>-8747.5063299331086</v>
      </c>
      <c r="Q708" s="5" t="s">
        <v>83</v>
      </c>
      <c r="R708" s="5" t="s">
        <v>32</v>
      </c>
      <c r="S708" s="6">
        <v>45151</v>
      </c>
      <c r="T708" s="5">
        <v>4</v>
      </c>
      <c r="U708" s="5">
        <v>3</v>
      </c>
      <c r="V708" s="5" t="s">
        <v>33</v>
      </c>
      <c r="W708" s="5">
        <f t="shared" si="3"/>
        <v>0</v>
      </c>
    </row>
    <row r="709" spans="1:23" ht="15.75" customHeight="1" x14ac:dyDescent="0.25">
      <c r="A709" s="5" t="s">
        <v>1060</v>
      </c>
      <c r="B709" s="6">
        <v>45144</v>
      </c>
      <c r="C709" s="5" t="s">
        <v>111</v>
      </c>
      <c r="D709" s="5" t="s">
        <v>181</v>
      </c>
      <c r="E709" s="5" t="s">
        <v>37</v>
      </c>
      <c r="F709" s="5" t="s">
        <v>38</v>
      </c>
      <c r="G709" s="5" t="s">
        <v>97</v>
      </c>
      <c r="H709" s="5" t="s">
        <v>98</v>
      </c>
      <c r="I709" s="5" t="s">
        <v>99</v>
      </c>
      <c r="J709" s="5">
        <v>417</v>
      </c>
      <c r="K709" s="7">
        <v>681.0727994501342</v>
      </c>
      <c r="L709" s="5">
        <v>1</v>
      </c>
      <c r="M709" s="5">
        <v>5</v>
      </c>
      <c r="N709" s="8">
        <f t="shared" si="0"/>
        <v>647.01915947762745</v>
      </c>
      <c r="O709" s="5">
        <f t="shared" si="1"/>
        <v>417</v>
      </c>
      <c r="P709" s="5">
        <f t="shared" si="2"/>
        <v>230.01915947762745</v>
      </c>
      <c r="Q709" s="5" t="s">
        <v>31</v>
      </c>
      <c r="R709" s="5" t="s">
        <v>56</v>
      </c>
      <c r="T709" s="5">
        <v>10</v>
      </c>
      <c r="U709" s="5">
        <v>1</v>
      </c>
      <c r="W709" s="5">
        <f t="shared" si="3"/>
        <v>0</v>
      </c>
    </row>
    <row r="710" spans="1:23" ht="15.75" customHeight="1" x14ac:dyDescent="0.25">
      <c r="A710" s="5" t="s">
        <v>1061</v>
      </c>
      <c r="B710" s="6">
        <v>45144</v>
      </c>
      <c r="C710" s="5" t="s">
        <v>1062</v>
      </c>
      <c r="D710" s="5" t="s">
        <v>86</v>
      </c>
      <c r="E710" s="5" t="s">
        <v>60</v>
      </c>
      <c r="F710" s="5" t="s">
        <v>61</v>
      </c>
      <c r="G710" s="5" t="s">
        <v>139</v>
      </c>
      <c r="H710" s="5" t="s">
        <v>76</v>
      </c>
      <c r="I710" s="5" t="s">
        <v>140</v>
      </c>
      <c r="J710" s="5">
        <v>48215</v>
      </c>
      <c r="K710" s="7">
        <v>74130.491593077866</v>
      </c>
      <c r="L710" s="5">
        <v>5</v>
      </c>
      <c r="M710" s="5">
        <v>5</v>
      </c>
      <c r="N710" s="8">
        <f t="shared" si="0"/>
        <v>352119.83506711986</v>
      </c>
      <c r="O710" s="5">
        <f t="shared" si="1"/>
        <v>241075</v>
      </c>
      <c r="P710" s="5">
        <f t="shared" si="2"/>
        <v>111044.83506711986</v>
      </c>
      <c r="Q710" s="5" t="s">
        <v>39</v>
      </c>
      <c r="R710" s="5" t="s">
        <v>56</v>
      </c>
      <c r="T710" s="5">
        <v>9</v>
      </c>
      <c r="U710" s="5">
        <v>1</v>
      </c>
      <c r="W710" s="5">
        <f t="shared" si="3"/>
        <v>0</v>
      </c>
    </row>
    <row r="711" spans="1:23" ht="15.75" customHeight="1" x14ac:dyDescent="0.25">
      <c r="A711" s="5" t="s">
        <v>1063</v>
      </c>
      <c r="B711" s="6">
        <v>45144</v>
      </c>
      <c r="C711" s="5" t="s">
        <v>450</v>
      </c>
      <c r="D711" s="5" t="s">
        <v>36</v>
      </c>
      <c r="E711" s="5" t="s">
        <v>60</v>
      </c>
      <c r="F711" s="5" t="s">
        <v>61</v>
      </c>
      <c r="G711" s="5" t="s">
        <v>75</v>
      </c>
      <c r="H711" s="5" t="s">
        <v>76</v>
      </c>
      <c r="I711" s="5" t="s">
        <v>77</v>
      </c>
      <c r="J711" s="5">
        <v>1820</v>
      </c>
      <c r="K711" s="7">
        <v>2113.5616966809048</v>
      </c>
      <c r="L711" s="5">
        <v>2</v>
      </c>
      <c r="M711" s="5">
        <v>0</v>
      </c>
      <c r="N711" s="8">
        <f t="shared" si="0"/>
        <v>4227.1233933618096</v>
      </c>
      <c r="O711" s="5">
        <f t="shared" si="1"/>
        <v>3640</v>
      </c>
      <c r="P711" s="5">
        <f t="shared" si="2"/>
        <v>587.12339336180958</v>
      </c>
      <c r="Q711" s="5" t="s">
        <v>31</v>
      </c>
      <c r="R711" s="5" t="s">
        <v>56</v>
      </c>
      <c r="T711" s="5">
        <v>8</v>
      </c>
      <c r="U711" s="5">
        <v>2</v>
      </c>
      <c r="W711" s="5">
        <f t="shared" si="3"/>
        <v>0</v>
      </c>
    </row>
    <row r="712" spans="1:23" ht="15.75" customHeight="1" x14ac:dyDescent="0.25">
      <c r="A712" s="5" t="s">
        <v>1064</v>
      </c>
      <c r="B712" s="6">
        <v>45145</v>
      </c>
      <c r="C712" s="5" t="s">
        <v>134</v>
      </c>
      <c r="D712" s="5" t="s">
        <v>74</v>
      </c>
      <c r="E712" s="5" t="s">
        <v>60</v>
      </c>
      <c r="F712" s="5" t="s">
        <v>61</v>
      </c>
      <c r="G712" s="5" t="s">
        <v>75</v>
      </c>
      <c r="H712" s="5" t="s">
        <v>76</v>
      </c>
      <c r="I712" s="5" t="s">
        <v>77</v>
      </c>
      <c r="J712" s="5">
        <v>810</v>
      </c>
      <c r="K712" s="7">
        <v>958.16936607449861</v>
      </c>
      <c r="L712" s="5">
        <v>1</v>
      </c>
      <c r="M712" s="5">
        <v>0</v>
      </c>
      <c r="N712" s="8">
        <f t="shared" si="0"/>
        <v>958.16936607449861</v>
      </c>
      <c r="O712" s="5">
        <f t="shared" si="1"/>
        <v>810</v>
      </c>
      <c r="P712" s="5">
        <f t="shared" si="2"/>
        <v>148.16936607449861</v>
      </c>
      <c r="Q712" s="5" t="s">
        <v>83</v>
      </c>
      <c r="R712" s="5" t="s">
        <v>56</v>
      </c>
      <c r="T712" s="5">
        <v>8</v>
      </c>
      <c r="U712" s="5">
        <v>4</v>
      </c>
      <c r="W712" s="5">
        <f t="shared" si="3"/>
        <v>0</v>
      </c>
    </row>
    <row r="713" spans="1:23" ht="15.75" customHeight="1" x14ac:dyDescent="0.25">
      <c r="A713" s="5" t="s">
        <v>1065</v>
      </c>
      <c r="B713" s="6">
        <v>45145</v>
      </c>
      <c r="C713" s="5" t="s">
        <v>373</v>
      </c>
      <c r="D713" s="5" t="s">
        <v>86</v>
      </c>
      <c r="E713" s="5" t="s">
        <v>60</v>
      </c>
      <c r="F713" s="5" t="s">
        <v>61</v>
      </c>
      <c r="G713" s="5" t="s">
        <v>43</v>
      </c>
      <c r="H713" s="5" t="s">
        <v>44</v>
      </c>
      <c r="I713" s="5" t="s">
        <v>45</v>
      </c>
      <c r="J713" s="5">
        <v>463</v>
      </c>
      <c r="K713" s="7">
        <v>813.08139395289481</v>
      </c>
      <c r="L713" s="5">
        <v>3</v>
      </c>
      <c r="M713" s="5">
        <v>0</v>
      </c>
      <c r="N713" s="8">
        <f t="shared" si="0"/>
        <v>2439.2441818586844</v>
      </c>
      <c r="O713" s="5">
        <f t="shared" si="1"/>
        <v>1389</v>
      </c>
      <c r="P713" s="5">
        <f t="shared" si="2"/>
        <v>1050.2441818586844</v>
      </c>
      <c r="Q713" s="5" t="s">
        <v>83</v>
      </c>
      <c r="R713" s="5" t="s">
        <v>56</v>
      </c>
      <c r="T713" s="5">
        <v>7</v>
      </c>
      <c r="U713" s="5">
        <v>3</v>
      </c>
      <c r="W713" s="5">
        <f t="shared" si="3"/>
        <v>0</v>
      </c>
    </row>
    <row r="714" spans="1:23" ht="15.75" customHeight="1" x14ac:dyDescent="0.25">
      <c r="A714" s="5" t="s">
        <v>1066</v>
      </c>
      <c r="B714" s="6">
        <v>45145</v>
      </c>
      <c r="C714" s="5" t="s">
        <v>624</v>
      </c>
      <c r="D714" s="5" t="s">
        <v>148</v>
      </c>
      <c r="E714" s="5" t="s">
        <v>26</v>
      </c>
      <c r="F714" s="5" t="s">
        <v>27</v>
      </c>
      <c r="G714" s="5" t="s">
        <v>92</v>
      </c>
      <c r="H714" s="5" t="s">
        <v>44</v>
      </c>
      <c r="I714" s="5" t="s">
        <v>45</v>
      </c>
      <c r="J714" s="5">
        <v>1479</v>
      </c>
      <c r="K714" s="7">
        <v>1724.9630590982279</v>
      </c>
      <c r="L714" s="5">
        <v>4</v>
      </c>
      <c r="M714" s="5">
        <v>15</v>
      </c>
      <c r="N714" s="8">
        <f t="shared" si="0"/>
        <v>5864.8744009339744</v>
      </c>
      <c r="O714" s="5">
        <f t="shared" si="1"/>
        <v>5916</v>
      </c>
      <c r="P714" s="5">
        <f t="shared" si="2"/>
        <v>-51.125599066025643</v>
      </c>
      <c r="Q714" s="5" t="s">
        <v>46</v>
      </c>
      <c r="R714" s="5" t="s">
        <v>56</v>
      </c>
      <c r="T714" s="5">
        <v>7</v>
      </c>
      <c r="U714" s="5">
        <v>3</v>
      </c>
      <c r="W714" s="5">
        <f t="shared" si="3"/>
        <v>0</v>
      </c>
    </row>
    <row r="715" spans="1:23" ht="15.75" customHeight="1" x14ac:dyDescent="0.25">
      <c r="A715" s="5" t="s">
        <v>1067</v>
      </c>
      <c r="B715" s="6">
        <v>45145</v>
      </c>
      <c r="C715" s="5" t="s">
        <v>336</v>
      </c>
      <c r="D715" s="5" t="s">
        <v>86</v>
      </c>
      <c r="E715" s="5" t="s">
        <v>69</v>
      </c>
      <c r="F715" s="5" t="s">
        <v>55</v>
      </c>
      <c r="G715" s="5" t="s">
        <v>92</v>
      </c>
      <c r="H715" s="5" t="s">
        <v>44</v>
      </c>
      <c r="I715" s="5" t="s">
        <v>45</v>
      </c>
      <c r="J715" s="5">
        <v>1257</v>
      </c>
      <c r="K715" s="7">
        <v>1747.9547290764096</v>
      </c>
      <c r="L715" s="5">
        <v>5</v>
      </c>
      <c r="M715" s="5">
        <v>5</v>
      </c>
      <c r="N715" s="8">
        <f t="shared" si="0"/>
        <v>8302.7849631129466</v>
      </c>
      <c r="O715" s="5">
        <f t="shared" si="1"/>
        <v>6285</v>
      </c>
      <c r="P715" s="5">
        <f t="shared" si="2"/>
        <v>2017.7849631129466</v>
      </c>
      <c r="Q715" s="5" t="s">
        <v>83</v>
      </c>
      <c r="R715" s="5" t="s">
        <v>32</v>
      </c>
      <c r="S715" s="6">
        <v>45157</v>
      </c>
      <c r="T715" s="5">
        <v>7</v>
      </c>
      <c r="U715" s="5">
        <v>4</v>
      </c>
      <c r="V715" s="5" t="s">
        <v>89</v>
      </c>
      <c r="W715" s="5">
        <f t="shared" si="3"/>
        <v>1</v>
      </c>
    </row>
    <row r="716" spans="1:23" ht="15.75" customHeight="1" x14ac:dyDescent="0.25">
      <c r="A716" s="5" t="s">
        <v>1068</v>
      </c>
      <c r="B716" s="6">
        <v>45145</v>
      </c>
      <c r="C716" s="5" t="s">
        <v>848</v>
      </c>
      <c r="D716" s="5" t="s">
        <v>150</v>
      </c>
      <c r="E716" s="5" t="s">
        <v>80</v>
      </c>
      <c r="F716" s="5" t="s">
        <v>80</v>
      </c>
      <c r="G716" s="5" t="s">
        <v>119</v>
      </c>
      <c r="H716" s="5" t="s">
        <v>76</v>
      </c>
      <c r="I716" s="5" t="s">
        <v>120</v>
      </c>
      <c r="J716" s="5">
        <v>60947</v>
      </c>
      <c r="K716" s="7">
        <v>61889.491420013459</v>
      </c>
      <c r="L716" s="5">
        <v>3</v>
      </c>
      <c r="M716" s="5">
        <v>20</v>
      </c>
      <c r="N716" s="8">
        <f t="shared" si="0"/>
        <v>148534.77940803231</v>
      </c>
      <c r="O716" s="5">
        <f t="shared" si="1"/>
        <v>182841</v>
      </c>
      <c r="P716" s="5">
        <f t="shared" si="2"/>
        <v>-34306.220591967693</v>
      </c>
      <c r="Q716" s="5" t="s">
        <v>83</v>
      </c>
      <c r="R716" s="5" t="s">
        <v>56</v>
      </c>
      <c r="T716" s="5">
        <v>8</v>
      </c>
      <c r="U716" s="5">
        <v>2</v>
      </c>
      <c r="W716" s="5">
        <f t="shared" si="3"/>
        <v>0</v>
      </c>
    </row>
    <row r="717" spans="1:23" ht="15.75" customHeight="1" x14ac:dyDescent="0.25">
      <c r="A717" s="5" t="s">
        <v>1069</v>
      </c>
      <c r="B717" s="6">
        <v>45146</v>
      </c>
      <c r="C717" s="5" t="s">
        <v>890</v>
      </c>
      <c r="D717" s="5" t="s">
        <v>86</v>
      </c>
      <c r="E717" s="5" t="s">
        <v>80</v>
      </c>
      <c r="F717" s="5" t="s">
        <v>80</v>
      </c>
      <c r="G717" s="5" t="s">
        <v>119</v>
      </c>
      <c r="H717" s="5" t="s">
        <v>76</v>
      </c>
      <c r="I717" s="5" t="s">
        <v>120</v>
      </c>
      <c r="J717" s="5">
        <v>34452</v>
      </c>
      <c r="K717" s="7">
        <v>42650.837730057196</v>
      </c>
      <c r="L717" s="5">
        <v>5</v>
      </c>
      <c r="M717" s="5">
        <v>5</v>
      </c>
      <c r="N717" s="8">
        <f t="shared" si="0"/>
        <v>202591.47921777167</v>
      </c>
      <c r="O717" s="5">
        <f t="shared" si="1"/>
        <v>172260</v>
      </c>
      <c r="P717" s="5">
        <f t="shared" si="2"/>
        <v>30331.479217771674</v>
      </c>
      <c r="Q717" s="5" t="s">
        <v>39</v>
      </c>
      <c r="R717" s="5" t="s">
        <v>56</v>
      </c>
      <c r="T717" s="5">
        <v>9</v>
      </c>
      <c r="U717" s="5">
        <v>1</v>
      </c>
      <c r="W717" s="5">
        <f t="shared" si="3"/>
        <v>0</v>
      </c>
    </row>
    <row r="718" spans="1:23" ht="15.75" customHeight="1" x14ac:dyDescent="0.25">
      <c r="A718" s="5" t="s">
        <v>1070</v>
      </c>
      <c r="B718" s="6">
        <v>45146</v>
      </c>
      <c r="C718" s="5" t="s">
        <v>425</v>
      </c>
      <c r="D718" s="5" t="s">
        <v>148</v>
      </c>
      <c r="E718" s="5" t="s">
        <v>80</v>
      </c>
      <c r="F718" s="5" t="s">
        <v>80</v>
      </c>
      <c r="G718" s="5" t="s">
        <v>92</v>
      </c>
      <c r="H718" s="5" t="s">
        <v>44</v>
      </c>
      <c r="I718" s="5" t="s">
        <v>45</v>
      </c>
      <c r="J718" s="5">
        <v>1445</v>
      </c>
      <c r="K718" s="7">
        <v>2199.2347401645261</v>
      </c>
      <c r="L718" s="5">
        <v>5</v>
      </c>
      <c r="M718" s="5">
        <v>5</v>
      </c>
      <c r="N718" s="8">
        <f t="shared" si="0"/>
        <v>10446.365015781497</v>
      </c>
      <c r="O718" s="5">
        <f t="shared" si="1"/>
        <v>7225</v>
      </c>
      <c r="P718" s="5">
        <f t="shared" si="2"/>
        <v>3221.3650157814973</v>
      </c>
      <c r="Q718" s="5" t="s">
        <v>46</v>
      </c>
      <c r="R718" s="5" t="s">
        <v>32</v>
      </c>
      <c r="S718" s="6">
        <v>45157</v>
      </c>
      <c r="T718" s="5">
        <v>8</v>
      </c>
      <c r="U718" s="5">
        <v>4</v>
      </c>
      <c r="V718" s="5" t="s">
        <v>89</v>
      </c>
      <c r="W718" s="5">
        <f t="shared" si="3"/>
        <v>1</v>
      </c>
    </row>
    <row r="719" spans="1:23" ht="15.75" customHeight="1" x14ac:dyDescent="0.25">
      <c r="A719" s="5" t="s">
        <v>1071</v>
      </c>
      <c r="B719" s="6">
        <v>45146</v>
      </c>
      <c r="C719" s="5" t="s">
        <v>163</v>
      </c>
      <c r="D719" s="5" t="s">
        <v>105</v>
      </c>
      <c r="E719" s="5" t="s">
        <v>54</v>
      </c>
      <c r="F719" s="5" t="s">
        <v>55</v>
      </c>
      <c r="G719" s="5" t="s">
        <v>28</v>
      </c>
      <c r="H719" s="5" t="s">
        <v>29</v>
      </c>
      <c r="I719" s="5" t="s">
        <v>30</v>
      </c>
      <c r="J719" s="5">
        <v>4419</v>
      </c>
      <c r="K719" s="7">
        <v>7525.7816828420009</v>
      </c>
      <c r="L719" s="5">
        <v>4</v>
      </c>
      <c r="M719" s="5">
        <v>0</v>
      </c>
      <c r="N719" s="8">
        <f t="shared" si="0"/>
        <v>30103.126731368004</v>
      </c>
      <c r="O719" s="5">
        <f t="shared" si="1"/>
        <v>17676</v>
      </c>
      <c r="P719" s="5">
        <f t="shared" si="2"/>
        <v>12427.126731368004</v>
      </c>
      <c r="Q719" s="5" t="s">
        <v>46</v>
      </c>
      <c r="R719" s="5" t="s">
        <v>56</v>
      </c>
      <c r="T719" s="5">
        <v>10</v>
      </c>
      <c r="U719" s="5">
        <v>1</v>
      </c>
      <c r="W719" s="5">
        <f t="shared" si="3"/>
        <v>0</v>
      </c>
    </row>
    <row r="720" spans="1:23" ht="15.75" customHeight="1" x14ac:dyDescent="0.25">
      <c r="A720" s="5" t="s">
        <v>1072</v>
      </c>
      <c r="B720" s="6">
        <v>45146</v>
      </c>
      <c r="C720" s="5" t="s">
        <v>389</v>
      </c>
      <c r="D720" s="5" t="s">
        <v>150</v>
      </c>
      <c r="E720" s="5" t="s">
        <v>60</v>
      </c>
      <c r="F720" s="5" t="s">
        <v>61</v>
      </c>
      <c r="G720" s="5" t="s">
        <v>28</v>
      </c>
      <c r="H720" s="5" t="s">
        <v>29</v>
      </c>
      <c r="I720" s="5" t="s">
        <v>30</v>
      </c>
      <c r="J720" s="5">
        <v>5824</v>
      </c>
      <c r="K720" s="7">
        <v>6028.6841627221565</v>
      </c>
      <c r="L720" s="5">
        <v>3</v>
      </c>
      <c r="M720" s="5">
        <v>15</v>
      </c>
      <c r="N720" s="8">
        <f t="shared" si="0"/>
        <v>15373.144614941497</v>
      </c>
      <c r="O720" s="5">
        <f t="shared" si="1"/>
        <v>17472</v>
      </c>
      <c r="P720" s="5">
        <f t="shared" si="2"/>
        <v>-2098.8553850585031</v>
      </c>
      <c r="Q720" s="5" t="s">
        <v>39</v>
      </c>
      <c r="R720" s="5" t="s">
        <v>56</v>
      </c>
      <c r="T720" s="5">
        <v>10</v>
      </c>
      <c r="U720" s="5">
        <v>1</v>
      </c>
      <c r="W720" s="5">
        <f t="shared" si="3"/>
        <v>0</v>
      </c>
    </row>
    <row r="721" spans="1:23" ht="15.75" customHeight="1" x14ac:dyDescent="0.25">
      <c r="A721" s="5" t="s">
        <v>1073</v>
      </c>
      <c r="B721" s="6">
        <v>45146</v>
      </c>
      <c r="C721" s="5" t="s">
        <v>79</v>
      </c>
      <c r="D721" s="5" t="s">
        <v>86</v>
      </c>
      <c r="E721" s="5" t="s">
        <v>49</v>
      </c>
      <c r="F721" s="5" t="s">
        <v>50</v>
      </c>
      <c r="G721" s="5" t="s">
        <v>92</v>
      </c>
      <c r="H721" s="5" t="s">
        <v>44</v>
      </c>
      <c r="I721" s="5" t="s">
        <v>45</v>
      </c>
      <c r="J721" s="5">
        <v>1231</v>
      </c>
      <c r="K721" s="7">
        <v>1361.3578949463117</v>
      </c>
      <c r="L721" s="5">
        <v>1</v>
      </c>
      <c r="M721" s="5">
        <v>10</v>
      </c>
      <c r="N721" s="8">
        <f t="shared" si="0"/>
        <v>1225.2221054516806</v>
      </c>
      <c r="O721" s="5">
        <f t="shared" si="1"/>
        <v>1231</v>
      </c>
      <c r="P721" s="5">
        <f t="shared" si="2"/>
        <v>-5.7778945483194093</v>
      </c>
      <c r="Q721" s="5" t="s">
        <v>39</v>
      </c>
      <c r="R721" s="5" t="s">
        <v>56</v>
      </c>
      <c r="T721" s="5">
        <v>10</v>
      </c>
      <c r="U721" s="5">
        <v>1</v>
      </c>
      <c r="W721" s="5">
        <f t="shared" si="3"/>
        <v>0</v>
      </c>
    </row>
    <row r="722" spans="1:23" ht="15.75" customHeight="1" x14ac:dyDescent="0.25">
      <c r="A722" s="5" t="s">
        <v>1074</v>
      </c>
      <c r="B722" s="6">
        <v>45146</v>
      </c>
      <c r="C722" s="5" t="s">
        <v>635</v>
      </c>
      <c r="D722" s="5" t="s">
        <v>148</v>
      </c>
      <c r="E722" s="5" t="s">
        <v>112</v>
      </c>
      <c r="F722" s="5" t="s">
        <v>113</v>
      </c>
      <c r="G722" s="5" t="s">
        <v>28</v>
      </c>
      <c r="H722" s="5" t="s">
        <v>29</v>
      </c>
      <c r="I722" s="5" t="s">
        <v>30</v>
      </c>
      <c r="J722" s="5">
        <v>6956</v>
      </c>
      <c r="K722" s="7">
        <v>10741.998581313086</v>
      </c>
      <c r="L722" s="5">
        <v>3</v>
      </c>
      <c r="M722" s="5">
        <v>5</v>
      </c>
      <c r="N722" s="8">
        <f t="shared" si="0"/>
        <v>30614.695956742296</v>
      </c>
      <c r="O722" s="5">
        <f t="shared" si="1"/>
        <v>20868</v>
      </c>
      <c r="P722" s="5">
        <f t="shared" si="2"/>
        <v>9746.6959567422964</v>
      </c>
      <c r="Q722" s="5" t="s">
        <v>46</v>
      </c>
      <c r="R722" s="5" t="s">
        <v>56</v>
      </c>
      <c r="T722" s="5">
        <v>7</v>
      </c>
      <c r="U722" s="5">
        <v>3</v>
      </c>
      <c r="W722" s="5">
        <f t="shared" si="3"/>
        <v>0</v>
      </c>
    </row>
    <row r="723" spans="1:23" ht="15.75" customHeight="1" x14ac:dyDescent="0.25">
      <c r="A723" s="5" t="s">
        <v>1075</v>
      </c>
      <c r="B723" s="6">
        <v>45146</v>
      </c>
      <c r="C723" s="5" t="s">
        <v>856</v>
      </c>
      <c r="D723" s="5" t="s">
        <v>116</v>
      </c>
      <c r="E723" s="5" t="s">
        <v>60</v>
      </c>
      <c r="F723" s="5" t="s">
        <v>61</v>
      </c>
      <c r="G723" s="5" t="s">
        <v>75</v>
      </c>
      <c r="H723" s="5" t="s">
        <v>76</v>
      </c>
      <c r="I723" s="5" t="s">
        <v>77</v>
      </c>
      <c r="J723" s="5">
        <v>1970</v>
      </c>
      <c r="K723" s="7">
        <v>2770.5466367790796</v>
      </c>
      <c r="L723" s="5">
        <v>2</v>
      </c>
      <c r="M723" s="5">
        <v>10</v>
      </c>
      <c r="N723" s="8">
        <f t="shared" si="0"/>
        <v>4986.9839462023438</v>
      </c>
      <c r="O723" s="5">
        <f t="shared" si="1"/>
        <v>3940</v>
      </c>
      <c r="P723" s="5">
        <f t="shared" si="2"/>
        <v>1046.9839462023438</v>
      </c>
      <c r="Q723" s="5" t="s">
        <v>31</v>
      </c>
      <c r="R723" s="5" t="s">
        <v>56</v>
      </c>
      <c r="T723" s="5">
        <v>7</v>
      </c>
      <c r="U723" s="5">
        <v>4</v>
      </c>
      <c r="W723" s="5">
        <f t="shared" si="3"/>
        <v>0</v>
      </c>
    </row>
    <row r="724" spans="1:23" ht="15.75" customHeight="1" x14ac:dyDescent="0.25">
      <c r="A724" s="5" t="s">
        <v>1076</v>
      </c>
      <c r="B724" s="6">
        <v>45147</v>
      </c>
      <c r="C724" s="5" t="s">
        <v>566</v>
      </c>
      <c r="D724" s="5" t="s">
        <v>86</v>
      </c>
      <c r="E724" s="5" t="s">
        <v>54</v>
      </c>
      <c r="F724" s="5" t="s">
        <v>55</v>
      </c>
      <c r="G724" s="5" t="s">
        <v>106</v>
      </c>
      <c r="H724" s="5" t="s">
        <v>98</v>
      </c>
      <c r="I724" s="5" t="s">
        <v>107</v>
      </c>
      <c r="J724" s="5">
        <v>740</v>
      </c>
      <c r="K724" s="7">
        <v>1187.104747255981</v>
      </c>
      <c r="L724" s="5">
        <v>4</v>
      </c>
      <c r="M724" s="5">
        <v>0</v>
      </c>
      <c r="N724" s="8">
        <f t="shared" si="0"/>
        <v>4748.418989023924</v>
      </c>
      <c r="O724" s="5">
        <f t="shared" si="1"/>
        <v>2960</v>
      </c>
      <c r="P724" s="5">
        <f t="shared" si="2"/>
        <v>1788.418989023924</v>
      </c>
      <c r="Q724" s="5" t="s">
        <v>46</v>
      </c>
      <c r="R724" s="5" t="s">
        <v>32</v>
      </c>
      <c r="S724" s="6">
        <v>45154</v>
      </c>
      <c r="T724" s="5">
        <v>2</v>
      </c>
      <c r="U724" s="5">
        <v>5</v>
      </c>
      <c r="V724" s="5" t="s">
        <v>33</v>
      </c>
      <c r="W724" s="5">
        <f t="shared" si="3"/>
        <v>0</v>
      </c>
    </row>
    <row r="725" spans="1:23" ht="15.75" customHeight="1" x14ac:dyDescent="0.25">
      <c r="A725" s="5" t="s">
        <v>1077</v>
      </c>
      <c r="B725" s="6">
        <v>45147</v>
      </c>
      <c r="C725" s="5" t="s">
        <v>552</v>
      </c>
      <c r="D725" s="5" t="s">
        <v>181</v>
      </c>
      <c r="E725" s="5" t="s">
        <v>49</v>
      </c>
      <c r="F725" s="5" t="s">
        <v>50</v>
      </c>
      <c r="G725" s="5" t="s">
        <v>87</v>
      </c>
      <c r="H725" s="5" t="s">
        <v>29</v>
      </c>
      <c r="I725" s="5" t="s">
        <v>88</v>
      </c>
      <c r="J725" s="5">
        <v>44603</v>
      </c>
      <c r="K725" s="7">
        <v>63066.601690467331</v>
      </c>
      <c r="L725" s="5">
        <v>1</v>
      </c>
      <c r="M725" s="5">
        <v>15</v>
      </c>
      <c r="N725" s="8">
        <f t="shared" si="0"/>
        <v>53606.611436897227</v>
      </c>
      <c r="O725" s="5">
        <f t="shared" si="1"/>
        <v>44603</v>
      </c>
      <c r="P725" s="5">
        <f t="shared" si="2"/>
        <v>9003.6114368972267</v>
      </c>
      <c r="Q725" s="5" t="s">
        <v>31</v>
      </c>
      <c r="R725" s="5" t="s">
        <v>56</v>
      </c>
      <c r="T725" s="5">
        <v>9</v>
      </c>
      <c r="U725" s="5">
        <v>1</v>
      </c>
      <c r="W725" s="5">
        <f t="shared" si="3"/>
        <v>0</v>
      </c>
    </row>
    <row r="726" spans="1:23" ht="15.75" customHeight="1" x14ac:dyDescent="0.25">
      <c r="A726" s="5" t="s">
        <v>1078</v>
      </c>
      <c r="B726" s="6">
        <v>45147</v>
      </c>
      <c r="C726" s="5" t="s">
        <v>203</v>
      </c>
      <c r="D726" s="5" t="s">
        <v>135</v>
      </c>
      <c r="E726" s="5" t="s">
        <v>54</v>
      </c>
      <c r="F726" s="5" t="s">
        <v>55</v>
      </c>
      <c r="G726" s="5" t="s">
        <v>81</v>
      </c>
      <c r="H726" s="5" t="s">
        <v>44</v>
      </c>
      <c r="I726" s="5" t="s">
        <v>82</v>
      </c>
      <c r="J726" s="5">
        <v>2496</v>
      </c>
      <c r="K726" s="7">
        <v>4462.2838957862441</v>
      </c>
      <c r="L726" s="5">
        <v>5</v>
      </c>
      <c r="M726" s="5">
        <v>15</v>
      </c>
      <c r="N726" s="8">
        <f t="shared" si="0"/>
        <v>18964.706557091537</v>
      </c>
      <c r="O726" s="5">
        <f t="shared" si="1"/>
        <v>12480</v>
      </c>
      <c r="P726" s="5">
        <f t="shared" si="2"/>
        <v>6484.7065570915365</v>
      </c>
      <c r="Q726" s="5" t="s">
        <v>39</v>
      </c>
      <c r="R726" s="5" t="s">
        <v>32</v>
      </c>
      <c r="S726" s="6">
        <v>45155</v>
      </c>
      <c r="T726" s="5">
        <v>4</v>
      </c>
      <c r="U726" s="5">
        <v>3</v>
      </c>
      <c r="V726" s="5" t="s">
        <v>33</v>
      </c>
      <c r="W726" s="5">
        <f t="shared" si="3"/>
        <v>0</v>
      </c>
    </row>
    <row r="727" spans="1:23" ht="15.75" customHeight="1" x14ac:dyDescent="0.25">
      <c r="A727" s="5" t="s">
        <v>1079</v>
      </c>
      <c r="B727" s="6">
        <v>45147</v>
      </c>
      <c r="C727" s="5" t="s">
        <v>515</v>
      </c>
      <c r="D727" s="5" t="s">
        <v>102</v>
      </c>
      <c r="E727" s="5" t="s">
        <v>54</v>
      </c>
      <c r="F727" s="5" t="s">
        <v>55</v>
      </c>
      <c r="G727" s="5" t="s">
        <v>75</v>
      </c>
      <c r="H727" s="5" t="s">
        <v>76</v>
      </c>
      <c r="I727" s="5" t="s">
        <v>77</v>
      </c>
      <c r="J727" s="5">
        <v>1929</v>
      </c>
      <c r="K727" s="7">
        <v>2784.7694633085557</v>
      </c>
      <c r="L727" s="5">
        <v>5</v>
      </c>
      <c r="M727" s="5">
        <v>20</v>
      </c>
      <c r="N727" s="8">
        <f t="shared" si="0"/>
        <v>11139.077853234223</v>
      </c>
      <c r="O727" s="5">
        <f t="shared" si="1"/>
        <v>9645</v>
      </c>
      <c r="P727" s="5">
        <f t="shared" si="2"/>
        <v>1494.0778532342229</v>
      </c>
      <c r="Q727" s="5" t="s">
        <v>46</v>
      </c>
      <c r="R727" s="5" t="s">
        <v>56</v>
      </c>
      <c r="T727" s="5">
        <v>10</v>
      </c>
      <c r="U727" s="5">
        <v>1</v>
      </c>
      <c r="W727" s="5">
        <f t="shared" si="3"/>
        <v>0</v>
      </c>
    </row>
    <row r="728" spans="1:23" ht="15.75" customHeight="1" x14ac:dyDescent="0.25">
      <c r="A728" s="5" t="s">
        <v>1080</v>
      </c>
      <c r="B728" s="6">
        <v>45147</v>
      </c>
      <c r="C728" s="5" t="s">
        <v>711</v>
      </c>
      <c r="D728" s="5" t="s">
        <v>42</v>
      </c>
      <c r="E728" s="5" t="s">
        <v>60</v>
      </c>
      <c r="F728" s="5" t="s">
        <v>61</v>
      </c>
      <c r="G728" s="5" t="s">
        <v>70</v>
      </c>
      <c r="H728" s="5" t="s">
        <v>44</v>
      </c>
      <c r="I728" s="5" t="s">
        <v>71</v>
      </c>
      <c r="J728" s="5">
        <v>1414</v>
      </c>
      <c r="K728" s="7">
        <v>2512.3388431574449</v>
      </c>
      <c r="L728" s="5">
        <v>4</v>
      </c>
      <c r="M728" s="5">
        <v>0</v>
      </c>
      <c r="N728" s="8">
        <f t="shared" si="0"/>
        <v>10049.35537262978</v>
      </c>
      <c r="O728" s="5">
        <f t="shared" si="1"/>
        <v>5656</v>
      </c>
      <c r="P728" s="5">
        <f t="shared" si="2"/>
        <v>4393.3553726297796</v>
      </c>
      <c r="Q728" s="5" t="s">
        <v>46</v>
      </c>
      <c r="R728" s="5" t="s">
        <v>32</v>
      </c>
      <c r="S728" s="6">
        <v>45154</v>
      </c>
      <c r="T728" s="5">
        <v>2</v>
      </c>
      <c r="U728" s="5">
        <v>4</v>
      </c>
      <c r="V728" s="5" t="s">
        <v>33</v>
      </c>
      <c r="W728" s="5">
        <f t="shared" si="3"/>
        <v>0</v>
      </c>
    </row>
    <row r="729" spans="1:23" ht="15.75" customHeight="1" x14ac:dyDescent="0.25">
      <c r="A729" s="5" t="s">
        <v>1081</v>
      </c>
      <c r="B729" s="6">
        <v>45148</v>
      </c>
      <c r="C729" s="5" t="s">
        <v>593</v>
      </c>
      <c r="D729" s="5" t="s">
        <v>188</v>
      </c>
      <c r="E729" s="5" t="s">
        <v>112</v>
      </c>
      <c r="F729" s="5" t="s">
        <v>113</v>
      </c>
      <c r="G729" s="5" t="s">
        <v>106</v>
      </c>
      <c r="H729" s="5" t="s">
        <v>98</v>
      </c>
      <c r="I729" s="5" t="s">
        <v>107</v>
      </c>
      <c r="J729" s="5">
        <v>708</v>
      </c>
      <c r="K729" s="7">
        <v>1178.685762256099</v>
      </c>
      <c r="L729" s="5">
        <v>2</v>
      </c>
      <c r="M729" s="5">
        <v>10</v>
      </c>
      <c r="N729" s="8">
        <f t="shared" si="0"/>
        <v>2121.6343720609784</v>
      </c>
      <c r="O729" s="5">
        <f t="shared" si="1"/>
        <v>1416</v>
      </c>
      <c r="P729" s="5">
        <f t="shared" si="2"/>
        <v>705.63437206097842</v>
      </c>
      <c r="Q729" s="5" t="s">
        <v>46</v>
      </c>
      <c r="R729" s="5" t="s">
        <v>56</v>
      </c>
      <c r="T729" s="5">
        <v>8</v>
      </c>
      <c r="U729" s="5">
        <v>3</v>
      </c>
      <c r="W729" s="5">
        <f t="shared" si="3"/>
        <v>0</v>
      </c>
    </row>
    <row r="730" spans="1:23" ht="15.75" customHeight="1" x14ac:dyDescent="0.25">
      <c r="A730" s="5" t="s">
        <v>1082</v>
      </c>
      <c r="B730" s="6">
        <v>45149</v>
      </c>
      <c r="C730" s="5" t="s">
        <v>373</v>
      </c>
      <c r="D730" s="5" t="s">
        <v>102</v>
      </c>
      <c r="E730" s="5" t="s">
        <v>60</v>
      </c>
      <c r="F730" s="5" t="s">
        <v>61</v>
      </c>
      <c r="G730" s="5" t="s">
        <v>81</v>
      </c>
      <c r="H730" s="5" t="s">
        <v>44</v>
      </c>
      <c r="I730" s="5" t="s">
        <v>82</v>
      </c>
      <c r="J730" s="5">
        <v>2517</v>
      </c>
      <c r="K730" s="7">
        <v>2833.4200461865494</v>
      </c>
      <c r="L730" s="5">
        <v>4</v>
      </c>
      <c r="M730" s="5">
        <v>15</v>
      </c>
      <c r="N730" s="8">
        <f t="shared" si="0"/>
        <v>9633.6281570342671</v>
      </c>
      <c r="O730" s="5">
        <f t="shared" si="1"/>
        <v>10068</v>
      </c>
      <c r="P730" s="5">
        <f t="shared" si="2"/>
        <v>-434.37184296573287</v>
      </c>
      <c r="Q730" s="5" t="s">
        <v>46</v>
      </c>
      <c r="R730" s="5" t="s">
        <v>32</v>
      </c>
      <c r="S730" s="6">
        <v>45158</v>
      </c>
      <c r="T730" s="5">
        <v>3</v>
      </c>
      <c r="U730" s="5">
        <v>3</v>
      </c>
      <c r="V730" s="5" t="s">
        <v>33</v>
      </c>
      <c r="W730" s="5">
        <f t="shared" si="3"/>
        <v>0</v>
      </c>
    </row>
    <row r="731" spans="1:23" ht="15.75" customHeight="1" x14ac:dyDescent="0.25">
      <c r="A731" s="5" t="s">
        <v>1083</v>
      </c>
      <c r="B731" s="6">
        <v>45150</v>
      </c>
      <c r="C731" s="5" t="s">
        <v>1084</v>
      </c>
      <c r="D731" s="5" t="s">
        <v>138</v>
      </c>
      <c r="E731" s="5" t="s">
        <v>37</v>
      </c>
      <c r="F731" s="5" t="s">
        <v>38</v>
      </c>
      <c r="G731" s="5" t="s">
        <v>87</v>
      </c>
      <c r="H731" s="5" t="s">
        <v>29</v>
      </c>
      <c r="I731" s="5" t="s">
        <v>88</v>
      </c>
      <c r="J731" s="5">
        <v>45092</v>
      </c>
      <c r="K731" s="7">
        <v>70968.389577689406</v>
      </c>
      <c r="L731" s="5">
        <v>3</v>
      </c>
      <c r="M731" s="5">
        <v>10</v>
      </c>
      <c r="N731" s="8">
        <f t="shared" si="0"/>
        <v>191614.65185976139</v>
      </c>
      <c r="O731" s="5">
        <f t="shared" si="1"/>
        <v>135276</v>
      </c>
      <c r="P731" s="5">
        <f t="shared" si="2"/>
        <v>56338.65185976139</v>
      </c>
      <c r="Q731" s="5" t="s">
        <v>39</v>
      </c>
      <c r="R731" s="5" t="s">
        <v>32</v>
      </c>
      <c r="S731" s="6">
        <v>45156</v>
      </c>
      <c r="T731" s="5">
        <v>2</v>
      </c>
      <c r="U731" s="5">
        <v>5</v>
      </c>
      <c r="V731" s="5" t="s">
        <v>33</v>
      </c>
      <c r="W731" s="5">
        <f t="shared" si="3"/>
        <v>0</v>
      </c>
    </row>
    <row r="732" spans="1:23" ht="15.75" customHeight="1" x14ac:dyDescent="0.25">
      <c r="A732" s="5" t="s">
        <v>1085</v>
      </c>
      <c r="B732" s="6">
        <v>45150</v>
      </c>
      <c r="C732" s="5" t="s">
        <v>704</v>
      </c>
      <c r="D732" s="5" t="s">
        <v>181</v>
      </c>
      <c r="E732" s="5" t="s">
        <v>54</v>
      </c>
      <c r="F732" s="5" t="s">
        <v>55</v>
      </c>
      <c r="G732" s="5" t="s">
        <v>119</v>
      </c>
      <c r="H732" s="5" t="s">
        <v>76</v>
      </c>
      <c r="I732" s="5" t="s">
        <v>120</v>
      </c>
      <c r="J732" s="5">
        <v>75234</v>
      </c>
      <c r="K732" s="7">
        <v>132339.71091681006</v>
      </c>
      <c r="L732" s="5">
        <v>4</v>
      </c>
      <c r="M732" s="5">
        <v>5</v>
      </c>
      <c r="N732" s="8">
        <f t="shared" si="0"/>
        <v>502890.9014838782</v>
      </c>
      <c r="O732" s="5">
        <f t="shared" si="1"/>
        <v>300936</v>
      </c>
      <c r="P732" s="5">
        <f t="shared" si="2"/>
        <v>201954.9014838782</v>
      </c>
      <c r="Q732" s="5" t="s">
        <v>83</v>
      </c>
      <c r="R732" s="5" t="s">
        <v>32</v>
      </c>
      <c r="S732" s="6">
        <v>45162</v>
      </c>
      <c r="T732" s="5">
        <v>5</v>
      </c>
      <c r="U732" s="5">
        <v>2</v>
      </c>
      <c r="V732" s="5" t="s">
        <v>33</v>
      </c>
      <c r="W732" s="5">
        <f t="shared" si="3"/>
        <v>0</v>
      </c>
    </row>
    <row r="733" spans="1:23" ht="15.75" customHeight="1" x14ac:dyDescent="0.25">
      <c r="A733" s="5" t="s">
        <v>1086</v>
      </c>
      <c r="B733" s="6">
        <v>45150</v>
      </c>
      <c r="C733" s="5" t="s">
        <v>1087</v>
      </c>
      <c r="D733" s="5" t="s">
        <v>116</v>
      </c>
      <c r="E733" s="5" t="s">
        <v>60</v>
      </c>
      <c r="F733" s="5" t="s">
        <v>61</v>
      </c>
      <c r="G733" s="5" t="s">
        <v>70</v>
      </c>
      <c r="H733" s="5" t="s">
        <v>44</v>
      </c>
      <c r="I733" s="5" t="s">
        <v>71</v>
      </c>
      <c r="J733" s="5">
        <v>1904</v>
      </c>
      <c r="K733" s="7">
        <v>2360.1275908594566</v>
      </c>
      <c r="L733" s="5">
        <v>4</v>
      </c>
      <c r="M733" s="5">
        <v>0</v>
      </c>
      <c r="N733" s="8">
        <f t="shared" si="0"/>
        <v>9440.5103634378265</v>
      </c>
      <c r="O733" s="5">
        <f t="shared" si="1"/>
        <v>7616</v>
      </c>
      <c r="P733" s="5">
        <f t="shared" si="2"/>
        <v>1824.5103634378265</v>
      </c>
      <c r="Q733" s="5" t="s">
        <v>39</v>
      </c>
      <c r="R733" s="5" t="s">
        <v>32</v>
      </c>
      <c r="S733" s="6">
        <v>45154</v>
      </c>
      <c r="T733" s="5">
        <v>1</v>
      </c>
      <c r="U733" s="5">
        <v>5</v>
      </c>
      <c r="V733" s="5" t="s">
        <v>33</v>
      </c>
      <c r="W733" s="5">
        <f t="shared" si="3"/>
        <v>0</v>
      </c>
    </row>
    <row r="734" spans="1:23" ht="15.75" customHeight="1" x14ac:dyDescent="0.25">
      <c r="A734" s="5" t="s">
        <v>1088</v>
      </c>
      <c r="B734" s="6">
        <v>45151</v>
      </c>
      <c r="C734" s="5" t="s">
        <v>487</v>
      </c>
      <c r="D734" s="5" t="s">
        <v>42</v>
      </c>
      <c r="E734" s="5" t="s">
        <v>60</v>
      </c>
      <c r="F734" s="5" t="s">
        <v>61</v>
      </c>
      <c r="G734" s="5" t="s">
        <v>139</v>
      </c>
      <c r="H734" s="5" t="s">
        <v>76</v>
      </c>
      <c r="I734" s="5" t="s">
        <v>140</v>
      </c>
      <c r="J734" s="5">
        <v>38319</v>
      </c>
      <c r="K734" s="7">
        <v>50116.29018606076</v>
      </c>
      <c r="L734" s="5">
        <v>4</v>
      </c>
      <c r="M734" s="5">
        <v>15</v>
      </c>
      <c r="N734" s="8">
        <f t="shared" si="0"/>
        <v>170395.38663260659</v>
      </c>
      <c r="O734" s="5">
        <f t="shared" si="1"/>
        <v>153276</v>
      </c>
      <c r="P734" s="5">
        <f t="shared" si="2"/>
        <v>17119.386632606591</v>
      </c>
      <c r="Q734" s="5" t="s">
        <v>31</v>
      </c>
      <c r="R734" s="5" t="s">
        <v>56</v>
      </c>
      <c r="T734" s="5">
        <v>10</v>
      </c>
      <c r="U734" s="5">
        <v>1</v>
      </c>
      <c r="W734" s="5">
        <f t="shared" si="3"/>
        <v>0</v>
      </c>
    </row>
    <row r="735" spans="1:23" ht="15.75" customHeight="1" x14ac:dyDescent="0.25">
      <c r="A735" s="5" t="s">
        <v>1089</v>
      </c>
      <c r="B735" s="6">
        <v>45151</v>
      </c>
      <c r="C735" s="5" t="s">
        <v>838</v>
      </c>
      <c r="D735" s="5" t="s">
        <v>150</v>
      </c>
      <c r="E735" s="5" t="s">
        <v>112</v>
      </c>
      <c r="F735" s="5" t="s">
        <v>113</v>
      </c>
      <c r="G735" s="5" t="s">
        <v>81</v>
      </c>
      <c r="H735" s="5" t="s">
        <v>44</v>
      </c>
      <c r="I735" s="5" t="s">
        <v>82</v>
      </c>
      <c r="J735" s="5">
        <v>1087</v>
      </c>
      <c r="K735" s="7">
        <v>1495.0889948739339</v>
      </c>
      <c r="L735" s="5">
        <v>4</v>
      </c>
      <c r="M735" s="5">
        <v>15</v>
      </c>
      <c r="N735" s="8">
        <f t="shared" si="0"/>
        <v>5083.3025825713748</v>
      </c>
      <c r="O735" s="5">
        <f t="shared" si="1"/>
        <v>4348</v>
      </c>
      <c r="P735" s="5">
        <f t="shared" si="2"/>
        <v>735.30258257137484</v>
      </c>
      <c r="Q735" s="5" t="s">
        <v>83</v>
      </c>
      <c r="R735" s="5" t="s">
        <v>56</v>
      </c>
      <c r="T735" s="5">
        <v>8</v>
      </c>
      <c r="U735" s="5">
        <v>3</v>
      </c>
      <c r="W735" s="5">
        <f t="shared" si="3"/>
        <v>0</v>
      </c>
    </row>
    <row r="736" spans="1:23" ht="15.75" customHeight="1" x14ac:dyDescent="0.25">
      <c r="A736" s="5" t="s">
        <v>1090</v>
      </c>
      <c r="B736" s="6">
        <v>45151</v>
      </c>
      <c r="C736" s="5" t="s">
        <v>642</v>
      </c>
      <c r="D736" s="5" t="s">
        <v>86</v>
      </c>
      <c r="E736" s="5" t="s">
        <v>112</v>
      </c>
      <c r="F736" s="5" t="s">
        <v>113</v>
      </c>
      <c r="G736" s="5" t="s">
        <v>28</v>
      </c>
      <c r="H736" s="5" t="s">
        <v>29</v>
      </c>
      <c r="I736" s="5" t="s">
        <v>30</v>
      </c>
      <c r="J736" s="5">
        <v>3307</v>
      </c>
      <c r="K736" s="7">
        <v>5601.4056548108147</v>
      </c>
      <c r="L736" s="5">
        <v>5</v>
      </c>
      <c r="M736" s="5">
        <v>0</v>
      </c>
      <c r="N736" s="8">
        <f t="shared" si="0"/>
        <v>28007.028274054072</v>
      </c>
      <c r="O736" s="5">
        <f t="shared" si="1"/>
        <v>16535</v>
      </c>
      <c r="P736" s="5">
        <f t="shared" si="2"/>
        <v>11472.028274054072</v>
      </c>
      <c r="Q736" s="5" t="s">
        <v>39</v>
      </c>
      <c r="R736" s="5" t="s">
        <v>56</v>
      </c>
      <c r="T736" s="5">
        <v>8</v>
      </c>
      <c r="U736" s="5">
        <v>2</v>
      </c>
      <c r="W736" s="5">
        <f t="shared" si="3"/>
        <v>0</v>
      </c>
    </row>
    <row r="737" spans="1:23" ht="15.75" customHeight="1" x14ac:dyDescent="0.25">
      <c r="A737" s="5" t="s">
        <v>1091</v>
      </c>
      <c r="B737" s="6">
        <v>45151</v>
      </c>
      <c r="C737" s="5" t="s">
        <v>248</v>
      </c>
      <c r="D737" s="5" t="s">
        <v>105</v>
      </c>
      <c r="E737" s="5" t="s">
        <v>26</v>
      </c>
      <c r="F737" s="5" t="s">
        <v>27</v>
      </c>
      <c r="G737" s="5" t="s">
        <v>75</v>
      </c>
      <c r="H737" s="5" t="s">
        <v>76</v>
      </c>
      <c r="I737" s="5" t="s">
        <v>77</v>
      </c>
      <c r="J737" s="5">
        <v>1045</v>
      </c>
      <c r="K737" s="7">
        <v>1093.8433991308286</v>
      </c>
      <c r="L737" s="5">
        <v>1</v>
      </c>
      <c r="M737" s="5">
        <v>20</v>
      </c>
      <c r="N737" s="8">
        <f t="shared" si="0"/>
        <v>875.07471930466295</v>
      </c>
      <c r="O737" s="5">
        <f t="shared" si="1"/>
        <v>1045</v>
      </c>
      <c r="P737" s="5">
        <f t="shared" si="2"/>
        <v>-169.92528069533705</v>
      </c>
      <c r="Q737" s="5" t="s">
        <v>39</v>
      </c>
      <c r="R737" s="5" t="s">
        <v>32</v>
      </c>
      <c r="S737" s="6">
        <v>45165</v>
      </c>
      <c r="T737" s="5">
        <v>7</v>
      </c>
      <c r="U737" s="5">
        <v>2</v>
      </c>
      <c r="V737" s="5" t="s">
        <v>33</v>
      </c>
      <c r="W737" s="5">
        <f t="shared" si="3"/>
        <v>0</v>
      </c>
    </row>
    <row r="738" spans="1:23" ht="15.75" customHeight="1" x14ac:dyDescent="0.25">
      <c r="A738" s="5" t="s">
        <v>1092</v>
      </c>
      <c r="B738" s="6">
        <v>45151</v>
      </c>
      <c r="C738" s="5" t="s">
        <v>808</v>
      </c>
      <c r="D738" s="5" t="s">
        <v>74</v>
      </c>
      <c r="E738" s="5" t="s">
        <v>49</v>
      </c>
      <c r="F738" s="5" t="s">
        <v>50</v>
      </c>
      <c r="G738" s="5" t="s">
        <v>87</v>
      </c>
      <c r="H738" s="5" t="s">
        <v>29</v>
      </c>
      <c r="I738" s="5" t="s">
        <v>88</v>
      </c>
      <c r="J738" s="5">
        <v>59952</v>
      </c>
      <c r="K738" s="7">
        <v>75841.446135142658</v>
      </c>
      <c r="L738" s="5">
        <v>1</v>
      </c>
      <c r="M738" s="5">
        <v>10</v>
      </c>
      <c r="N738" s="8">
        <f t="shared" si="0"/>
        <v>68257.301521628397</v>
      </c>
      <c r="O738" s="5">
        <f t="shared" si="1"/>
        <v>59952</v>
      </c>
      <c r="P738" s="5">
        <f t="shared" si="2"/>
        <v>8305.3015216283966</v>
      </c>
      <c r="Q738" s="5" t="s">
        <v>39</v>
      </c>
      <c r="R738" s="5" t="s">
        <v>56</v>
      </c>
      <c r="T738" s="5">
        <v>8</v>
      </c>
      <c r="U738" s="5">
        <v>4</v>
      </c>
      <c r="W738" s="5">
        <f t="shared" si="3"/>
        <v>0</v>
      </c>
    </row>
    <row r="739" spans="1:23" ht="15.75" customHeight="1" x14ac:dyDescent="0.25">
      <c r="A739" s="5" t="s">
        <v>1093</v>
      </c>
      <c r="B739" s="6">
        <v>45151</v>
      </c>
      <c r="C739" s="5" t="s">
        <v>862</v>
      </c>
      <c r="D739" s="5" t="s">
        <v>188</v>
      </c>
      <c r="E739" s="5" t="s">
        <v>112</v>
      </c>
      <c r="F739" s="5" t="s">
        <v>113</v>
      </c>
      <c r="G739" s="5" t="s">
        <v>139</v>
      </c>
      <c r="H739" s="5" t="s">
        <v>76</v>
      </c>
      <c r="I739" s="5" t="s">
        <v>140</v>
      </c>
      <c r="J739" s="5">
        <v>38865</v>
      </c>
      <c r="K739" s="7">
        <v>42726.623947236927</v>
      </c>
      <c r="L739" s="5">
        <v>4</v>
      </c>
      <c r="M739" s="5">
        <v>15</v>
      </c>
      <c r="N739" s="8">
        <f t="shared" si="0"/>
        <v>145270.52142060554</v>
      </c>
      <c r="O739" s="5">
        <f t="shared" si="1"/>
        <v>155460</v>
      </c>
      <c r="P739" s="5">
        <f t="shared" si="2"/>
        <v>-10189.478579394461</v>
      </c>
      <c r="Q739" s="5" t="s">
        <v>46</v>
      </c>
      <c r="R739" s="5" t="s">
        <v>56</v>
      </c>
      <c r="T739" s="5">
        <v>10</v>
      </c>
      <c r="U739" s="5">
        <v>1</v>
      </c>
      <c r="W739" s="5">
        <f t="shared" si="3"/>
        <v>0</v>
      </c>
    </row>
    <row r="740" spans="1:23" ht="15.75" customHeight="1" x14ac:dyDescent="0.25">
      <c r="A740" s="5" t="s">
        <v>1094</v>
      </c>
      <c r="B740" s="6">
        <v>45152</v>
      </c>
      <c r="C740" s="5" t="s">
        <v>589</v>
      </c>
      <c r="D740" s="5" t="s">
        <v>53</v>
      </c>
      <c r="E740" s="5" t="s">
        <v>60</v>
      </c>
      <c r="F740" s="5" t="s">
        <v>61</v>
      </c>
      <c r="G740" s="5" t="s">
        <v>124</v>
      </c>
      <c r="H740" s="5" t="s">
        <v>76</v>
      </c>
      <c r="I740" s="5" t="s">
        <v>125</v>
      </c>
      <c r="J740" s="5">
        <v>54910</v>
      </c>
      <c r="K740" s="7">
        <v>95755.652235471658</v>
      </c>
      <c r="L740" s="5">
        <v>4</v>
      </c>
      <c r="M740" s="5">
        <v>10</v>
      </c>
      <c r="N740" s="8">
        <f t="shared" si="0"/>
        <v>344720.34804769797</v>
      </c>
      <c r="O740" s="5">
        <f t="shared" si="1"/>
        <v>219640</v>
      </c>
      <c r="P740" s="5">
        <f t="shared" si="2"/>
        <v>125080.34804769797</v>
      </c>
      <c r="Q740" s="5" t="s">
        <v>31</v>
      </c>
      <c r="R740" s="5" t="s">
        <v>56</v>
      </c>
      <c r="T740" s="5">
        <v>7</v>
      </c>
      <c r="U740" s="5">
        <v>2</v>
      </c>
      <c r="W740" s="5">
        <f t="shared" si="3"/>
        <v>0</v>
      </c>
    </row>
    <row r="741" spans="1:23" ht="15.75" customHeight="1" x14ac:dyDescent="0.25">
      <c r="A741" s="5" t="s">
        <v>1095</v>
      </c>
      <c r="B741" s="6">
        <v>45152</v>
      </c>
      <c r="C741" s="5" t="s">
        <v>172</v>
      </c>
      <c r="D741" s="5" t="s">
        <v>53</v>
      </c>
      <c r="E741" s="5" t="s">
        <v>54</v>
      </c>
      <c r="F741" s="5" t="s">
        <v>55</v>
      </c>
      <c r="G741" s="5" t="s">
        <v>28</v>
      </c>
      <c r="H741" s="5" t="s">
        <v>29</v>
      </c>
      <c r="I741" s="5" t="s">
        <v>30</v>
      </c>
      <c r="J741" s="5">
        <v>4590</v>
      </c>
      <c r="K741" s="7">
        <v>6377.595515654375</v>
      </c>
      <c r="L741" s="5">
        <v>2</v>
      </c>
      <c r="M741" s="5">
        <v>10</v>
      </c>
      <c r="N741" s="8">
        <f t="shared" si="0"/>
        <v>11479.671928177875</v>
      </c>
      <c r="O741" s="5">
        <f t="shared" si="1"/>
        <v>9180</v>
      </c>
      <c r="P741" s="5">
        <f t="shared" si="2"/>
        <v>2299.6719281778751</v>
      </c>
      <c r="Q741" s="5" t="s">
        <v>39</v>
      </c>
      <c r="R741" s="5" t="s">
        <v>56</v>
      </c>
      <c r="T741" s="5">
        <v>9</v>
      </c>
      <c r="U741" s="5">
        <v>1</v>
      </c>
      <c r="W741" s="5">
        <f t="shared" si="3"/>
        <v>0</v>
      </c>
    </row>
    <row r="742" spans="1:23" ht="15.75" customHeight="1" x14ac:dyDescent="0.25">
      <c r="A742" s="5" t="s">
        <v>1096</v>
      </c>
      <c r="B742" s="6">
        <v>45152</v>
      </c>
      <c r="C742" s="5" t="s">
        <v>635</v>
      </c>
      <c r="D742" s="5" t="s">
        <v>64</v>
      </c>
      <c r="E742" s="5" t="s">
        <v>54</v>
      </c>
      <c r="F742" s="5" t="s">
        <v>55</v>
      </c>
      <c r="G742" s="5" t="s">
        <v>106</v>
      </c>
      <c r="H742" s="5" t="s">
        <v>98</v>
      </c>
      <c r="I742" s="5" t="s">
        <v>107</v>
      </c>
      <c r="J742" s="5">
        <v>854</v>
      </c>
      <c r="K742" s="7">
        <v>1385.8533587618515</v>
      </c>
      <c r="L742" s="5">
        <v>3</v>
      </c>
      <c r="M742" s="5">
        <v>15</v>
      </c>
      <c r="N742" s="8">
        <f t="shared" si="0"/>
        <v>3533.9260648427212</v>
      </c>
      <c r="O742" s="5">
        <f t="shared" si="1"/>
        <v>2562</v>
      </c>
      <c r="P742" s="5">
        <f t="shared" si="2"/>
        <v>971.92606484272119</v>
      </c>
      <c r="Q742" s="5" t="s">
        <v>46</v>
      </c>
      <c r="R742" s="5" t="s">
        <v>32</v>
      </c>
      <c r="S742" s="6">
        <v>45166</v>
      </c>
      <c r="T742" s="5">
        <v>7</v>
      </c>
      <c r="U742" s="5">
        <v>2</v>
      </c>
      <c r="V742" s="5" t="s">
        <v>33</v>
      </c>
      <c r="W742" s="5">
        <f t="shared" si="3"/>
        <v>0</v>
      </c>
    </row>
    <row r="743" spans="1:23" ht="15.75" customHeight="1" x14ac:dyDescent="0.25">
      <c r="A743" s="5" t="s">
        <v>1097</v>
      </c>
      <c r="B743" s="6">
        <v>45153</v>
      </c>
      <c r="C743" s="5" t="s">
        <v>452</v>
      </c>
      <c r="D743" s="5" t="s">
        <v>36</v>
      </c>
      <c r="E743" s="5" t="s">
        <v>37</v>
      </c>
      <c r="F743" s="5" t="s">
        <v>38</v>
      </c>
      <c r="G743" s="5" t="s">
        <v>139</v>
      </c>
      <c r="H743" s="5" t="s">
        <v>76</v>
      </c>
      <c r="I743" s="5" t="s">
        <v>140</v>
      </c>
      <c r="J743" s="5">
        <v>46484</v>
      </c>
      <c r="K743" s="7">
        <v>65074.020071084735</v>
      </c>
      <c r="L743" s="5">
        <v>1</v>
      </c>
      <c r="M743" s="5">
        <v>20</v>
      </c>
      <c r="N743" s="8">
        <f t="shared" si="0"/>
        <v>52059.216056867794</v>
      </c>
      <c r="O743" s="5">
        <f t="shared" si="1"/>
        <v>46484</v>
      </c>
      <c r="P743" s="5">
        <f t="shared" si="2"/>
        <v>5575.2160568677937</v>
      </c>
      <c r="Q743" s="5" t="s">
        <v>83</v>
      </c>
      <c r="R743" s="5" t="s">
        <v>56</v>
      </c>
      <c r="T743" s="5">
        <v>8</v>
      </c>
      <c r="U743" s="5">
        <v>3</v>
      </c>
      <c r="W743" s="5">
        <f t="shared" si="3"/>
        <v>0</v>
      </c>
    </row>
    <row r="744" spans="1:23" ht="15.75" customHeight="1" x14ac:dyDescent="0.25">
      <c r="A744" s="5" t="s">
        <v>1098</v>
      </c>
      <c r="B744" s="6">
        <v>45153</v>
      </c>
      <c r="C744" s="5" t="s">
        <v>609</v>
      </c>
      <c r="D744" s="5" t="s">
        <v>181</v>
      </c>
      <c r="E744" s="5" t="s">
        <v>54</v>
      </c>
      <c r="F744" s="5" t="s">
        <v>55</v>
      </c>
      <c r="G744" s="5" t="s">
        <v>87</v>
      </c>
      <c r="H744" s="5" t="s">
        <v>29</v>
      </c>
      <c r="I744" s="5" t="s">
        <v>88</v>
      </c>
      <c r="J744" s="5">
        <v>38637</v>
      </c>
      <c r="K744" s="7">
        <v>59163.387074226113</v>
      </c>
      <c r="L744" s="5">
        <v>5</v>
      </c>
      <c r="M744" s="5">
        <v>10</v>
      </c>
      <c r="N744" s="8">
        <f t="shared" si="0"/>
        <v>266235.24183401756</v>
      </c>
      <c r="O744" s="5">
        <f t="shared" si="1"/>
        <v>193185</v>
      </c>
      <c r="P744" s="5">
        <f t="shared" si="2"/>
        <v>73050.241834017565</v>
      </c>
      <c r="Q744" s="5" t="s">
        <v>46</v>
      </c>
      <c r="R744" s="5" t="s">
        <v>32</v>
      </c>
      <c r="S744" s="6">
        <v>45165</v>
      </c>
      <c r="T744" s="5">
        <v>6</v>
      </c>
      <c r="U744" s="5">
        <v>4</v>
      </c>
      <c r="V744" s="5" t="s">
        <v>89</v>
      </c>
      <c r="W744" s="5">
        <f t="shared" si="3"/>
        <v>1</v>
      </c>
    </row>
    <row r="745" spans="1:23" ht="15.75" customHeight="1" x14ac:dyDescent="0.25">
      <c r="A745" s="5" t="s">
        <v>1099</v>
      </c>
      <c r="B745" s="6">
        <v>45153</v>
      </c>
      <c r="C745" s="5" t="s">
        <v>739</v>
      </c>
      <c r="D745" s="5" t="s">
        <v>138</v>
      </c>
      <c r="E745" s="5" t="s">
        <v>69</v>
      </c>
      <c r="F745" s="5" t="s">
        <v>55</v>
      </c>
      <c r="G745" s="5" t="s">
        <v>81</v>
      </c>
      <c r="H745" s="5" t="s">
        <v>44</v>
      </c>
      <c r="I745" s="5" t="s">
        <v>82</v>
      </c>
      <c r="J745" s="5">
        <v>1848</v>
      </c>
      <c r="K745" s="7">
        <v>1964.5136851188374</v>
      </c>
      <c r="L745" s="5">
        <v>2</v>
      </c>
      <c r="M745" s="5">
        <v>5</v>
      </c>
      <c r="N745" s="8">
        <f t="shared" si="0"/>
        <v>3732.5760017257908</v>
      </c>
      <c r="O745" s="5">
        <f t="shared" si="1"/>
        <v>3696</v>
      </c>
      <c r="P745" s="5">
        <f t="shared" si="2"/>
        <v>36.576001725790775</v>
      </c>
      <c r="Q745" s="5" t="s">
        <v>46</v>
      </c>
      <c r="R745" s="5" t="s">
        <v>32</v>
      </c>
      <c r="S745" s="6">
        <v>45159</v>
      </c>
      <c r="T745" s="5">
        <v>1</v>
      </c>
      <c r="U745" s="5">
        <v>4</v>
      </c>
      <c r="V745" s="5" t="s">
        <v>33</v>
      </c>
      <c r="W745" s="5">
        <f t="shared" si="3"/>
        <v>0</v>
      </c>
    </row>
    <row r="746" spans="1:23" ht="15.75" customHeight="1" x14ac:dyDescent="0.25">
      <c r="A746" s="5" t="s">
        <v>1100</v>
      </c>
      <c r="B746" s="6">
        <v>45153</v>
      </c>
      <c r="C746" s="5" t="s">
        <v>366</v>
      </c>
      <c r="D746" s="5" t="s">
        <v>53</v>
      </c>
      <c r="E746" s="5" t="s">
        <v>37</v>
      </c>
      <c r="F746" s="5" t="s">
        <v>38</v>
      </c>
      <c r="G746" s="5" t="s">
        <v>43</v>
      </c>
      <c r="H746" s="5" t="s">
        <v>44</v>
      </c>
      <c r="I746" s="5" t="s">
        <v>45</v>
      </c>
      <c r="J746" s="5">
        <v>201</v>
      </c>
      <c r="K746" s="7">
        <v>257.58689638069006</v>
      </c>
      <c r="L746" s="5">
        <v>1</v>
      </c>
      <c r="M746" s="5">
        <v>20</v>
      </c>
      <c r="N746" s="8">
        <f t="shared" si="0"/>
        <v>206.06951710455206</v>
      </c>
      <c r="O746" s="5">
        <f t="shared" si="1"/>
        <v>201</v>
      </c>
      <c r="P746" s="5">
        <f t="shared" si="2"/>
        <v>5.0695171045520624</v>
      </c>
      <c r="Q746" s="5" t="s">
        <v>39</v>
      </c>
      <c r="R746" s="5" t="s">
        <v>56</v>
      </c>
      <c r="T746" s="5">
        <v>8</v>
      </c>
      <c r="U746" s="5">
        <v>4</v>
      </c>
      <c r="W746" s="5">
        <f t="shared" si="3"/>
        <v>0</v>
      </c>
    </row>
    <row r="747" spans="1:23" ht="15.75" customHeight="1" x14ac:dyDescent="0.25">
      <c r="A747" s="5" t="s">
        <v>1101</v>
      </c>
      <c r="B747" s="6">
        <v>45153</v>
      </c>
      <c r="C747" s="5" t="s">
        <v>400</v>
      </c>
      <c r="D747" s="5" t="s">
        <v>184</v>
      </c>
      <c r="E747" s="5" t="s">
        <v>80</v>
      </c>
      <c r="F747" s="5" t="s">
        <v>80</v>
      </c>
      <c r="G747" s="5" t="s">
        <v>92</v>
      </c>
      <c r="H747" s="5" t="s">
        <v>44</v>
      </c>
      <c r="I747" s="5" t="s">
        <v>45</v>
      </c>
      <c r="J747" s="5">
        <v>868</v>
      </c>
      <c r="K747" s="7">
        <v>1211.681228037987</v>
      </c>
      <c r="L747" s="5">
        <v>3</v>
      </c>
      <c r="M747" s="5">
        <v>10</v>
      </c>
      <c r="N747" s="8">
        <f t="shared" si="0"/>
        <v>3271.5393157025646</v>
      </c>
      <c r="O747" s="5">
        <f t="shared" si="1"/>
        <v>2604</v>
      </c>
      <c r="P747" s="5">
        <f t="shared" si="2"/>
        <v>667.53931570256464</v>
      </c>
      <c r="Q747" s="5" t="s">
        <v>31</v>
      </c>
      <c r="R747" s="5" t="s">
        <v>32</v>
      </c>
      <c r="S747" s="6">
        <v>45159</v>
      </c>
      <c r="T747" s="5">
        <v>3</v>
      </c>
      <c r="U747" s="5">
        <v>3</v>
      </c>
      <c r="V747" s="5" t="s">
        <v>33</v>
      </c>
      <c r="W747" s="5">
        <f t="shared" si="3"/>
        <v>0</v>
      </c>
    </row>
    <row r="748" spans="1:23" ht="15.75" customHeight="1" x14ac:dyDescent="0.25">
      <c r="A748" s="5" t="s">
        <v>1102</v>
      </c>
      <c r="B748" s="6">
        <v>45154</v>
      </c>
      <c r="C748" s="5" t="s">
        <v>195</v>
      </c>
      <c r="D748" s="5" t="s">
        <v>64</v>
      </c>
      <c r="E748" s="5" t="s">
        <v>49</v>
      </c>
      <c r="F748" s="5" t="s">
        <v>50</v>
      </c>
      <c r="G748" s="5" t="s">
        <v>106</v>
      </c>
      <c r="H748" s="5" t="s">
        <v>98</v>
      </c>
      <c r="I748" s="5" t="s">
        <v>107</v>
      </c>
      <c r="J748" s="5">
        <v>692</v>
      </c>
      <c r="K748" s="7">
        <v>896.65796329031321</v>
      </c>
      <c r="L748" s="5">
        <v>5</v>
      </c>
      <c r="M748" s="5">
        <v>10</v>
      </c>
      <c r="N748" s="8">
        <f t="shared" si="0"/>
        <v>4034.9608348064098</v>
      </c>
      <c r="O748" s="5">
        <f t="shared" si="1"/>
        <v>3460</v>
      </c>
      <c r="P748" s="5">
        <f t="shared" si="2"/>
        <v>574.96083480640982</v>
      </c>
      <c r="Q748" s="5" t="s">
        <v>46</v>
      </c>
      <c r="R748" s="5" t="s">
        <v>56</v>
      </c>
      <c r="T748" s="5">
        <v>7</v>
      </c>
      <c r="U748" s="5">
        <v>4</v>
      </c>
      <c r="W748" s="5">
        <f t="shared" si="3"/>
        <v>0</v>
      </c>
    </row>
    <row r="749" spans="1:23" ht="15.75" customHeight="1" x14ac:dyDescent="0.25">
      <c r="A749" s="5" t="s">
        <v>1103</v>
      </c>
      <c r="B749" s="6">
        <v>45154</v>
      </c>
      <c r="C749" s="5" t="s">
        <v>154</v>
      </c>
      <c r="D749" s="5" t="s">
        <v>208</v>
      </c>
      <c r="E749" s="5" t="s">
        <v>69</v>
      </c>
      <c r="F749" s="5" t="s">
        <v>55</v>
      </c>
      <c r="G749" s="5" t="s">
        <v>124</v>
      </c>
      <c r="H749" s="5" t="s">
        <v>76</v>
      </c>
      <c r="I749" s="5" t="s">
        <v>125</v>
      </c>
      <c r="J749" s="5">
        <v>52993</v>
      </c>
      <c r="K749" s="7">
        <v>91881.807588598327</v>
      </c>
      <c r="L749" s="5">
        <v>5</v>
      </c>
      <c r="M749" s="5">
        <v>20</v>
      </c>
      <c r="N749" s="8">
        <f t="shared" si="0"/>
        <v>367527.23035439337</v>
      </c>
      <c r="O749" s="5">
        <f t="shared" si="1"/>
        <v>264965</v>
      </c>
      <c r="P749" s="5">
        <f t="shared" si="2"/>
        <v>102562.23035439337</v>
      </c>
      <c r="Q749" s="5" t="s">
        <v>83</v>
      </c>
      <c r="R749" s="5" t="s">
        <v>56</v>
      </c>
      <c r="T749" s="5">
        <v>8</v>
      </c>
      <c r="U749" s="5">
        <v>3</v>
      </c>
      <c r="W749" s="5">
        <f t="shared" si="3"/>
        <v>0</v>
      </c>
    </row>
    <row r="750" spans="1:23" ht="15.75" customHeight="1" x14ac:dyDescent="0.25">
      <c r="A750" s="5" t="s">
        <v>1104</v>
      </c>
      <c r="B750" s="6">
        <v>45154</v>
      </c>
      <c r="C750" s="5" t="s">
        <v>96</v>
      </c>
      <c r="D750" s="5" t="s">
        <v>181</v>
      </c>
      <c r="E750" s="5" t="s">
        <v>112</v>
      </c>
      <c r="F750" s="5" t="s">
        <v>113</v>
      </c>
      <c r="G750" s="5" t="s">
        <v>81</v>
      </c>
      <c r="H750" s="5" t="s">
        <v>44</v>
      </c>
      <c r="I750" s="5" t="s">
        <v>82</v>
      </c>
      <c r="J750" s="5">
        <v>2827</v>
      </c>
      <c r="K750" s="7">
        <v>4917.6984116411268</v>
      </c>
      <c r="L750" s="5">
        <v>5</v>
      </c>
      <c r="M750" s="5">
        <v>20</v>
      </c>
      <c r="N750" s="8">
        <f t="shared" si="0"/>
        <v>19670.793646564507</v>
      </c>
      <c r="O750" s="5">
        <f t="shared" si="1"/>
        <v>14135</v>
      </c>
      <c r="P750" s="5">
        <f t="shared" si="2"/>
        <v>5535.7936465645071</v>
      </c>
      <c r="Q750" s="5" t="s">
        <v>83</v>
      </c>
      <c r="R750" s="5" t="s">
        <v>56</v>
      </c>
      <c r="T750" s="5">
        <v>8</v>
      </c>
      <c r="U750" s="5">
        <v>4</v>
      </c>
      <c r="W750" s="5">
        <f t="shared" si="3"/>
        <v>0</v>
      </c>
    </row>
    <row r="751" spans="1:23" ht="15.75" customHeight="1" x14ac:dyDescent="0.25">
      <c r="A751" s="5" t="s">
        <v>1105</v>
      </c>
      <c r="B751" s="6">
        <v>45154</v>
      </c>
      <c r="C751" s="5" t="s">
        <v>445</v>
      </c>
      <c r="D751" s="5" t="s">
        <v>181</v>
      </c>
      <c r="E751" s="5" t="s">
        <v>69</v>
      </c>
      <c r="F751" s="5" t="s">
        <v>55</v>
      </c>
      <c r="G751" s="5" t="s">
        <v>124</v>
      </c>
      <c r="H751" s="5" t="s">
        <v>76</v>
      </c>
      <c r="I751" s="5" t="s">
        <v>125</v>
      </c>
      <c r="J751" s="5">
        <v>75274</v>
      </c>
      <c r="K751" s="7">
        <v>87842.298650370285</v>
      </c>
      <c r="L751" s="5">
        <v>5</v>
      </c>
      <c r="M751" s="5">
        <v>10</v>
      </c>
      <c r="N751" s="8">
        <f t="shared" si="0"/>
        <v>395290.3439266663</v>
      </c>
      <c r="O751" s="5">
        <f t="shared" si="1"/>
        <v>376370</v>
      </c>
      <c r="P751" s="5">
        <f t="shared" si="2"/>
        <v>18920.343926666304</v>
      </c>
      <c r="Q751" s="5" t="s">
        <v>39</v>
      </c>
      <c r="R751" s="5" t="s">
        <v>32</v>
      </c>
      <c r="S751" s="6">
        <v>45163</v>
      </c>
      <c r="T751" s="5">
        <v>4</v>
      </c>
      <c r="U751" s="5">
        <v>4</v>
      </c>
      <c r="V751" s="5" t="s">
        <v>33</v>
      </c>
      <c r="W751" s="5">
        <f t="shared" si="3"/>
        <v>0</v>
      </c>
    </row>
    <row r="752" spans="1:23" ht="15.75" customHeight="1" x14ac:dyDescent="0.25">
      <c r="A752" s="5" t="s">
        <v>1106</v>
      </c>
      <c r="B752" s="6">
        <v>45154</v>
      </c>
      <c r="C752" s="5" t="s">
        <v>145</v>
      </c>
      <c r="D752" s="5" t="s">
        <v>102</v>
      </c>
      <c r="E752" s="5" t="s">
        <v>112</v>
      </c>
      <c r="F752" s="5" t="s">
        <v>113</v>
      </c>
      <c r="G752" s="5" t="s">
        <v>92</v>
      </c>
      <c r="H752" s="5" t="s">
        <v>44</v>
      </c>
      <c r="I752" s="5" t="s">
        <v>45</v>
      </c>
      <c r="J752" s="5">
        <v>1292</v>
      </c>
      <c r="K752" s="7">
        <v>1380.3634468273738</v>
      </c>
      <c r="L752" s="5">
        <v>3</v>
      </c>
      <c r="M752" s="5">
        <v>0</v>
      </c>
      <c r="N752" s="8">
        <f t="shared" si="0"/>
        <v>4141.0903404821211</v>
      </c>
      <c r="O752" s="5">
        <f t="shared" si="1"/>
        <v>3876</v>
      </c>
      <c r="P752" s="5">
        <f t="shared" si="2"/>
        <v>265.09034048212106</v>
      </c>
      <c r="Q752" s="5" t="s">
        <v>31</v>
      </c>
      <c r="R752" s="5" t="s">
        <v>32</v>
      </c>
      <c r="S752" s="6">
        <v>45165</v>
      </c>
      <c r="T752" s="5">
        <v>4</v>
      </c>
      <c r="U752" s="5">
        <v>4</v>
      </c>
      <c r="V752" s="5" t="s">
        <v>33</v>
      </c>
      <c r="W752" s="5">
        <f t="shared" si="3"/>
        <v>0</v>
      </c>
    </row>
    <row r="753" spans="1:23" ht="15.75" customHeight="1" x14ac:dyDescent="0.25">
      <c r="A753" s="5" t="s">
        <v>1107</v>
      </c>
      <c r="B753" s="6">
        <v>45154</v>
      </c>
      <c r="C753" s="5" t="s">
        <v>972</v>
      </c>
      <c r="D753" s="5" t="s">
        <v>86</v>
      </c>
      <c r="E753" s="5" t="s">
        <v>69</v>
      </c>
      <c r="F753" s="5" t="s">
        <v>55</v>
      </c>
      <c r="G753" s="5" t="s">
        <v>81</v>
      </c>
      <c r="H753" s="5" t="s">
        <v>44</v>
      </c>
      <c r="I753" s="5" t="s">
        <v>82</v>
      </c>
      <c r="J753" s="5">
        <v>1258</v>
      </c>
      <c r="K753" s="7">
        <v>2154.8382916678293</v>
      </c>
      <c r="L753" s="5">
        <v>4</v>
      </c>
      <c r="M753" s="5">
        <v>10</v>
      </c>
      <c r="N753" s="8">
        <f t="shared" si="0"/>
        <v>7757.4178500041853</v>
      </c>
      <c r="O753" s="5">
        <f t="shared" si="1"/>
        <v>5032</v>
      </c>
      <c r="P753" s="5">
        <f t="shared" si="2"/>
        <v>2725.4178500041853</v>
      </c>
      <c r="Q753" s="5" t="s">
        <v>83</v>
      </c>
      <c r="R753" s="5" t="s">
        <v>56</v>
      </c>
      <c r="T753" s="5">
        <v>8</v>
      </c>
      <c r="U753" s="5">
        <v>3</v>
      </c>
      <c r="W753" s="5">
        <f t="shared" si="3"/>
        <v>0</v>
      </c>
    </row>
    <row r="754" spans="1:23" ht="15.75" customHeight="1" x14ac:dyDescent="0.25">
      <c r="A754" s="5" t="s">
        <v>1108</v>
      </c>
      <c r="B754" s="6">
        <v>45155</v>
      </c>
      <c r="C754" s="5" t="s">
        <v>321</v>
      </c>
      <c r="D754" s="5" t="s">
        <v>116</v>
      </c>
      <c r="E754" s="5" t="s">
        <v>54</v>
      </c>
      <c r="F754" s="5" t="s">
        <v>55</v>
      </c>
      <c r="G754" s="5" t="s">
        <v>28</v>
      </c>
      <c r="H754" s="5" t="s">
        <v>29</v>
      </c>
      <c r="I754" s="5" t="s">
        <v>30</v>
      </c>
      <c r="J754" s="5">
        <v>4249</v>
      </c>
      <c r="K754" s="7">
        <v>4588.6996316412415</v>
      </c>
      <c r="L754" s="5">
        <v>3</v>
      </c>
      <c r="M754" s="5">
        <v>20</v>
      </c>
      <c r="N754" s="8">
        <f t="shared" si="0"/>
        <v>11012.87911593898</v>
      </c>
      <c r="O754" s="5">
        <f t="shared" si="1"/>
        <v>12747</v>
      </c>
      <c r="P754" s="5">
        <f t="shared" si="2"/>
        <v>-1734.1208840610198</v>
      </c>
      <c r="Q754" s="5" t="s">
        <v>31</v>
      </c>
      <c r="R754" s="5" t="s">
        <v>56</v>
      </c>
      <c r="T754" s="5">
        <v>7</v>
      </c>
      <c r="U754" s="5">
        <v>2</v>
      </c>
      <c r="W754" s="5">
        <f t="shared" si="3"/>
        <v>0</v>
      </c>
    </row>
    <row r="755" spans="1:23" ht="15.75" customHeight="1" x14ac:dyDescent="0.25">
      <c r="A755" s="5" t="s">
        <v>1109</v>
      </c>
      <c r="B755" s="6">
        <v>45155</v>
      </c>
      <c r="C755" s="5" t="s">
        <v>1110</v>
      </c>
      <c r="D755" s="5" t="s">
        <v>64</v>
      </c>
      <c r="E755" s="5" t="s">
        <v>80</v>
      </c>
      <c r="F755" s="5" t="s">
        <v>80</v>
      </c>
      <c r="G755" s="5" t="s">
        <v>43</v>
      </c>
      <c r="H755" s="5" t="s">
        <v>44</v>
      </c>
      <c r="I755" s="5" t="s">
        <v>45</v>
      </c>
      <c r="J755" s="5">
        <v>677</v>
      </c>
      <c r="K755" s="7">
        <v>855.8032514048956</v>
      </c>
      <c r="L755" s="5">
        <v>5</v>
      </c>
      <c r="M755" s="5">
        <v>5</v>
      </c>
      <c r="N755" s="8">
        <f t="shared" si="0"/>
        <v>4065.065444173254</v>
      </c>
      <c r="O755" s="5">
        <f t="shared" si="1"/>
        <v>3385</v>
      </c>
      <c r="P755" s="5">
        <f t="shared" si="2"/>
        <v>680.06544417325404</v>
      </c>
      <c r="Q755" s="5" t="s">
        <v>46</v>
      </c>
      <c r="R755" s="5" t="s">
        <v>32</v>
      </c>
      <c r="S755" s="6">
        <v>45164</v>
      </c>
      <c r="T755" s="5">
        <v>2</v>
      </c>
      <c r="U755" s="5">
        <v>4</v>
      </c>
      <c r="V755" s="5" t="s">
        <v>33</v>
      </c>
      <c r="W755" s="5">
        <f t="shared" si="3"/>
        <v>0</v>
      </c>
    </row>
    <row r="756" spans="1:23" ht="15.75" customHeight="1" x14ac:dyDescent="0.25">
      <c r="A756" s="5" t="s">
        <v>1111</v>
      </c>
      <c r="B756" s="6">
        <v>45155</v>
      </c>
      <c r="C756" s="5" t="s">
        <v>657</v>
      </c>
      <c r="D756" s="5" t="s">
        <v>64</v>
      </c>
      <c r="E756" s="5" t="s">
        <v>69</v>
      </c>
      <c r="F756" s="5" t="s">
        <v>55</v>
      </c>
      <c r="G756" s="5" t="s">
        <v>92</v>
      </c>
      <c r="H756" s="5" t="s">
        <v>44</v>
      </c>
      <c r="I756" s="5" t="s">
        <v>45</v>
      </c>
      <c r="J756" s="5">
        <v>1160</v>
      </c>
      <c r="K756" s="7">
        <v>1987.0943006379953</v>
      </c>
      <c r="L756" s="5">
        <v>5</v>
      </c>
      <c r="M756" s="5">
        <v>20</v>
      </c>
      <c r="N756" s="8">
        <f t="shared" si="0"/>
        <v>7948.3772025519811</v>
      </c>
      <c r="O756" s="5">
        <f t="shared" si="1"/>
        <v>5800</v>
      </c>
      <c r="P756" s="5">
        <f t="shared" si="2"/>
        <v>2148.3772025519811</v>
      </c>
      <c r="Q756" s="5" t="s">
        <v>39</v>
      </c>
      <c r="R756" s="5" t="s">
        <v>56</v>
      </c>
      <c r="T756" s="5">
        <v>7</v>
      </c>
      <c r="U756" s="5">
        <v>4</v>
      </c>
      <c r="W756" s="5">
        <f t="shared" si="3"/>
        <v>0</v>
      </c>
    </row>
    <row r="757" spans="1:23" ht="15.75" customHeight="1" x14ac:dyDescent="0.25">
      <c r="A757" s="5" t="s">
        <v>1112</v>
      </c>
      <c r="B757" s="6">
        <v>45155</v>
      </c>
      <c r="C757" s="5" t="s">
        <v>272</v>
      </c>
      <c r="D757" s="5" t="s">
        <v>184</v>
      </c>
      <c r="E757" s="5" t="s">
        <v>37</v>
      </c>
      <c r="F757" s="5" t="s">
        <v>38</v>
      </c>
      <c r="G757" s="5" t="s">
        <v>87</v>
      </c>
      <c r="H757" s="5" t="s">
        <v>29</v>
      </c>
      <c r="I757" s="5" t="s">
        <v>88</v>
      </c>
      <c r="J757" s="5">
        <v>24143</v>
      </c>
      <c r="K757" s="7">
        <v>27207.469412408143</v>
      </c>
      <c r="L757" s="5">
        <v>5</v>
      </c>
      <c r="M757" s="5">
        <v>15</v>
      </c>
      <c r="N757" s="8">
        <f t="shared" si="0"/>
        <v>115631.74500273459</v>
      </c>
      <c r="O757" s="5">
        <f t="shared" si="1"/>
        <v>120715</v>
      </c>
      <c r="P757" s="5">
        <f t="shared" si="2"/>
        <v>-5083.2549972654087</v>
      </c>
      <c r="Q757" s="5" t="s">
        <v>31</v>
      </c>
      <c r="R757" s="5" t="s">
        <v>56</v>
      </c>
      <c r="T757" s="5">
        <v>7</v>
      </c>
      <c r="U757" s="5">
        <v>3</v>
      </c>
      <c r="W757" s="5">
        <f t="shared" si="3"/>
        <v>0</v>
      </c>
    </row>
    <row r="758" spans="1:23" ht="15.75" customHeight="1" x14ac:dyDescent="0.25">
      <c r="A758" s="5" t="s">
        <v>1113</v>
      </c>
      <c r="B758" s="6">
        <v>45155</v>
      </c>
      <c r="C758" s="5" t="s">
        <v>385</v>
      </c>
      <c r="D758" s="5" t="s">
        <v>36</v>
      </c>
      <c r="E758" s="5" t="s">
        <v>60</v>
      </c>
      <c r="F758" s="5" t="s">
        <v>61</v>
      </c>
      <c r="G758" s="5" t="s">
        <v>106</v>
      </c>
      <c r="H758" s="5" t="s">
        <v>98</v>
      </c>
      <c r="I758" s="5" t="s">
        <v>107</v>
      </c>
      <c r="J758" s="5">
        <v>910</v>
      </c>
      <c r="K758" s="7">
        <v>1285.2431616187132</v>
      </c>
      <c r="L758" s="5">
        <v>3</v>
      </c>
      <c r="M758" s="5">
        <v>20</v>
      </c>
      <c r="N758" s="8">
        <f t="shared" si="0"/>
        <v>3084.583587884912</v>
      </c>
      <c r="O758" s="5">
        <f t="shared" si="1"/>
        <v>2730</v>
      </c>
      <c r="P758" s="5">
        <f t="shared" si="2"/>
        <v>354.58358788491205</v>
      </c>
      <c r="Q758" s="5" t="s">
        <v>39</v>
      </c>
      <c r="R758" s="5" t="s">
        <v>32</v>
      </c>
      <c r="S758" s="6">
        <v>45167</v>
      </c>
      <c r="T758" s="5">
        <v>7</v>
      </c>
      <c r="U758" s="5">
        <v>3</v>
      </c>
      <c r="V758" s="5" t="s">
        <v>33</v>
      </c>
      <c r="W758" s="5">
        <f t="shared" si="3"/>
        <v>0</v>
      </c>
    </row>
    <row r="759" spans="1:23" ht="15.75" customHeight="1" x14ac:dyDescent="0.25">
      <c r="A759" s="5" t="s">
        <v>1114</v>
      </c>
      <c r="B759" s="6">
        <v>45157</v>
      </c>
      <c r="C759" s="5" t="s">
        <v>988</v>
      </c>
      <c r="D759" s="5" t="s">
        <v>25</v>
      </c>
      <c r="E759" s="5" t="s">
        <v>112</v>
      </c>
      <c r="F759" s="5" t="s">
        <v>113</v>
      </c>
      <c r="G759" s="5" t="s">
        <v>75</v>
      </c>
      <c r="H759" s="5" t="s">
        <v>76</v>
      </c>
      <c r="I759" s="5" t="s">
        <v>77</v>
      </c>
      <c r="J759" s="5">
        <v>1716</v>
      </c>
      <c r="K759" s="7">
        <v>2258.9258381910554</v>
      </c>
      <c r="L759" s="5">
        <v>5</v>
      </c>
      <c r="M759" s="5">
        <v>0</v>
      </c>
      <c r="N759" s="8">
        <f t="shared" si="0"/>
        <v>11294.629190955276</v>
      </c>
      <c r="O759" s="5">
        <f t="shared" si="1"/>
        <v>8580</v>
      </c>
      <c r="P759" s="5">
        <f t="shared" si="2"/>
        <v>2714.6291909552765</v>
      </c>
      <c r="Q759" s="5" t="s">
        <v>46</v>
      </c>
      <c r="R759" s="5" t="s">
        <v>56</v>
      </c>
      <c r="T759" s="5">
        <v>10</v>
      </c>
      <c r="U759" s="5">
        <v>1</v>
      </c>
      <c r="W759" s="5">
        <f t="shared" si="3"/>
        <v>0</v>
      </c>
    </row>
    <row r="760" spans="1:23" ht="15.75" customHeight="1" x14ac:dyDescent="0.25">
      <c r="A760" s="5" t="s">
        <v>1115</v>
      </c>
      <c r="B760" s="6">
        <v>45157</v>
      </c>
      <c r="C760" s="5" t="s">
        <v>555</v>
      </c>
      <c r="D760" s="5" t="s">
        <v>135</v>
      </c>
      <c r="E760" s="5" t="s">
        <v>112</v>
      </c>
      <c r="F760" s="5" t="s">
        <v>113</v>
      </c>
      <c r="G760" s="5" t="s">
        <v>43</v>
      </c>
      <c r="H760" s="5" t="s">
        <v>44</v>
      </c>
      <c r="I760" s="5" t="s">
        <v>45</v>
      </c>
      <c r="J760" s="5">
        <v>459</v>
      </c>
      <c r="K760" s="7">
        <v>766.63901088195735</v>
      </c>
      <c r="L760" s="5">
        <v>1</v>
      </c>
      <c r="M760" s="5">
        <v>20</v>
      </c>
      <c r="N760" s="8">
        <f t="shared" si="0"/>
        <v>613.31120870556595</v>
      </c>
      <c r="O760" s="5">
        <f t="shared" si="1"/>
        <v>459</v>
      </c>
      <c r="P760" s="5">
        <f t="shared" si="2"/>
        <v>154.31120870556595</v>
      </c>
      <c r="Q760" s="5" t="s">
        <v>46</v>
      </c>
      <c r="R760" s="5" t="s">
        <v>32</v>
      </c>
      <c r="S760" s="6">
        <v>45165</v>
      </c>
      <c r="T760" s="5">
        <v>5</v>
      </c>
      <c r="U760" s="5">
        <v>3</v>
      </c>
      <c r="V760" s="5" t="s">
        <v>33</v>
      </c>
      <c r="W760" s="5">
        <f t="shared" si="3"/>
        <v>0</v>
      </c>
    </row>
    <row r="761" spans="1:23" ht="15.75" customHeight="1" x14ac:dyDescent="0.25">
      <c r="A761" s="5" t="s">
        <v>1116</v>
      </c>
      <c r="B761" s="6">
        <v>45158</v>
      </c>
      <c r="C761" s="5" t="s">
        <v>789</v>
      </c>
      <c r="D761" s="5" t="s">
        <v>36</v>
      </c>
      <c r="E761" s="5" t="s">
        <v>80</v>
      </c>
      <c r="F761" s="5" t="s">
        <v>80</v>
      </c>
      <c r="G761" s="5" t="s">
        <v>28</v>
      </c>
      <c r="H761" s="5" t="s">
        <v>29</v>
      </c>
      <c r="I761" s="5" t="s">
        <v>30</v>
      </c>
      <c r="J761" s="5">
        <v>4972</v>
      </c>
      <c r="K761" s="7">
        <v>4980.950619547476</v>
      </c>
      <c r="L761" s="5">
        <v>3</v>
      </c>
      <c r="M761" s="5">
        <v>15</v>
      </c>
      <c r="N761" s="8">
        <f t="shared" si="0"/>
        <v>12701.424079846065</v>
      </c>
      <c r="O761" s="5">
        <f t="shared" si="1"/>
        <v>14916</v>
      </c>
      <c r="P761" s="5">
        <f t="shared" si="2"/>
        <v>-2214.5759201539349</v>
      </c>
      <c r="Q761" s="5" t="s">
        <v>39</v>
      </c>
      <c r="R761" s="5" t="s">
        <v>56</v>
      </c>
      <c r="T761" s="5">
        <v>10</v>
      </c>
      <c r="U761" s="5">
        <v>1</v>
      </c>
      <c r="W761" s="5">
        <f t="shared" si="3"/>
        <v>0</v>
      </c>
    </row>
    <row r="762" spans="1:23" ht="15.75" customHeight="1" x14ac:dyDescent="0.25">
      <c r="A762" s="5" t="s">
        <v>1117</v>
      </c>
      <c r="B762" s="6">
        <v>45158</v>
      </c>
      <c r="C762" s="5" t="s">
        <v>482</v>
      </c>
      <c r="D762" s="5" t="s">
        <v>25</v>
      </c>
      <c r="E762" s="5" t="s">
        <v>112</v>
      </c>
      <c r="F762" s="5" t="s">
        <v>113</v>
      </c>
      <c r="G762" s="5" t="s">
        <v>28</v>
      </c>
      <c r="H762" s="5" t="s">
        <v>29</v>
      </c>
      <c r="I762" s="5" t="s">
        <v>30</v>
      </c>
      <c r="J762" s="5">
        <v>6963</v>
      </c>
      <c r="K762" s="7">
        <v>10127.186270812506</v>
      </c>
      <c r="L762" s="5">
        <v>2</v>
      </c>
      <c r="M762" s="5">
        <v>10</v>
      </c>
      <c r="N762" s="8">
        <f t="shared" si="0"/>
        <v>18228.935287462511</v>
      </c>
      <c r="O762" s="5">
        <f t="shared" si="1"/>
        <v>13926</v>
      </c>
      <c r="P762" s="5">
        <f t="shared" si="2"/>
        <v>4302.935287462511</v>
      </c>
      <c r="Q762" s="5" t="s">
        <v>83</v>
      </c>
      <c r="R762" s="5" t="s">
        <v>56</v>
      </c>
      <c r="T762" s="5">
        <v>7</v>
      </c>
      <c r="U762" s="5">
        <v>2</v>
      </c>
      <c r="W762" s="5">
        <f t="shared" si="3"/>
        <v>0</v>
      </c>
    </row>
    <row r="763" spans="1:23" ht="15.75" customHeight="1" x14ac:dyDescent="0.25">
      <c r="A763" s="5" t="s">
        <v>1118</v>
      </c>
      <c r="B763" s="6">
        <v>45158</v>
      </c>
      <c r="C763" s="5" t="s">
        <v>649</v>
      </c>
      <c r="D763" s="5" t="s">
        <v>208</v>
      </c>
      <c r="E763" s="5" t="s">
        <v>37</v>
      </c>
      <c r="F763" s="5" t="s">
        <v>38</v>
      </c>
      <c r="G763" s="5" t="s">
        <v>139</v>
      </c>
      <c r="H763" s="5" t="s">
        <v>76</v>
      </c>
      <c r="I763" s="5" t="s">
        <v>140</v>
      </c>
      <c r="J763" s="5">
        <v>42934</v>
      </c>
      <c r="K763" s="7">
        <v>48897.553033698568</v>
      </c>
      <c r="L763" s="5">
        <v>4</v>
      </c>
      <c r="M763" s="5">
        <v>0</v>
      </c>
      <c r="N763" s="8">
        <f t="shared" si="0"/>
        <v>195590.21213479427</v>
      </c>
      <c r="O763" s="5">
        <f t="shared" si="1"/>
        <v>171736</v>
      </c>
      <c r="P763" s="5">
        <f t="shared" si="2"/>
        <v>23854.212134794274</v>
      </c>
      <c r="Q763" s="5" t="s">
        <v>31</v>
      </c>
      <c r="R763" s="5" t="s">
        <v>32</v>
      </c>
      <c r="S763" s="6">
        <v>45171</v>
      </c>
      <c r="T763" s="5">
        <v>6</v>
      </c>
      <c r="U763" s="5">
        <v>2</v>
      </c>
      <c r="V763" s="5" t="s">
        <v>33</v>
      </c>
      <c r="W763" s="5">
        <f t="shared" si="3"/>
        <v>0</v>
      </c>
    </row>
    <row r="764" spans="1:23" ht="15.75" customHeight="1" x14ac:dyDescent="0.25">
      <c r="A764" s="5" t="s">
        <v>1119</v>
      </c>
      <c r="B764" s="6">
        <v>45159</v>
      </c>
      <c r="C764" s="5" t="s">
        <v>635</v>
      </c>
      <c r="D764" s="5" t="s">
        <v>184</v>
      </c>
      <c r="E764" s="5" t="s">
        <v>60</v>
      </c>
      <c r="F764" s="5" t="s">
        <v>61</v>
      </c>
      <c r="G764" s="5" t="s">
        <v>139</v>
      </c>
      <c r="H764" s="5" t="s">
        <v>76</v>
      </c>
      <c r="I764" s="5" t="s">
        <v>140</v>
      </c>
      <c r="J764" s="5">
        <v>49928</v>
      </c>
      <c r="K764" s="7">
        <v>62211.758237139889</v>
      </c>
      <c r="L764" s="5">
        <v>5</v>
      </c>
      <c r="M764" s="5">
        <v>20</v>
      </c>
      <c r="N764" s="8">
        <f t="shared" si="0"/>
        <v>248847.03294855959</v>
      </c>
      <c r="O764" s="5">
        <f t="shared" si="1"/>
        <v>249640</v>
      </c>
      <c r="P764" s="5">
        <f t="shared" si="2"/>
        <v>-792.96705144041334</v>
      </c>
      <c r="Q764" s="5" t="s">
        <v>83</v>
      </c>
      <c r="R764" s="5" t="s">
        <v>32</v>
      </c>
      <c r="S764" s="6">
        <v>45168</v>
      </c>
      <c r="T764" s="5">
        <v>6</v>
      </c>
      <c r="U764" s="5">
        <v>2</v>
      </c>
      <c r="V764" s="5" t="s">
        <v>33</v>
      </c>
      <c r="W764" s="5">
        <f t="shared" si="3"/>
        <v>0</v>
      </c>
    </row>
    <row r="765" spans="1:23" ht="15.75" customHeight="1" x14ac:dyDescent="0.25">
      <c r="A765" s="5" t="s">
        <v>1120</v>
      </c>
      <c r="B765" s="6">
        <v>45159</v>
      </c>
      <c r="C765" s="5" t="s">
        <v>168</v>
      </c>
      <c r="D765" s="5" t="s">
        <v>105</v>
      </c>
      <c r="E765" s="5" t="s">
        <v>80</v>
      </c>
      <c r="F765" s="5" t="s">
        <v>80</v>
      </c>
      <c r="G765" s="5" t="s">
        <v>28</v>
      </c>
      <c r="H765" s="5" t="s">
        <v>29</v>
      </c>
      <c r="I765" s="5" t="s">
        <v>30</v>
      </c>
      <c r="J765" s="5">
        <v>5041</v>
      </c>
      <c r="K765" s="7">
        <v>5608.0502439634165</v>
      </c>
      <c r="L765" s="5">
        <v>1</v>
      </c>
      <c r="M765" s="5">
        <v>5</v>
      </c>
      <c r="N765" s="8">
        <f t="shared" si="0"/>
        <v>5327.6477317652452</v>
      </c>
      <c r="O765" s="5">
        <f t="shared" si="1"/>
        <v>5041</v>
      </c>
      <c r="P765" s="5">
        <f t="shared" si="2"/>
        <v>286.64773176524523</v>
      </c>
      <c r="Q765" s="5" t="s">
        <v>39</v>
      </c>
      <c r="R765" s="5" t="s">
        <v>32</v>
      </c>
      <c r="S765" s="6">
        <v>45167</v>
      </c>
      <c r="T765" s="5">
        <v>1</v>
      </c>
      <c r="U765" s="5">
        <v>5</v>
      </c>
      <c r="V765" s="5" t="s">
        <v>33</v>
      </c>
      <c r="W765" s="5">
        <f t="shared" si="3"/>
        <v>0</v>
      </c>
    </row>
    <row r="766" spans="1:23" ht="15.75" customHeight="1" x14ac:dyDescent="0.25">
      <c r="A766" s="5" t="s">
        <v>1121</v>
      </c>
      <c r="B766" s="6">
        <v>45159</v>
      </c>
      <c r="C766" s="5" t="s">
        <v>478</v>
      </c>
      <c r="D766" s="5" t="s">
        <v>36</v>
      </c>
      <c r="E766" s="5" t="s">
        <v>26</v>
      </c>
      <c r="F766" s="5" t="s">
        <v>27</v>
      </c>
      <c r="G766" s="5" t="s">
        <v>124</v>
      </c>
      <c r="H766" s="5" t="s">
        <v>76</v>
      </c>
      <c r="I766" s="5" t="s">
        <v>125</v>
      </c>
      <c r="J766" s="5">
        <v>87294</v>
      </c>
      <c r="K766" s="7">
        <v>127270.45954881873</v>
      </c>
      <c r="L766" s="5">
        <v>3</v>
      </c>
      <c r="M766" s="5">
        <v>10</v>
      </c>
      <c r="N766" s="8">
        <f t="shared" si="0"/>
        <v>343630.24078181054</v>
      </c>
      <c r="O766" s="5">
        <f t="shared" si="1"/>
        <v>261882</v>
      </c>
      <c r="P766" s="5">
        <f t="shared" si="2"/>
        <v>81748.240781810542</v>
      </c>
      <c r="Q766" s="5" t="s">
        <v>39</v>
      </c>
      <c r="R766" s="5" t="s">
        <v>32</v>
      </c>
      <c r="S766" s="6">
        <v>45169</v>
      </c>
      <c r="T766" s="5">
        <v>6</v>
      </c>
      <c r="U766" s="5">
        <v>3</v>
      </c>
      <c r="V766" s="5" t="s">
        <v>33</v>
      </c>
      <c r="W766" s="5">
        <f t="shared" si="3"/>
        <v>0</v>
      </c>
    </row>
    <row r="767" spans="1:23" ht="15.75" customHeight="1" x14ac:dyDescent="0.25">
      <c r="A767" s="5" t="s">
        <v>1122</v>
      </c>
      <c r="B767" s="6">
        <v>45160</v>
      </c>
      <c r="C767" s="5" t="s">
        <v>704</v>
      </c>
      <c r="D767" s="5" t="s">
        <v>64</v>
      </c>
      <c r="E767" s="5" t="s">
        <v>69</v>
      </c>
      <c r="F767" s="5" t="s">
        <v>55</v>
      </c>
      <c r="G767" s="5" t="s">
        <v>92</v>
      </c>
      <c r="H767" s="5" t="s">
        <v>44</v>
      </c>
      <c r="I767" s="5" t="s">
        <v>45</v>
      </c>
      <c r="J767" s="5">
        <v>804</v>
      </c>
      <c r="K767" s="7">
        <v>1366.927241464535</v>
      </c>
      <c r="L767" s="5">
        <v>3</v>
      </c>
      <c r="M767" s="5">
        <v>20</v>
      </c>
      <c r="N767" s="8">
        <f t="shared" si="0"/>
        <v>3280.6253795148841</v>
      </c>
      <c r="O767" s="5">
        <f t="shared" si="1"/>
        <v>2412</v>
      </c>
      <c r="P767" s="5">
        <f t="shared" si="2"/>
        <v>868.62537951488412</v>
      </c>
      <c r="Q767" s="5" t="s">
        <v>31</v>
      </c>
      <c r="R767" s="5" t="s">
        <v>32</v>
      </c>
      <c r="S767" s="6">
        <v>45164</v>
      </c>
      <c r="T767" s="5">
        <v>1</v>
      </c>
      <c r="U767" s="5">
        <v>5</v>
      </c>
      <c r="V767" s="5" t="s">
        <v>33</v>
      </c>
      <c r="W767" s="5">
        <f t="shared" si="3"/>
        <v>0</v>
      </c>
    </row>
    <row r="768" spans="1:23" ht="15.75" customHeight="1" x14ac:dyDescent="0.25">
      <c r="A768" s="5" t="s">
        <v>1123</v>
      </c>
      <c r="B768" s="6">
        <v>45160</v>
      </c>
      <c r="C768" s="5" t="s">
        <v>427</v>
      </c>
      <c r="D768" s="5" t="s">
        <v>148</v>
      </c>
      <c r="E768" s="5" t="s">
        <v>54</v>
      </c>
      <c r="F768" s="5" t="s">
        <v>55</v>
      </c>
      <c r="G768" s="5" t="s">
        <v>87</v>
      </c>
      <c r="H768" s="5" t="s">
        <v>29</v>
      </c>
      <c r="I768" s="5" t="s">
        <v>88</v>
      </c>
      <c r="J768" s="5">
        <v>23844</v>
      </c>
      <c r="K768" s="7">
        <v>26669.590859883654</v>
      </c>
      <c r="L768" s="5">
        <v>2</v>
      </c>
      <c r="M768" s="5">
        <v>5</v>
      </c>
      <c r="N768" s="8">
        <f t="shared" si="0"/>
        <v>50672.22263377894</v>
      </c>
      <c r="O768" s="5">
        <f t="shared" si="1"/>
        <v>47688</v>
      </c>
      <c r="P768" s="5">
        <f t="shared" si="2"/>
        <v>2984.2226337789398</v>
      </c>
      <c r="Q768" s="5" t="s">
        <v>83</v>
      </c>
      <c r="R768" s="5" t="s">
        <v>32</v>
      </c>
      <c r="S768" s="6">
        <v>45172</v>
      </c>
      <c r="T768" s="5">
        <v>5</v>
      </c>
      <c r="U768" s="5">
        <v>3</v>
      </c>
      <c r="V768" s="5" t="s">
        <v>33</v>
      </c>
      <c r="W768" s="5">
        <f t="shared" si="3"/>
        <v>0</v>
      </c>
    </row>
    <row r="769" spans="1:23" ht="15.75" customHeight="1" x14ac:dyDescent="0.25">
      <c r="A769" s="5" t="s">
        <v>1124</v>
      </c>
      <c r="B769" s="6">
        <v>45160</v>
      </c>
      <c r="C769" s="5" t="s">
        <v>115</v>
      </c>
      <c r="D769" s="5" t="s">
        <v>102</v>
      </c>
      <c r="E769" s="5" t="s">
        <v>69</v>
      </c>
      <c r="F769" s="5" t="s">
        <v>55</v>
      </c>
      <c r="G769" s="5" t="s">
        <v>106</v>
      </c>
      <c r="H769" s="5" t="s">
        <v>98</v>
      </c>
      <c r="I769" s="5" t="s">
        <v>107</v>
      </c>
      <c r="J769" s="5">
        <v>651</v>
      </c>
      <c r="K769" s="7">
        <v>1052.2213349095694</v>
      </c>
      <c r="L769" s="5">
        <v>5</v>
      </c>
      <c r="M769" s="5">
        <v>10</v>
      </c>
      <c r="N769" s="8">
        <f t="shared" si="0"/>
        <v>4734.996007093062</v>
      </c>
      <c r="O769" s="5">
        <f t="shared" si="1"/>
        <v>3255</v>
      </c>
      <c r="P769" s="5">
        <f t="shared" si="2"/>
        <v>1479.996007093062</v>
      </c>
      <c r="Q769" s="5" t="s">
        <v>46</v>
      </c>
      <c r="R769" s="5" t="s">
        <v>32</v>
      </c>
      <c r="S769" s="6">
        <v>45172</v>
      </c>
      <c r="T769" s="5">
        <v>6</v>
      </c>
      <c r="U769" s="5">
        <v>4</v>
      </c>
      <c r="V769" s="5" t="s">
        <v>89</v>
      </c>
      <c r="W769" s="5">
        <f t="shared" si="3"/>
        <v>1</v>
      </c>
    </row>
    <row r="770" spans="1:23" ht="15.75" customHeight="1" x14ac:dyDescent="0.25">
      <c r="A770" s="5" t="s">
        <v>1125</v>
      </c>
      <c r="B770" s="6">
        <v>45160</v>
      </c>
      <c r="C770" s="5" t="s">
        <v>628</v>
      </c>
      <c r="D770" s="5" t="s">
        <v>59</v>
      </c>
      <c r="E770" s="5" t="s">
        <v>69</v>
      </c>
      <c r="F770" s="5" t="s">
        <v>55</v>
      </c>
      <c r="G770" s="5" t="s">
        <v>124</v>
      </c>
      <c r="H770" s="5" t="s">
        <v>76</v>
      </c>
      <c r="I770" s="5" t="s">
        <v>125</v>
      </c>
      <c r="J770" s="5">
        <v>85729</v>
      </c>
      <c r="K770" s="7">
        <v>105337.11123662392</v>
      </c>
      <c r="L770" s="5">
        <v>5</v>
      </c>
      <c r="M770" s="5">
        <v>15</v>
      </c>
      <c r="N770" s="8">
        <f t="shared" si="0"/>
        <v>447682.72275565169</v>
      </c>
      <c r="O770" s="5">
        <f t="shared" si="1"/>
        <v>428645</v>
      </c>
      <c r="P770" s="5">
        <f t="shared" si="2"/>
        <v>19037.722755651688</v>
      </c>
      <c r="Q770" s="5" t="s">
        <v>31</v>
      </c>
      <c r="R770" s="5" t="s">
        <v>56</v>
      </c>
      <c r="T770" s="5">
        <v>8</v>
      </c>
      <c r="U770" s="5">
        <v>3</v>
      </c>
      <c r="W770" s="5">
        <f t="shared" si="3"/>
        <v>0</v>
      </c>
    </row>
    <row r="771" spans="1:23" ht="15.75" customHeight="1" x14ac:dyDescent="0.25">
      <c r="A771" s="5" t="s">
        <v>1126</v>
      </c>
      <c r="B771" s="6">
        <v>45160</v>
      </c>
      <c r="C771" s="5" t="s">
        <v>1127</v>
      </c>
      <c r="D771" s="5" t="s">
        <v>135</v>
      </c>
      <c r="E771" s="5" t="s">
        <v>112</v>
      </c>
      <c r="F771" s="5" t="s">
        <v>113</v>
      </c>
      <c r="G771" s="5" t="s">
        <v>106</v>
      </c>
      <c r="H771" s="5" t="s">
        <v>98</v>
      </c>
      <c r="I771" s="5" t="s">
        <v>107</v>
      </c>
      <c r="J771" s="5">
        <v>991</v>
      </c>
      <c r="K771" s="7">
        <v>1071.8815374618102</v>
      </c>
      <c r="L771" s="5">
        <v>4</v>
      </c>
      <c r="M771" s="5">
        <v>20</v>
      </c>
      <c r="N771" s="8">
        <f t="shared" si="0"/>
        <v>3430.0209198777929</v>
      </c>
      <c r="O771" s="5">
        <f t="shared" si="1"/>
        <v>3964</v>
      </c>
      <c r="P771" s="5">
        <f t="shared" si="2"/>
        <v>-533.97908012220705</v>
      </c>
      <c r="Q771" s="5" t="s">
        <v>46</v>
      </c>
      <c r="R771" s="5" t="s">
        <v>56</v>
      </c>
      <c r="T771" s="5">
        <v>9</v>
      </c>
      <c r="U771" s="5">
        <v>1</v>
      </c>
      <c r="W771" s="5">
        <f t="shared" si="3"/>
        <v>0</v>
      </c>
    </row>
    <row r="772" spans="1:23" ht="15.75" customHeight="1" x14ac:dyDescent="0.25">
      <c r="A772" s="5" t="s">
        <v>1128</v>
      </c>
      <c r="B772" s="6">
        <v>45161</v>
      </c>
      <c r="C772" s="5" t="s">
        <v>1129</v>
      </c>
      <c r="D772" s="5" t="s">
        <v>146</v>
      </c>
      <c r="E772" s="5" t="s">
        <v>60</v>
      </c>
      <c r="F772" s="5" t="s">
        <v>61</v>
      </c>
      <c r="G772" s="5" t="s">
        <v>43</v>
      </c>
      <c r="H772" s="5" t="s">
        <v>44</v>
      </c>
      <c r="I772" s="5" t="s">
        <v>45</v>
      </c>
      <c r="J772" s="5">
        <v>634</v>
      </c>
      <c r="K772" s="7">
        <v>883.75786634252506</v>
      </c>
      <c r="L772" s="5">
        <v>2</v>
      </c>
      <c r="M772" s="5">
        <v>20</v>
      </c>
      <c r="N772" s="8">
        <f t="shared" si="0"/>
        <v>1414.0125861480401</v>
      </c>
      <c r="O772" s="5">
        <f t="shared" si="1"/>
        <v>1268</v>
      </c>
      <c r="P772" s="5">
        <f t="shared" si="2"/>
        <v>146.0125861480401</v>
      </c>
      <c r="Q772" s="5" t="s">
        <v>39</v>
      </c>
      <c r="R772" s="5" t="s">
        <v>56</v>
      </c>
      <c r="T772" s="5">
        <v>10</v>
      </c>
      <c r="U772" s="5">
        <v>1</v>
      </c>
      <c r="W772" s="5">
        <f t="shared" si="3"/>
        <v>0</v>
      </c>
    </row>
    <row r="773" spans="1:23" ht="15.75" customHeight="1" x14ac:dyDescent="0.25">
      <c r="A773" s="5" t="s">
        <v>1130</v>
      </c>
      <c r="B773" s="6">
        <v>45161</v>
      </c>
      <c r="C773" s="5" t="s">
        <v>1131</v>
      </c>
      <c r="D773" s="5" t="s">
        <v>59</v>
      </c>
      <c r="E773" s="5" t="s">
        <v>49</v>
      </c>
      <c r="F773" s="5" t="s">
        <v>50</v>
      </c>
      <c r="G773" s="5" t="s">
        <v>81</v>
      </c>
      <c r="H773" s="5" t="s">
        <v>44</v>
      </c>
      <c r="I773" s="5" t="s">
        <v>82</v>
      </c>
      <c r="J773" s="5">
        <v>1624</v>
      </c>
      <c r="K773" s="7">
        <v>1745.646736399543</v>
      </c>
      <c r="L773" s="5">
        <v>2</v>
      </c>
      <c r="M773" s="5">
        <v>10</v>
      </c>
      <c r="N773" s="8">
        <f t="shared" si="0"/>
        <v>3142.1641255191776</v>
      </c>
      <c r="O773" s="5">
        <f t="shared" si="1"/>
        <v>3248</v>
      </c>
      <c r="P773" s="5">
        <f t="shared" si="2"/>
        <v>-105.83587448082244</v>
      </c>
      <c r="Q773" s="5" t="s">
        <v>31</v>
      </c>
      <c r="R773" s="5" t="s">
        <v>32</v>
      </c>
      <c r="S773" s="6">
        <v>45168</v>
      </c>
      <c r="T773" s="5">
        <v>4</v>
      </c>
      <c r="U773" s="5">
        <v>2</v>
      </c>
      <c r="V773" s="5" t="s">
        <v>33</v>
      </c>
      <c r="W773" s="5">
        <f t="shared" si="3"/>
        <v>0</v>
      </c>
    </row>
    <row r="774" spans="1:23" ht="15.75" customHeight="1" x14ac:dyDescent="0.25">
      <c r="A774" s="5" t="s">
        <v>1132</v>
      </c>
      <c r="B774" s="6">
        <v>45162</v>
      </c>
      <c r="C774" s="5" t="s">
        <v>848</v>
      </c>
      <c r="D774" s="5" t="s">
        <v>42</v>
      </c>
      <c r="E774" s="5" t="s">
        <v>69</v>
      </c>
      <c r="F774" s="5" t="s">
        <v>55</v>
      </c>
      <c r="G774" s="5" t="s">
        <v>81</v>
      </c>
      <c r="H774" s="5" t="s">
        <v>44</v>
      </c>
      <c r="I774" s="5" t="s">
        <v>82</v>
      </c>
      <c r="J774" s="5">
        <v>1404</v>
      </c>
      <c r="K774" s="7">
        <v>1627.2642236899212</v>
      </c>
      <c r="L774" s="5">
        <v>5</v>
      </c>
      <c r="M774" s="5">
        <v>15</v>
      </c>
      <c r="N774" s="8">
        <f t="shared" si="0"/>
        <v>6915.8729506821646</v>
      </c>
      <c r="O774" s="5">
        <f t="shared" si="1"/>
        <v>7020</v>
      </c>
      <c r="P774" s="5">
        <f t="shared" si="2"/>
        <v>-104.12704931783537</v>
      </c>
      <c r="Q774" s="5" t="s">
        <v>39</v>
      </c>
      <c r="R774" s="5" t="s">
        <v>32</v>
      </c>
      <c r="S774" s="6">
        <v>45167</v>
      </c>
      <c r="T774" s="5">
        <v>1</v>
      </c>
      <c r="U774" s="5">
        <v>4</v>
      </c>
      <c r="V774" s="5" t="s">
        <v>33</v>
      </c>
      <c r="W774" s="5">
        <f t="shared" si="3"/>
        <v>0</v>
      </c>
    </row>
    <row r="775" spans="1:23" ht="15.75" customHeight="1" x14ac:dyDescent="0.25">
      <c r="A775" s="5" t="s">
        <v>1133</v>
      </c>
      <c r="B775" s="6">
        <v>45162</v>
      </c>
      <c r="C775" s="5" t="s">
        <v>250</v>
      </c>
      <c r="D775" s="5" t="s">
        <v>150</v>
      </c>
      <c r="E775" s="5" t="s">
        <v>54</v>
      </c>
      <c r="F775" s="5" t="s">
        <v>55</v>
      </c>
      <c r="G775" s="5" t="s">
        <v>28</v>
      </c>
      <c r="H775" s="5" t="s">
        <v>29</v>
      </c>
      <c r="I775" s="5" t="s">
        <v>30</v>
      </c>
      <c r="J775" s="5">
        <v>5336</v>
      </c>
      <c r="K775" s="7">
        <v>7273.8535624886608</v>
      </c>
      <c r="L775" s="5">
        <v>4</v>
      </c>
      <c r="M775" s="5">
        <v>5</v>
      </c>
      <c r="N775" s="8">
        <f t="shared" si="0"/>
        <v>27640.643537456908</v>
      </c>
      <c r="O775" s="5">
        <f t="shared" si="1"/>
        <v>21344</v>
      </c>
      <c r="P775" s="5">
        <f t="shared" si="2"/>
        <v>6296.6435374569082</v>
      </c>
      <c r="Q775" s="5" t="s">
        <v>46</v>
      </c>
      <c r="R775" s="5" t="s">
        <v>32</v>
      </c>
      <c r="S775" s="6">
        <v>45170</v>
      </c>
      <c r="T775" s="5">
        <v>3</v>
      </c>
      <c r="U775" s="5">
        <v>2</v>
      </c>
      <c r="V775" s="5" t="s">
        <v>33</v>
      </c>
      <c r="W775" s="5">
        <f t="shared" si="3"/>
        <v>0</v>
      </c>
    </row>
    <row r="776" spans="1:23" ht="15.75" customHeight="1" x14ac:dyDescent="0.25">
      <c r="A776" s="5" t="s">
        <v>1134</v>
      </c>
      <c r="B776" s="6">
        <v>45162</v>
      </c>
      <c r="C776" s="5" t="s">
        <v>637</v>
      </c>
      <c r="D776" s="5" t="s">
        <v>86</v>
      </c>
      <c r="E776" s="5" t="s">
        <v>60</v>
      </c>
      <c r="F776" s="5" t="s">
        <v>61</v>
      </c>
      <c r="G776" s="5" t="s">
        <v>92</v>
      </c>
      <c r="H776" s="5" t="s">
        <v>44</v>
      </c>
      <c r="I776" s="5" t="s">
        <v>45</v>
      </c>
      <c r="J776" s="5">
        <v>1362</v>
      </c>
      <c r="K776" s="7">
        <v>2213.116794509926</v>
      </c>
      <c r="L776" s="5">
        <v>1</v>
      </c>
      <c r="M776" s="5">
        <v>0</v>
      </c>
      <c r="N776" s="8">
        <f t="shared" si="0"/>
        <v>2213.116794509926</v>
      </c>
      <c r="O776" s="5">
        <f t="shared" si="1"/>
        <v>1362</v>
      </c>
      <c r="P776" s="5">
        <f t="shared" si="2"/>
        <v>851.11679450992597</v>
      </c>
      <c r="Q776" s="5" t="s">
        <v>46</v>
      </c>
      <c r="R776" s="5" t="s">
        <v>32</v>
      </c>
      <c r="S776" s="6">
        <v>45172</v>
      </c>
      <c r="T776" s="5">
        <v>4</v>
      </c>
      <c r="U776" s="5">
        <v>2</v>
      </c>
      <c r="V776" s="5" t="s">
        <v>33</v>
      </c>
      <c r="W776" s="5">
        <f t="shared" si="3"/>
        <v>0</v>
      </c>
    </row>
    <row r="777" spans="1:23" ht="15.75" customHeight="1" x14ac:dyDescent="0.25">
      <c r="A777" s="5" t="s">
        <v>1135</v>
      </c>
      <c r="B777" s="6">
        <v>45162</v>
      </c>
      <c r="C777" s="5" t="s">
        <v>833</v>
      </c>
      <c r="D777" s="5" t="s">
        <v>148</v>
      </c>
      <c r="E777" s="5" t="s">
        <v>60</v>
      </c>
      <c r="F777" s="5" t="s">
        <v>61</v>
      </c>
      <c r="G777" s="5" t="s">
        <v>92</v>
      </c>
      <c r="H777" s="5" t="s">
        <v>44</v>
      </c>
      <c r="I777" s="5" t="s">
        <v>45</v>
      </c>
      <c r="J777" s="5">
        <v>973</v>
      </c>
      <c r="K777" s="7">
        <v>1637.9246576383168</v>
      </c>
      <c r="L777" s="5">
        <v>5</v>
      </c>
      <c r="M777" s="5">
        <v>15</v>
      </c>
      <c r="N777" s="8">
        <f t="shared" si="0"/>
        <v>6961.1797949628462</v>
      </c>
      <c r="O777" s="5">
        <f t="shared" si="1"/>
        <v>4865</v>
      </c>
      <c r="P777" s="5">
        <f t="shared" si="2"/>
        <v>2096.1797949628462</v>
      </c>
      <c r="Q777" s="5" t="s">
        <v>31</v>
      </c>
      <c r="R777" s="5" t="s">
        <v>32</v>
      </c>
      <c r="S777" s="6">
        <v>45170</v>
      </c>
      <c r="T777" s="5">
        <v>1</v>
      </c>
      <c r="U777" s="5">
        <v>4</v>
      </c>
      <c r="V777" s="5" t="s">
        <v>33</v>
      </c>
      <c r="W777" s="5">
        <f t="shared" si="3"/>
        <v>0</v>
      </c>
    </row>
    <row r="778" spans="1:23" ht="15.75" customHeight="1" x14ac:dyDescent="0.25">
      <c r="A778" s="5" t="s">
        <v>1136</v>
      </c>
      <c r="B778" s="6">
        <v>45163</v>
      </c>
      <c r="C778" s="5" t="s">
        <v>574</v>
      </c>
      <c r="D778" s="5" t="s">
        <v>53</v>
      </c>
      <c r="E778" s="5" t="s">
        <v>26</v>
      </c>
      <c r="F778" s="5" t="s">
        <v>27</v>
      </c>
      <c r="G778" s="5" t="s">
        <v>139</v>
      </c>
      <c r="H778" s="5" t="s">
        <v>76</v>
      </c>
      <c r="I778" s="5" t="s">
        <v>140</v>
      </c>
      <c r="J778" s="5">
        <v>39921</v>
      </c>
      <c r="K778" s="7">
        <v>71297.666620355289</v>
      </c>
      <c r="L778" s="5">
        <v>4</v>
      </c>
      <c r="M778" s="5">
        <v>15</v>
      </c>
      <c r="N778" s="8">
        <f t="shared" si="0"/>
        <v>242412.06650920797</v>
      </c>
      <c r="O778" s="5">
        <f t="shared" si="1"/>
        <v>159684</v>
      </c>
      <c r="P778" s="5">
        <f t="shared" si="2"/>
        <v>82728.066509207973</v>
      </c>
      <c r="Q778" s="5" t="s">
        <v>46</v>
      </c>
      <c r="R778" s="5" t="s">
        <v>32</v>
      </c>
      <c r="S778" s="6">
        <v>45175</v>
      </c>
      <c r="T778" s="5">
        <v>6</v>
      </c>
      <c r="U778" s="5">
        <v>2</v>
      </c>
      <c r="V778" s="5" t="s">
        <v>33</v>
      </c>
      <c r="W778" s="5">
        <f t="shared" si="3"/>
        <v>0</v>
      </c>
    </row>
    <row r="779" spans="1:23" ht="15.75" customHeight="1" x14ac:dyDescent="0.25">
      <c r="A779" s="5" t="s">
        <v>1137</v>
      </c>
      <c r="B779" s="6">
        <v>45164</v>
      </c>
      <c r="C779" s="5" t="s">
        <v>193</v>
      </c>
      <c r="D779" s="5" t="s">
        <v>53</v>
      </c>
      <c r="E779" s="5" t="s">
        <v>112</v>
      </c>
      <c r="F779" s="5" t="s">
        <v>113</v>
      </c>
      <c r="G779" s="5" t="s">
        <v>28</v>
      </c>
      <c r="H779" s="5" t="s">
        <v>29</v>
      </c>
      <c r="I779" s="5" t="s">
        <v>30</v>
      </c>
      <c r="J779" s="5">
        <v>4394</v>
      </c>
      <c r="K779" s="7">
        <v>6126.2367033933278</v>
      </c>
      <c r="L779" s="5">
        <v>3</v>
      </c>
      <c r="M779" s="5">
        <v>10</v>
      </c>
      <c r="N779" s="8">
        <f t="shared" si="0"/>
        <v>16540.839099161989</v>
      </c>
      <c r="O779" s="5">
        <f t="shared" si="1"/>
        <v>13182</v>
      </c>
      <c r="P779" s="5">
        <f t="shared" si="2"/>
        <v>3358.839099161989</v>
      </c>
      <c r="Q779" s="5" t="s">
        <v>46</v>
      </c>
      <c r="R779" s="5" t="s">
        <v>56</v>
      </c>
      <c r="T779" s="5">
        <v>8</v>
      </c>
      <c r="U779" s="5">
        <v>4</v>
      </c>
      <c r="W779" s="5">
        <f t="shared" si="3"/>
        <v>0</v>
      </c>
    </row>
    <row r="780" spans="1:23" ht="15.75" customHeight="1" x14ac:dyDescent="0.25">
      <c r="A780" s="5" t="s">
        <v>1138</v>
      </c>
      <c r="B780" s="6">
        <v>45164</v>
      </c>
      <c r="C780" s="5" t="s">
        <v>1139</v>
      </c>
      <c r="D780" s="5" t="s">
        <v>184</v>
      </c>
      <c r="E780" s="5" t="s">
        <v>49</v>
      </c>
      <c r="F780" s="5" t="s">
        <v>50</v>
      </c>
      <c r="G780" s="5" t="s">
        <v>106</v>
      </c>
      <c r="H780" s="5" t="s">
        <v>98</v>
      </c>
      <c r="I780" s="5" t="s">
        <v>107</v>
      </c>
      <c r="J780" s="5">
        <v>956</v>
      </c>
      <c r="K780" s="7">
        <v>1061.5437790388892</v>
      </c>
      <c r="L780" s="5">
        <v>2</v>
      </c>
      <c r="M780" s="5">
        <v>15</v>
      </c>
      <c r="N780" s="8">
        <f t="shared" si="0"/>
        <v>1804.6244243661115</v>
      </c>
      <c r="O780" s="5">
        <f t="shared" si="1"/>
        <v>1912</v>
      </c>
      <c r="P780" s="5">
        <f t="shared" si="2"/>
        <v>-107.3755756338885</v>
      </c>
      <c r="Q780" s="5" t="s">
        <v>83</v>
      </c>
      <c r="R780" s="5" t="s">
        <v>32</v>
      </c>
      <c r="S780" s="6">
        <v>45170</v>
      </c>
      <c r="T780" s="5">
        <v>3</v>
      </c>
      <c r="U780" s="5">
        <v>3</v>
      </c>
      <c r="V780" s="5" t="s">
        <v>33</v>
      </c>
      <c r="W780" s="5">
        <f t="shared" si="3"/>
        <v>0</v>
      </c>
    </row>
    <row r="781" spans="1:23" ht="15.75" customHeight="1" x14ac:dyDescent="0.25">
      <c r="A781" s="5" t="s">
        <v>1140</v>
      </c>
      <c r="B781" s="6">
        <v>45164</v>
      </c>
      <c r="C781" s="5" t="s">
        <v>205</v>
      </c>
      <c r="D781" s="5" t="s">
        <v>208</v>
      </c>
      <c r="E781" s="5" t="s">
        <v>49</v>
      </c>
      <c r="F781" s="5" t="s">
        <v>50</v>
      </c>
      <c r="G781" s="5" t="s">
        <v>75</v>
      </c>
      <c r="H781" s="5" t="s">
        <v>76</v>
      </c>
      <c r="I781" s="5" t="s">
        <v>77</v>
      </c>
      <c r="J781" s="5">
        <v>1084</v>
      </c>
      <c r="K781" s="7">
        <v>1478.1936626951785</v>
      </c>
      <c r="L781" s="5">
        <v>3</v>
      </c>
      <c r="M781" s="5">
        <v>10</v>
      </c>
      <c r="N781" s="8">
        <f t="shared" si="0"/>
        <v>3991.1228892769823</v>
      </c>
      <c r="O781" s="5">
        <f t="shared" si="1"/>
        <v>3252</v>
      </c>
      <c r="P781" s="5">
        <f t="shared" si="2"/>
        <v>739.12288927698228</v>
      </c>
      <c r="Q781" s="5" t="s">
        <v>31</v>
      </c>
      <c r="R781" s="5" t="s">
        <v>32</v>
      </c>
      <c r="S781" s="6">
        <v>45174</v>
      </c>
      <c r="T781" s="5">
        <v>6</v>
      </c>
      <c r="U781" s="5">
        <v>2</v>
      </c>
      <c r="V781" s="5" t="s">
        <v>33</v>
      </c>
      <c r="W781" s="5">
        <f t="shared" si="3"/>
        <v>0</v>
      </c>
    </row>
    <row r="782" spans="1:23" ht="15.75" customHeight="1" x14ac:dyDescent="0.25">
      <c r="A782" s="5" t="s">
        <v>1141</v>
      </c>
      <c r="B782" s="6">
        <v>45164</v>
      </c>
      <c r="C782" s="5" t="s">
        <v>765</v>
      </c>
      <c r="D782" s="5" t="s">
        <v>135</v>
      </c>
      <c r="E782" s="5" t="s">
        <v>49</v>
      </c>
      <c r="F782" s="5" t="s">
        <v>50</v>
      </c>
      <c r="G782" s="5" t="s">
        <v>119</v>
      </c>
      <c r="H782" s="5" t="s">
        <v>76</v>
      </c>
      <c r="I782" s="5" t="s">
        <v>120</v>
      </c>
      <c r="J782" s="5">
        <v>46095</v>
      </c>
      <c r="K782" s="7">
        <v>46491.982708796291</v>
      </c>
      <c r="L782" s="5">
        <v>3</v>
      </c>
      <c r="M782" s="5">
        <v>10</v>
      </c>
      <c r="N782" s="8">
        <f t="shared" si="0"/>
        <v>125528.35331375001</v>
      </c>
      <c r="O782" s="5">
        <f t="shared" si="1"/>
        <v>138285</v>
      </c>
      <c r="P782" s="5">
        <f t="shared" si="2"/>
        <v>-12756.646686249995</v>
      </c>
      <c r="Q782" s="5" t="s">
        <v>31</v>
      </c>
      <c r="R782" s="5" t="s">
        <v>32</v>
      </c>
      <c r="S782" s="6">
        <v>45176</v>
      </c>
      <c r="T782" s="5">
        <v>8</v>
      </c>
      <c r="U782" s="5">
        <v>4</v>
      </c>
      <c r="V782" s="5" t="s">
        <v>89</v>
      </c>
      <c r="W782" s="5">
        <f t="shared" si="3"/>
        <v>1</v>
      </c>
    </row>
    <row r="783" spans="1:23" ht="15.75" customHeight="1" x14ac:dyDescent="0.25">
      <c r="A783" s="5" t="s">
        <v>1142</v>
      </c>
      <c r="B783" s="6">
        <v>45165</v>
      </c>
      <c r="C783" s="5" t="s">
        <v>255</v>
      </c>
      <c r="D783" s="5" t="s">
        <v>188</v>
      </c>
      <c r="E783" s="5" t="s">
        <v>112</v>
      </c>
      <c r="F783" s="5" t="s">
        <v>113</v>
      </c>
      <c r="G783" s="5" t="s">
        <v>70</v>
      </c>
      <c r="H783" s="5" t="s">
        <v>44</v>
      </c>
      <c r="I783" s="5" t="s">
        <v>71</v>
      </c>
      <c r="J783" s="5">
        <v>1716</v>
      </c>
      <c r="K783" s="7">
        <v>2163.5287180135506</v>
      </c>
      <c r="L783" s="5">
        <v>5</v>
      </c>
      <c r="M783" s="5">
        <v>20</v>
      </c>
      <c r="N783" s="8">
        <f t="shared" si="0"/>
        <v>8654.1148720542024</v>
      </c>
      <c r="O783" s="5">
        <f t="shared" si="1"/>
        <v>8580</v>
      </c>
      <c r="P783" s="5">
        <f t="shared" si="2"/>
        <v>74.114872054202351</v>
      </c>
      <c r="Q783" s="5" t="s">
        <v>46</v>
      </c>
      <c r="R783" s="5" t="s">
        <v>32</v>
      </c>
      <c r="S783" s="6">
        <v>45173</v>
      </c>
      <c r="T783" s="5">
        <v>3</v>
      </c>
      <c r="U783" s="5">
        <v>2</v>
      </c>
      <c r="V783" s="5" t="s">
        <v>33</v>
      </c>
      <c r="W783" s="5">
        <f t="shared" si="3"/>
        <v>0</v>
      </c>
    </row>
    <row r="784" spans="1:23" ht="15.75" customHeight="1" x14ac:dyDescent="0.25">
      <c r="A784" s="5" t="s">
        <v>1143</v>
      </c>
      <c r="B784" s="6">
        <v>45165</v>
      </c>
      <c r="C784" s="5" t="s">
        <v>1144</v>
      </c>
      <c r="D784" s="5" t="s">
        <v>74</v>
      </c>
      <c r="E784" s="5" t="s">
        <v>69</v>
      </c>
      <c r="F784" s="5" t="s">
        <v>55</v>
      </c>
      <c r="G784" s="5" t="s">
        <v>43</v>
      </c>
      <c r="H784" s="5" t="s">
        <v>44</v>
      </c>
      <c r="I784" s="5" t="s">
        <v>45</v>
      </c>
      <c r="J784" s="5">
        <v>591</v>
      </c>
      <c r="K784" s="7">
        <v>1022.4839189335879</v>
      </c>
      <c r="L784" s="5">
        <v>3</v>
      </c>
      <c r="M784" s="5">
        <v>20</v>
      </c>
      <c r="N784" s="8">
        <f t="shared" si="0"/>
        <v>2453.9614054406111</v>
      </c>
      <c r="O784" s="5">
        <f t="shared" si="1"/>
        <v>1773</v>
      </c>
      <c r="P784" s="5">
        <f t="shared" si="2"/>
        <v>680.96140544061109</v>
      </c>
      <c r="Q784" s="5" t="s">
        <v>83</v>
      </c>
      <c r="R784" s="5" t="s">
        <v>32</v>
      </c>
      <c r="S784" s="6">
        <v>45173</v>
      </c>
      <c r="T784" s="5">
        <v>2</v>
      </c>
      <c r="U784" s="5">
        <v>5</v>
      </c>
      <c r="V784" s="5" t="s">
        <v>33</v>
      </c>
      <c r="W784" s="5">
        <f t="shared" si="3"/>
        <v>0</v>
      </c>
    </row>
    <row r="785" spans="1:23" ht="15.75" customHeight="1" x14ac:dyDescent="0.25">
      <c r="A785" s="5" t="s">
        <v>1145</v>
      </c>
      <c r="B785" s="6">
        <v>45165</v>
      </c>
      <c r="C785" s="5" t="s">
        <v>539</v>
      </c>
      <c r="D785" s="5" t="s">
        <v>181</v>
      </c>
      <c r="E785" s="5" t="s">
        <v>37</v>
      </c>
      <c r="F785" s="5" t="s">
        <v>38</v>
      </c>
      <c r="G785" s="5" t="s">
        <v>124</v>
      </c>
      <c r="H785" s="5" t="s">
        <v>76</v>
      </c>
      <c r="I785" s="5" t="s">
        <v>125</v>
      </c>
      <c r="J785" s="5">
        <v>81227</v>
      </c>
      <c r="K785" s="7">
        <v>117129.93705252545</v>
      </c>
      <c r="L785" s="5">
        <v>5</v>
      </c>
      <c r="M785" s="5">
        <v>15</v>
      </c>
      <c r="N785" s="8">
        <f t="shared" si="0"/>
        <v>497802.23247323313</v>
      </c>
      <c r="O785" s="5">
        <f t="shared" si="1"/>
        <v>406135</v>
      </c>
      <c r="P785" s="5">
        <f t="shared" si="2"/>
        <v>91667.232473233133</v>
      </c>
      <c r="Q785" s="5" t="s">
        <v>31</v>
      </c>
      <c r="R785" s="5" t="s">
        <v>56</v>
      </c>
      <c r="T785" s="5">
        <v>8</v>
      </c>
      <c r="U785" s="5">
        <v>3</v>
      </c>
      <c r="W785" s="5">
        <f t="shared" si="3"/>
        <v>0</v>
      </c>
    </row>
    <row r="786" spans="1:23" ht="15.75" customHeight="1" x14ac:dyDescent="0.25">
      <c r="A786" s="5" t="s">
        <v>1146</v>
      </c>
      <c r="B786" s="6">
        <v>45165</v>
      </c>
      <c r="C786" s="5" t="s">
        <v>286</v>
      </c>
      <c r="D786" s="5" t="s">
        <v>138</v>
      </c>
      <c r="E786" s="5" t="s">
        <v>37</v>
      </c>
      <c r="F786" s="5" t="s">
        <v>38</v>
      </c>
      <c r="G786" s="5" t="s">
        <v>87</v>
      </c>
      <c r="H786" s="5" t="s">
        <v>29</v>
      </c>
      <c r="I786" s="5" t="s">
        <v>88</v>
      </c>
      <c r="J786" s="5">
        <v>31141</v>
      </c>
      <c r="K786" s="7">
        <v>54219.132386225239</v>
      </c>
      <c r="L786" s="5">
        <v>5</v>
      </c>
      <c r="M786" s="5">
        <v>15</v>
      </c>
      <c r="N786" s="8">
        <f t="shared" si="0"/>
        <v>230431.31264145728</v>
      </c>
      <c r="O786" s="5">
        <f t="shared" si="1"/>
        <v>155705</v>
      </c>
      <c r="P786" s="5">
        <f t="shared" si="2"/>
        <v>74726.312641457276</v>
      </c>
      <c r="Q786" s="5" t="s">
        <v>39</v>
      </c>
      <c r="R786" s="5" t="s">
        <v>32</v>
      </c>
      <c r="S786" s="6">
        <v>45177</v>
      </c>
      <c r="T786" s="5">
        <v>6</v>
      </c>
      <c r="U786" s="5">
        <v>3</v>
      </c>
      <c r="V786" s="5" t="s">
        <v>33</v>
      </c>
      <c r="W786" s="5">
        <f t="shared" si="3"/>
        <v>0</v>
      </c>
    </row>
    <row r="787" spans="1:23" ht="15.75" customHeight="1" x14ac:dyDescent="0.25">
      <c r="A787" s="5" t="s">
        <v>1147</v>
      </c>
      <c r="B787" s="6">
        <v>45165</v>
      </c>
      <c r="C787" s="5" t="s">
        <v>445</v>
      </c>
      <c r="D787" s="5" t="s">
        <v>25</v>
      </c>
      <c r="E787" s="5" t="s">
        <v>26</v>
      </c>
      <c r="F787" s="5" t="s">
        <v>27</v>
      </c>
      <c r="G787" s="5" t="s">
        <v>106</v>
      </c>
      <c r="H787" s="5" t="s">
        <v>98</v>
      </c>
      <c r="I787" s="5" t="s">
        <v>107</v>
      </c>
      <c r="J787" s="5">
        <v>907</v>
      </c>
      <c r="K787" s="7">
        <v>1210.4950112957442</v>
      </c>
      <c r="L787" s="5">
        <v>1</v>
      </c>
      <c r="M787" s="5">
        <v>15</v>
      </c>
      <c r="N787" s="8">
        <f t="shared" si="0"/>
        <v>1028.9207596013825</v>
      </c>
      <c r="O787" s="5">
        <f t="shared" si="1"/>
        <v>907</v>
      </c>
      <c r="P787" s="5">
        <f t="shared" si="2"/>
        <v>121.92075960138254</v>
      </c>
      <c r="Q787" s="5" t="s">
        <v>31</v>
      </c>
      <c r="R787" s="5" t="s">
        <v>56</v>
      </c>
      <c r="T787" s="5">
        <v>9</v>
      </c>
      <c r="U787" s="5">
        <v>1</v>
      </c>
      <c r="W787" s="5">
        <f t="shared" si="3"/>
        <v>0</v>
      </c>
    </row>
    <row r="788" spans="1:23" ht="15.75" customHeight="1" x14ac:dyDescent="0.25">
      <c r="A788" s="5" t="s">
        <v>1148</v>
      </c>
      <c r="B788" s="6">
        <v>45165</v>
      </c>
      <c r="C788" s="5" t="s">
        <v>601</v>
      </c>
      <c r="D788" s="5" t="s">
        <v>53</v>
      </c>
      <c r="E788" s="5" t="s">
        <v>26</v>
      </c>
      <c r="F788" s="5" t="s">
        <v>27</v>
      </c>
      <c r="G788" s="5" t="s">
        <v>97</v>
      </c>
      <c r="H788" s="5" t="s">
        <v>98</v>
      </c>
      <c r="I788" s="5" t="s">
        <v>99</v>
      </c>
      <c r="J788" s="5">
        <v>337</v>
      </c>
      <c r="K788" s="7">
        <v>580.14499007316908</v>
      </c>
      <c r="L788" s="5">
        <v>5</v>
      </c>
      <c r="M788" s="5">
        <v>15</v>
      </c>
      <c r="N788" s="8">
        <f t="shared" si="0"/>
        <v>2465.6162078109687</v>
      </c>
      <c r="O788" s="5">
        <f t="shared" si="1"/>
        <v>1685</v>
      </c>
      <c r="P788" s="5">
        <f t="shared" si="2"/>
        <v>780.61620781096872</v>
      </c>
      <c r="Q788" s="5" t="s">
        <v>39</v>
      </c>
      <c r="R788" s="5" t="s">
        <v>56</v>
      </c>
      <c r="T788" s="5">
        <v>10</v>
      </c>
      <c r="U788" s="5">
        <v>1</v>
      </c>
      <c r="W788" s="5">
        <f t="shared" si="3"/>
        <v>0</v>
      </c>
    </row>
    <row r="789" spans="1:23" ht="15.75" customHeight="1" x14ac:dyDescent="0.25">
      <c r="A789" s="5" t="s">
        <v>1149</v>
      </c>
      <c r="B789" s="6">
        <v>45166</v>
      </c>
      <c r="C789" s="5" t="s">
        <v>176</v>
      </c>
      <c r="D789" s="5" t="s">
        <v>64</v>
      </c>
      <c r="E789" s="5" t="s">
        <v>80</v>
      </c>
      <c r="F789" s="5" t="s">
        <v>80</v>
      </c>
      <c r="G789" s="5" t="s">
        <v>97</v>
      </c>
      <c r="H789" s="5" t="s">
        <v>98</v>
      </c>
      <c r="I789" s="5" t="s">
        <v>99</v>
      </c>
      <c r="J789" s="5">
        <v>315</v>
      </c>
      <c r="K789" s="7">
        <v>478.59470849520579</v>
      </c>
      <c r="L789" s="5">
        <v>4</v>
      </c>
      <c r="M789" s="5">
        <v>10</v>
      </c>
      <c r="N789" s="8">
        <f t="shared" si="0"/>
        <v>1722.9409505827409</v>
      </c>
      <c r="O789" s="5">
        <f t="shared" si="1"/>
        <v>1260</v>
      </c>
      <c r="P789" s="5">
        <f t="shared" si="2"/>
        <v>462.94095058274092</v>
      </c>
      <c r="Q789" s="5" t="s">
        <v>83</v>
      </c>
      <c r="R789" s="5" t="s">
        <v>56</v>
      </c>
      <c r="T789" s="5">
        <v>9</v>
      </c>
      <c r="U789" s="5">
        <v>1</v>
      </c>
      <c r="W789" s="5">
        <f t="shared" si="3"/>
        <v>0</v>
      </c>
    </row>
    <row r="790" spans="1:23" ht="15.75" customHeight="1" x14ac:dyDescent="0.25">
      <c r="A790" s="5" t="s">
        <v>1150</v>
      </c>
      <c r="B790" s="6">
        <v>45166</v>
      </c>
      <c r="C790" s="5" t="s">
        <v>659</v>
      </c>
      <c r="D790" s="5" t="s">
        <v>59</v>
      </c>
      <c r="E790" s="5" t="s">
        <v>49</v>
      </c>
      <c r="F790" s="5" t="s">
        <v>50</v>
      </c>
      <c r="G790" s="5" t="s">
        <v>70</v>
      </c>
      <c r="H790" s="5" t="s">
        <v>44</v>
      </c>
      <c r="I790" s="5" t="s">
        <v>71</v>
      </c>
      <c r="J790" s="5">
        <v>750</v>
      </c>
      <c r="K790" s="7">
        <v>1236.5810619245156</v>
      </c>
      <c r="L790" s="5">
        <v>4</v>
      </c>
      <c r="M790" s="5">
        <v>10</v>
      </c>
      <c r="N790" s="8">
        <f t="shared" si="0"/>
        <v>4451.6918229282564</v>
      </c>
      <c r="O790" s="5">
        <f t="shared" si="1"/>
        <v>3000</v>
      </c>
      <c r="P790" s="5">
        <f t="shared" si="2"/>
        <v>1451.6918229282564</v>
      </c>
      <c r="Q790" s="5" t="s">
        <v>31</v>
      </c>
      <c r="R790" s="5" t="s">
        <v>32</v>
      </c>
      <c r="S790" s="6">
        <v>45175</v>
      </c>
      <c r="T790" s="5">
        <v>6</v>
      </c>
      <c r="U790" s="5">
        <v>4</v>
      </c>
      <c r="V790" s="5" t="s">
        <v>89</v>
      </c>
      <c r="W790" s="5">
        <f t="shared" si="3"/>
        <v>1</v>
      </c>
    </row>
    <row r="791" spans="1:23" ht="15.75" customHeight="1" x14ac:dyDescent="0.25">
      <c r="A791" s="5" t="s">
        <v>1151</v>
      </c>
      <c r="B791" s="6">
        <v>45166</v>
      </c>
      <c r="C791" s="5" t="s">
        <v>1152</v>
      </c>
      <c r="D791" s="5" t="s">
        <v>148</v>
      </c>
      <c r="E791" s="5" t="s">
        <v>69</v>
      </c>
      <c r="F791" s="5" t="s">
        <v>55</v>
      </c>
      <c r="G791" s="5" t="s">
        <v>124</v>
      </c>
      <c r="H791" s="5" t="s">
        <v>76</v>
      </c>
      <c r="I791" s="5" t="s">
        <v>125</v>
      </c>
      <c r="J791" s="5">
        <v>66484</v>
      </c>
      <c r="K791" s="7">
        <v>85856.101235535039</v>
      </c>
      <c r="L791" s="5">
        <v>3</v>
      </c>
      <c r="M791" s="5">
        <v>10</v>
      </c>
      <c r="N791" s="8">
        <f t="shared" si="0"/>
        <v>231811.47333594461</v>
      </c>
      <c r="O791" s="5">
        <f t="shared" si="1"/>
        <v>199452</v>
      </c>
      <c r="P791" s="5">
        <f t="shared" si="2"/>
        <v>32359.473335944611</v>
      </c>
      <c r="Q791" s="5" t="s">
        <v>46</v>
      </c>
      <c r="R791" s="5" t="s">
        <v>32</v>
      </c>
      <c r="S791" s="6">
        <v>45172</v>
      </c>
      <c r="T791" s="5">
        <v>1</v>
      </c>
      <c r="U791" s="5">
        <v>4</v>
      </c>
      <c r="V791" s="5" t="s">
        <v>33</v>
      </c>
      <c r="W791" s="5">
        <f t="shared" si="3"/>
        <v>0</v>
      </c>
    </row>
    <row r="792" spans="1:23" ht="15.75" customHeight="1" x14ac:dyDescent="0.25">
      <c r="A792" s="5" t="s">
        <v>1153</v>
      </c>
      <c r="B792" s="6">
        <v>45166</v>
      </c>
      <c r="C792" s="5" t="s">
        <v>163</v>
      </c>
      <c r="D792" s="5" t="s">
        <v>64</v>
      </c>
      <c r="E792" s="5" t="s">
        <v>60</v>
      </c>
      <c r="F792" s="5" t="s">
        <v>61</v>
      </c>
      <c r="G792" s="5" t="s">
        <v>75</v>
      </c>
      <c r="H792" s="5" t="s">
        <v>76</v>
      </c>
      <c r="I792" s="5" t="s">
        <v>77</v>
      </c>
      <c r="J792" s="5">
        <v>1473</v>
      </c>
      <c r="K792" s="7">
        <v>2049.4306524251128</v>
      </c>
      <c r="L792" s="5">
        <v>3</v>
      </c>
      <c r="M792" s="5">
        <v>0</v>
      </c>
      <c r="N792" s="8">
        <f t="shared" si="0"/>
        <v>6148.2919572753381</v>
      </c>
      <c r="O792" s="5">
        <f t="shared" si="1"/>
        <v>4419</v>
      </c>
      <c r="P792" s="5">
        <f t="shared" si="2"/>
        <v>1729.2919572753381</v>
      </c>
      <c r="Q792" s="5" t="s">
        <v>39</v>
      </c>
      <c r="R792" s="5" t="s">
        <v>56</v>
      </c>
      <c r="T792" s="5">
        <v>9</v>
      </c>
      <c r="U792" s="5">
        <v>1</v>
      </c>
      <c r="W792" s="5">
        <f t="shared" si="3"/>
        <v>0</v>
      </c>
    </row>
    <row r="793" spans="1:23" ht="15.75" customHeight="1" x14ac:dyDescent="0.25">
      <c r="A793" s="5" t="s">
        <v>1154</v>
      </c>
      <c r="B793" s="6">
        <v>45166</v>
      </c>
      <c r="C793" s="5" t="s">
        <v>290</v>
      </c>
      <c r="D793" s="5" t="s">
        <v>102</v>
      </c>
      <c r="E793" s="5" t="s">
        <v>69</v>
      </c>
      <c r="F793" s="5" t="s">
        <v>55</v>
      </c>
      <c r="G793" s="5" t="s">
        <v>92</v>
      </c>
      <c r="H793" s="5" t="s">
        <v>44</v>
      </c>
      <c r="I793" s="5" t="s">
        <v>45</v>
      </c>
      <c r="J793" s="5">
        <v>1461</v>
      </c>
      <c r="K793" s="7">
        <v>1542.5033297517452</v>
      </c>
      <c r="L793" s="5">
        <v>3</v>
      </c>
      <c r="M793" s="5">
        <v>10</v>
      </c>
      <c r="N793" s="8">
        <f t="shared" si="0"/>
        <v>4164.7589903297121</v>
      </c>
      <c r="O793" s="5">
        <f t="shared" si="1"/>
        <v>4383</v>
      </c>
      <c r="P793" s="5">
        <f t="shared" si="2"/>
        <v>-218.24100967028789</v>
      </c>
      <c r="Q793" s="5" t="s">
        <v>46</v>
      </c>
      <c r="R793" s="5" t="s">
        <v>56</v>
      </c>
      <c r="T793" s="5">
        <v>9</v>
      </c>
      <c r="U793" s="5">
        <v>1</v>
      </c>
      <c r="W793" s="5">
        <f t="shared" si="3"/>
        <v>0</v>
      </c>
    </row>
    <row r="794" spans="1:23" ht="15.75" customHeight="1" x14ac:dyDescent="0.25">
      <c r="A794" s="5" t="s">
        <v>1155</v>
      </c>
      <c r="B794" s="6">
        <v>45167</v>
      </c>
      <c r="C794" s="5" t="s">
        <v>197</v>
      </c>
      <c r="D794" s="5" t="s">
        <v>25</v>
      </c>
      <c r="E794" s="5" t="s">
        <v>49</v>
      </c>
      <c r="F794" s="5" t="s">
        <v>50</v>
      </c>
      <c r="G794" s="5" t="s">
        <v>70</v>
      </c>
      <c r="H794" s="5" t="s">
        <v>44</v>
      </c>
      <c r="I794" s="5" t="s">
        <v>71</v>
      </c>
      <c r="J794" s="5">
        <v>785</v>
      </c>
      <c r="K794" s="7">
        <v>1184.4880214997102</v>
      </c>
      <c r="L794" s="5">
        <v>1</v>
      </c>
      <c r="M794" s="5">
        <v>5</v>
      </c>
      <c r="N794" s="8">
        <f t="shared" si="0"/>
        <v>1125.2636204247246</v>
      </c>
      <c r="O794" s="5">
        <f t="shared" si="1"/>
        <v>785</v>
      </c>
      <c r="P794" s="5">
        <f t="shared" si="2"/>
        <v>340.26362042472465</v>
      </c>
      <c r="Q794" s="5" t="s">
        <v>39</v>
      </c>
      <c r="R794" s="5" t="s">
        <v>56</v>
      </c>
      <c r="T794" s="5">
        <v>10</v>
      </c>
      <c r="U794" s="5">
        <v>1</v>
      </c>
      <c r="W794" s="5">
        <f t="shared" si="3"/>
        <v>0</v>
      </c>
    </row>
    <row r="795" spans="1:23" ht="15.75" customHeight="1" x14ac:dyDescent="0.25">
      <c r="A795" s="5" t="s">
        <v>1156</v>
      </c>
      <c r="B795" s="6">
        <v>45167</v>
      </c>
      <c r="C795" s="5" t="s">
        <v>304</v>
      </c>
      <c r="D795" s="5" t="s">
        <v>188</v>
      </c>
      <c r="E795" s="5" t="s">
        <v>26</v>
      </c>
      <c r="F795" s="5" t="s">
        <v>27</v>
      </c>
      <c r="G795" s="5" t="s">
        <v>139</v>
      </c>
      <c r="H795" s="5" t="s">
        <v>76</v>
      </c>
      <c r="I795" s="5" t="s">
        <v>140</v>
      </c>
      <c r="J795" s="5">
        <v>44455</v>
      </c>
      <c r="K795" s="7">
        <v>53824.304644632692</v>
      </c>
      <c r="L795" s="5">
        <v>1</v>
      </c>
      <c r="M795" s="5">
        <v>5</v>
      </c>
      <c r="N795" s="8">
        <f t="shared" si="0"/>
        <v>51133.089412401052</v>
      </c>
      <c r="O795" s="5">
        <f t="shared" si="1"/>
        <v>44455</v>
      </c>
      <c r="P795" s="5">
        <f t="shared" si="2"/>
        <v>6678.089412401052</v>
      </c>
      <c r="Q795" s="5" t="s">
        <v>39</v>
      </c>
      <c r="R795" s="5" t="s">
        <v>32</v>
      </c>
      <c r="S795" s="6">
        <v>45179</v>
      </c>
      <c r="T795" s="5">
        <v>5</v>
      </c>
      <c r="U795" s="5">
        <v>3</v>
      </c>
      <c r="V795" s="5" t="s">
        <v>33</v>
      </c>
      <c r="W795" s="5">
        <f t="shared" si="3"/>
        <v>0</v>
      </c>
    </row>
    <row r="796" spans="1:23" ht="15.75" customHeight="1" x14ac:dyDescent="0.25">
      <c r="A796" s="5" t="s">
        <v>1157</v>
      </c>
      <c r="B796" s="6">
        <v>45167</v>
      </c>
      <c r="C796" s="5" t="s">
        <v>123</v>
      </c>
      <c r="D796" s="5" t="s">
        <v>208</v>
      </c>
      <c r="E796" s="5" t="s">
        <v>69</v>
      </c>
      <c r="F796" s="5" t="s">
        <v>55</v>
      </c>
      <c r="G796" s="5" t="s">
        <v>43</v>
      </c>
      <c r="H796" s="5" t="s">
        <v>44</v>
      </c>
      <c r="I796" s="5" t="s">
        <v>45</v>
      </c>
      <c r="J796" s="5">
        <v>512</v>
      </c>
      <c r="K796" s="7">
        <v>798.17379389871894</v>
      </c>
      <c r="L796" s="5">
        <v>1</v>
      </c>
      <c r="M796" s="5">
        <v>10</v>
      </c>
      <c r="N796" s="8">
        <f t="shared" si="0"/>
        <v>718.35641450884702</v>
      </c>
      <c r="O796" s="5">
        <f t="shared" si="1"/>
        <v>512</v>
      </c>
      <c r="P796" s="5">
        <f t="shared" si="2"/>
        <v>206.35641450884702</v>
      </c>
      <c r="Q796" s="5" t="s">
        <v>39</v>
      </c>
      <c r="R796" s="5" t="s">
        <v>56</v>
      </c>
      <c r="T796" s="5">
        <v>8</v>
      </c>
      <c r="U796" s="5">
        <v>3</v>
      </c>
      <c r="W796" s="5">
        <f t="shared" si="3"/>
        <v>0</v>
      </c>
    </row>
    <row r="797" spans="1:23" ht="15.75" customHeight="1" x14ac:dyDescent="0.25">
      <c r="A797" s="5" t="s">
        <v>1158</v>
      </c>
      <c r="B797" s="6">
        <v>45167</v>
      </c>
      <c r="C797" s="5" t="s">
        <v>466</v>
      </c>
      <c r="D797" s="5" t="s">
        <v>36</v>
      </c>
      <c r="E797" s="5" t="s">
        <v>26</v>
      </c>
      <c r="F797" s="5" t="s">
        <v>27</v>
      </c>
      <c r="G797" s="5" t="s">
        <v>97</v>
      </c>
      <c r="H797" s="5" t="s">
        <v>98</v>
      </c>
      <c r="I797" s="5" t="s">
        <v>99</v>
      </c>
      <c r="J797" s="5">
        <v>280</v>
      </c>
      <c r="K797" s="7">
        <v>484.30090540978421</v>
      </c>
      <c r="L797" s="5">
        <v>2</v>
      </c>
      <c r="M797" s="5">
        <v>0</v>
      </c>
      <c r="N797" s="8">
        <f t="shared" si="0"/>
        <v>968.60181081956841</v>
      </c>
      <c r="O797" s="5">
        <f t="shared" si="1"/>
        <v>560</v>
      </c>
      <c r="P797" s="5">
        <f t="shared" si="2"/>
        <v>408.60181081956841</v>
      </c>
      <c r="Q797" s="5" t="s">
        <v>83</v>
      </c>
      <c r="R797" s="5" t="s">
        <v>56</v>
      </c>
      <c r="T797" s="5">
        <v>10</v>
      </c>
      <c r="U797" s="5">
        <v>1</v>
      </c>
      <c r="W797" s="5">
        <f t="shared" si="3"/>
        <v>0</v>
      </c>
    </row>
    <row r="798" spans="1:23" ht="15.75" customHeight="1" x14ac:dyDescent="0.25">
      <c r="A798" s="5" t="s">
        <v>1159</v>
      </c>
      <c r="B798" s="6">
        <v>45167</v>
      </c>
      <c r="C798" s="5" t="s">
        <v>642</v>
      </c>
      <c r="D798" s="5" t="s">
        <v>74</v>
      </c>
      <c r="E798" s="5" t="s">
        <v>26</v>
      </c>
      <c r="F798" s="5" t="s">
        <v>27</v>
      </c>
      <c r="G798" s="5" t="s">
        <v>43</v>
      </c>
      <c r="H798" s="5" t="s">
        <v>44</v>
      </c>
      <c r="I798" s="5" t="s">
        <v>45</v>
      </c>
      <c r="J798" s="5">
        <v>366</v>
      </c>
      <c r="K798" s="7">
        <v>459.87376664760455</v>
      </c>
      <c r="L798" s="5">
        <v>5</v>
      </c>
      <c r="M798" s="5">
        <v>20</v>
      </c>
      <c r="N798" s="8">
        <f t="shared" si="0"/>
        <v>1839.4950665904184</v>
      </c>
      <c r="O798" s="5">
        <f t="shared" si="1"/>
        <v>1830</v>
      </c>
      <c r="P798" s="5">
        <f t="shared" si="2"/>
        <v>9.4950665904184461</v>
      </c>
      <c r="Q798" s="5" t="s">
        <v>83</v>
      </c>
      <c r="R798" s="5" t="s">
        <v>32</v>
      </c>
      <c r="S798" s="6">
        <v>45176</v>
      </c>
      <c r="T798" s="5">
        <v>5</v>
      </c>
      <c r="U798" s="5">
        <v>4</v>
      </c>
      <c r="V798" s="5" t="s">
        <v>33</v>
      </c>
      <c r="W798" s="5">
        <f t="shared" si="3"/>
        <v>0</v>
      </c>
    </row>
    <row r="799" spans="1:23" ht="15.75" customHeight="1" x14ac:dyDescent="0.25">
      <c r="A799" s="5" t="s">
        <v>1160</v>
      </c>
      <c r="B799" s="6">
        <v>45168</v>
      </c>
      <c r="C799" s="5" t="s">
        <v>96</v>
      </c>
      <c r="D799" s="5" t="s">
        <v>74</v>
      </c>
      <c r="E799" s="5" t="s">
        <v>80</v>
      </c>
      <c r="F799" s="5" t="s">
        <v>80</v>
      </c>
      <c r="G799" s="5" t="s">
        <v>92</v>
      </c>
      <c r="H799" s="5" t="s">
        <v>44</v>
      </c>
      <c r="I799" s="5" t="s">
        <v>45</v>
      </c>
      <c r="J799" s="5">
        <v>1426</v>
      </c>
      <c r="K799" s="7">
        <v>1456.876584760412</v>
      </c>
      <c r="L799" s="5">
        <v>3</v>
      </c>
      <c r="M799" s="5">
        <v>0</v>
      </c>
      <c r="N799" s="8">
        <f t="shared" si="0"/>
        <v>4370.6297542812363</v>
      </c>
      <c r="O799" s="5">
        <f t="shared" si="1"/>
        <v>4278</v>
      </c>
      <c r="P799" s="5">
        <f t="shared" si="2"/>
        <v>92.629754281236274</v>
      </c>
      <c r="Q799" s="5" t="s">
        <v>46</v>
      </c>
      <c r="R799" s="5" t="s">
        <v>32</v>
      </c>
      <c r="S799" s="6">
        <v>45174</v>
      </c>
      <c r="T799" s="5">
        <v>2</v>
      </c>
      <c r="U799" s="5">
        <v>5</v>
      </c>
      <c r="V799" s="5" t="s">
        <v>33</v>
      </c>
      <c r="W799" s="5">
        <f t="shared" si="3"/>
        <v>0</v>
      </c>
    </row>
    <row r="800" spans="1:23" ht="15.75" customHeight="1" x14ac:dyDescent="0.25">
      <c r="A800" s="5" t="s">
        <v>1161</v>
      </c>
      <c r="B800" s="6">
        <v>45168</v>
      </c>
      <c r="C800" s="5" t="s">
        <v>370</v>
      </c>
      <c r="D800" s="5" t="s">
        <v>146</v>
      </c>
      <c r="E800" s="5" t="s">
        <v>26</v>
      </c>
      <c r="F800" s="5" t="s">
        <v>27</v>
      </c>
      <c r="G800" s="5" t="s">
        <v>97</v>
      </c>
      <c r="H800" s="5" t="s">
        <v>98</v>
      </c>
      <c r="I800" s="5" t="s">
        <v>99</v>
      </c>
      <c r="J800" s="5">
        <v>394</v>
      </c>
      <c r="K800" s="7">
        <v>694.22467756558319</v>
      </c>
      <c r="L800" s="5">
        <v>2</v>
      </c>
      <c r="M800" s="5">
        <v>5</v>
      </c>
      <c r="N800" s="8">
        <f t="shared" si="0"/>
        <v>1319.0268873746079</v>
      </c>
      <c r="O800" s="5">
        <f t="shared" si="1"/>
        <v>788</v>
      </c>
      <c r="P800" s="5">
        <f t="shared" si="2"/>
        <v>531.0268873746079</v>
      </c>
      <c r="Q800" s="5" t="s">
        <v>31</v>
      </c>
      <c r="R800" s="5" t="s">
        <v>32</v>
      </c>
      <c r="S800" s="6">
        <v>45177</v>
      </c>
      <c r="T800" s="5">
        <v>2</v>
      </c>
      <c r="U800" s="5">
        <v>5</v>
      </c>
      <c r="V800" s="5" t="s">
        <v>33</v>
      </c>
      <c r="W800" s="5">
        <f t="shared" si="3"/>
        <v>0</v>
      </c>
    </row>
    <row r="801" spans="1:23" ht="15.75" customHeight="1" x14ac:dyDescent="0.25">
      <c r="A801" s="5" t="s">
        <v>1162</v>
      </c>
      <c r="B801" s="6">
        <v>45169</v>
      </c>
      <c r="C801" s="5" t="s">
        <v>480</v>
      </c>
      <c r="D801" s="5" t="s">
        <v>184</v>
      </c>
      <c r="E801" s="5" t="s">
        <v>112</v>
      </c>
      <c r="F801" s="5" t="s">
        <v>113</v>
      </c>
      <c r="G801" s="5" t="s">
        <v>97</v>
      </c>
      <c r="H801" s="5" t="s">
        <v>98</v>
      </c>
      <c r="I801" s="5" t="s">
        <v>99</v>
      </c>
      <c r="J801" s="5">
        <v>553</v>
      </c>
      <c r="K801" s="7">
        <v>992.12709168900221</v>
      </c>
      <c r="L801" s="5">
        <v>3</v>
      </c>
      <c r="M801" s="5">
        <v>5</v>
      </c>
      <c r="N801" s="8">
        <f t="shared" si="0"/>
        <v>2827.5622113136565</v>
      </c>
      <c r="O801" s="5">
        <f t="shared" si="1"/>
        <v>1659</v>
      </c>
      <c r="P801" s="5">
        <f t="shared" si="2"/>
        <v>1168.5622113136565</v>
      </c>
      <c r="Q801" s="5" t="s">
        <v>31</v>
      </c>
      <c r="R801" s="5" t="s">
        <v>56</v>
      </c>
      <c r="T801" s="5">
        <v>10</v>
      </c>
      <c r="U801" s="5">
        <v>1</v>
      </c>
      <c r="W801" s="5">
        <f t="shared" si="3"/>
        <v>0</v>
      </c>
    </row>
    <row r="802" spans="1:23" ht="15.75" customHeight="1" x14ac:dyDescent="0.25">
      <c r="A802" s="5" t="s">
        <v>1163</v>
      </c>
      <c r="B802" s="6">
        <v>45169</v>
      </c>
      <c r="C802" s="5" t="s">
        <v>828</v>
      </c>
      <c r="D802" s="5" t="s">
        <v>116</v>
      </c>
      <c r="E802" s="5" t="s">
        <v>26</v>
      </c>
      <c r="F802" s="5" t="s">
        <v>27</v>
      </c>
      <c r="G802" s="5" t="s">
        <v>139</v>
      </c>
      <c r="H802" s="5" t="s">
        <v>76</v>
      </c>
      <c r="I802" s="5" t="s">
        <v>140</v>
      </c>
      <c r="J802" s="5">
        <v>42836</v>
      </c>
      <c r="K802" s="7">
        <v>73728.623223057584</v>
      </c>
      <c r="L802" s="5">
        <v>3</v>
      </c>
      <c r="M802" s="5">
        <v>20</v>
      </c>
      <c r="N802" s="8">
        <f t="shared" si="0"/>
        <v>176948.6957353382</v>
      </c>
      <c r="O802" s="5">
        <f t="shared" si="1"/>
        <v>128508</v>
      </c>
      <c r="P802" s="5">
        <f t="shared" si="2"/>
        <v>48440.695735338202</v>
      </c>
      <c r="Q802" s="5" t="s">
        <v>39</v>
      </c>
      <c r="R802" s="5" t="s">
        <v>56</v>
      </c>
      <c r="T802" s="5">
        <v>9</v>
      </c>
      <c r="U802" s="5">
        <v>1</v>
      </c>
      <c r="W802" s="5">
        <f t="shared" si="3"/>
        <v>0</v>
      </c>
    </row>
    <row r="803" spans="1:23" ht="15.75" customHeight="1" x14ac:dyDescent="0.25">
      <c r="A803" s="5" t="s">
        <v>1164</v>
      </c>
      <c r="B803" s="6">
        <v>45170</v>
      </c>
      <c r="C803" s="5" t="s">
        <v>833</v>
      </c>
      <c r="D803" s="5" t="s">
        <v>150</v>
      </c>
      <c r="E803" s="5" t="s">
        <v>37</v>
      </c>
      <c r="F803" s="5" t="s">
        <v>38</v>
      </c>
      <c r="G803" s="5" t="s">
        <v>119</v>
      </c>
      <c r="H803" s="5" t="s">
        <v>76</v>
      </c>
      <c r="I803" s="5" t="s">
        <v>120</v>
      </c>
      <c r="J803" s="5">
        <v>33979</v>
      </c>
      <c r="K803" s="7">
        <v>45261.012021381255</v>
      </c>
      <c r="L803" s="5">
        <v>5</v>
      </c>
      <c r="M803" s="5">
        <v>15</v>
      </c>
      <c r="N803" s="8">
        <f t="shared" si="0"/>
        <v>192359.30109087034</v>
      </c>
      <c r="O803" s="5">
        <f t="shared" si="1"/>
        <v>169895</v>
      </c>
      <c r="P803" s="5">
        <f t="shared" si="2"/>
        <v>22464.301090870344</v>
      </c>
      <c r="Q803" s="5" t="s">
        <v>83</v>
      </c>
      <c r="R803" s="5" t="s">
        <v>32</v>
      </c>
      <c r="S803" s="6">
        <v>45180</v>
      </c>
      <c r="T803" s="5">
        <v>4</v>
      </c>
      <c r="U803" s="5">
        <v>3</v>
      </c>
      <c r="V803" s="5" t="s">
        <v>33</v>
      </c>
      <c r="W803" s="5">
        <f t="shared" si="3"/>
        <v>0</v>
      </c>
    </row>
    <row r="804" spans="1:23" ht="15.75" customHeight="1" x14ac:dyDescent="0.25">
      <c r="A804" s="5" t="s">
        <v>1165</v>
      </c>
      <c r="B804" s="6">
        <v>45170</v>
      </c>
      <c r="C804" s="5" t="s">
        <v>765</v>
      </c>
      <c r="D804" s="5" t="s">
        <v>208</v>
      </c>
      <c r="E804" s="5" t="s">
        <v>26</v>
      </c>
      <c r="F804" s="5" t="s">
        <v>27</v>
      </c>
      <c r="G804" s="5" t="s">
        <v>119</v>
      </c>
      <c r="H804" s="5" t="s">
        <v>76</v>
      </c>
      <c r="I804" s="5" t="s">
        <v>120</v>
      </c>
      <c r="J804" s="5">
        <v>46336</v>
      </c>
      <c r="K804" s="7">
        <v>51508.288177488866</v>
      </c>
      <c r="L804" s="5">
        <v>3</v>
      </c>
      <c r="M804" s="5">
        <v>10</v>
      </c>
      <c r="N804" s="8">
        <f t="shared" si="0"/>
        <v>139072.37807921995</v>
      </c>
      <c r="O804" s="5">
        <f t="shared" si="1"/>
        <v>139008</v>
      </c>
      <c r="P804" s="5">
        <f t="shared" si="2"/>
        <v>64.378079219954088</v>
      </c>
      <c r="Q804" s="5" t="s">
        <v>31</v>
      </c>
      <c r="R804" s="5" t="s">
        <v>32</v>
      </c>
      <c r="S804" s="6">
        <v>45181</v>
      </c>
      <c r="T804" s="5">
        <v>6</v>
      </c>
      <c r="U804" s="5">
        <v>4</v>
      </c>
      <c r="V804" s="5" t="s">
        <v>89</v>
      </c>
      <c r="W804" s="5">
        <f t="shared" si="3"/>
        <v>1</v>
      </c>
    </row>
    <row r="805" spans="1:23" ht="15.75" customHeight="1" x14ac:dyDescent="0.25">
      <c r="A805" s="5" t="s">
        <v>1166</v>
      </c>
      <c r="B805" s="6">
        <v>45171</v>
      </c>
      <c r="C805" s="5" t="s">
        <v>255</v>
      </c>
      <c r="D805" s="5" t="s">
        <v>116</v>
      </c>
      <c r="E805" s="5" t="s">
        <v>49</v>
      </c>
      <c r="F805" s="5" t="s">
        <v>50</v>
      </c>
      <c r="G805" s="5" t="s">
        <v>119</v>
      </c>
      <c r="H805" s="5" t="s">
        <v>76</v>
      </c>
      <c r="I805" s="5" t="s">
        <v>120</v>
      </c>
      <c r="J805" s="5">
        <v>74980</v>
      </c>
      <c r="K805" s="7">
        <v>108186.46840287359</v>
      </c>
      <c r="L805" s="5">
        <v>5</v>
      </c>
      <c r="M805" s="5">
        <v>0</v>
      </c>
      <c r="N805" s="8">
        <f t="shared" si="0"/>
        <v>540932.34201436793</v>
      </c>
      <c r="O805" s="5">
        <f t="shared" si="1"/>
        <v>374900</v>
      </c>
      <c r="P805" s="5">
        <f t="shared" si="2"/>
        <v>166032.34201436793</v>
      </c>
      <c r="Q805" s="5" t="s">
        <v>46</v>
      </c>
      <c r="R805" s="5" t="s">
        <v>56</v>
      </c>
      <c r="T805" s="5">
        <v>8</v>
      </c>
      <c r="U805" s="5">
        <v>2</v>
      </c>
      <c r="W805" s="5">
        <f t="shared" si="3"/>
        <v>0</v>
      </c>
    </row>
    <row r="806" spans="1:23" ht="15.75" customHeight="1" x14ac:dyDescent="0.25">
      <c r="A806" s="5" t="s">
        <v>1167</v>
      </c>
      <c r="B806" s="6">
        <v>45171</v>
      </c>
      <c r="C806" s="5" t="s">
        <v>378</v>
      </c>
      <c r="D806" s="5" t="s">
        <v>53</v>
      </c>
      <c r="E806" s="5" t="s">
        <v>49</v>
      </c>
      <c r="F806" s="5" t="s">
        <v>50</v>
      </c>
      <c r="G806" s="5" t="s">
        <v>106</v>
      </c>
      <c r="H806" s="5" t="s">
        <v>98</v>
      </c>
      <c r="I806" s="5" t="s">
        <v>107</v>
      </c>
      <c r="J806" s="5">
        <v>716</v>
      </c>
      <c r="K806" s="7">
        <v>737.50355796587155</v>
      </c>
      <c r="L806" s="5">
        <v>1</v>
      </c>
      <c r="M806" s="5">
        <v>20</v>
      </c>
      <c r="N806" s="8">
        <f t="shared" si="0"/>
        <v>590.00284637269726</v>
      </c>
      <c r="O806" s="5">
        <f t="shared" si="1"/>
        <v>716</v>
      </c>
      <c r="P806" s="5">
        <f t="shared" si="2"/>
        <v>-125.99715362730274</v>
      </c>
      <c r="Q806" s="5" t="s">
        <v>46</v>
      </c>
      <c r="R806" s="5" t="s">
        <v>32</v>
      </c>
      <c r="S806" s="6">
        <v>45177</v>
      </c>
      <c r="T806" s="5">
        <v>3</v>
      </c>
      <c r="U806" s="5">
        <v>3</v>
      </c>
      <c r="V806" s="5" t="s">
        <v>33</v>
      </c>
      <c r="W806" s="5">
        <f t="shared" si="3"/>
        <v>0</v>
      </c>
    </row>
    <row r="807" spans="1:23" ht="15.75" customHeight="1" x14ac:dyDescent="0.25">
      <c r="A807" s="5" t="s">
        <v>1168</v>
      </c>
      <c r="B807" s="6">
        <v>45171</v>
      </c>
      <c r="C807" s="5" t="s">
        <v>856</v>
      </c>
      <c r="D807" s="5" t="s">
        <v>208</v>
      </c>
      <c r="E807" s="5" t="s">
        <v>60</v>
      </c>
      <c r="F807" s="5" t="s">
        <v>61</v>
      </c>
      <c r="G807" s="5" t="s">
        <v>92</v>
      </c>
      <c r="H807" s="5" t="s">
        <v>44</v>
      </c>
      <c r="I807" s="5" t="s">
        <v>45</v>
      </c>
      <c r="J807" s="5">
        <v>1025</v>
      </c>
      <c r="K807" s="7">
        <v>1725.4665007643962</v>
      </c>
      <c r="L807" s="5">
        <v>2</v>
      </c>
      <c r="M807" s="5">
        <v>15</v>
      </c>
      <c r="N807" s="8">
        <f t="shared" si="0"/>
        <v>2933.2930512994735</v>
      </c>
      <c r="O807" s="5">
        <f t="shared" si="1"/>
        <v>2050</v>
      </c>
      <c r="P807" s="5">
        <f t="shared" si="2"/>
        <v>883.29305129947352</v>
      </c>
      <c r="Q807" s="5" t="s">
        <v>83</v>
      </c>
      <c r="R807" s="5" t="s">
        <v>32</v>
      </c>
      <c r="S807" s="6">
        <v>45181</v>
      </c>
      <c r="T807" s="5">
        <v>4</v>
      </c>
      <c r="U807" s="5">
        <v>2</v>
      </c>
      <c r="V807" s="5" t="s">
        <v>33</v>
      </c>
      <c r="W807" s="5">
        <f t="shared" si="3"/>
        <v>0</v>
      </c>
    </row>
    <row r="808" spans="1:23" ht="15.75" customHeight="1" x14ac:dyDescent="0.25">
      <c r="A808" s="5" t="s">
        <v>1169</v>
      </c>
      <c r="B808" s="6">
        <v>45171</v>
      </c>
      <c r="C808" s="5" t="s">
        <v>1170</v>
      </c>
      <c r="D808" s="5" t="s">
        <v>184</v>
      </c>
      <c r="E808" s="5" t="s">
        <v>54</v>
      </c>
      <c r="F808" s="5" t="s">
        <v>55</v>
      </c>
      <c r="G808" s="5" t="s">
        <v>139</v>
      </c>
      <c r="H808" s="5" t="s">
        <v>76</v>
      </c>
      <c r="I808" s="5" t="s">
        <v>140</v>
      </c>
      <c r="J808" s="5">
        <v>42357</v>
      </c>
      <c r="K808" s="7">
        <v>57860.830322199057</v>
      </c>
      <c r="L808" s="5">
        <v>4</v>
      </c>
      <c r="M808" s="5">
        <v>0</v>
      </c>
      <c r="N808" s="8">
        <f t="shared" si="0"/>
        <v>231443.32128879623</v>
      </c>
      <c r="O808" s="5">
        <f t="shared" si="1"/>
        <v>169428</v>
      </c>
      <c r="P808" s="5">
        <f t="shared" si="2"/>
        <v>62015.321288796229</v>
      </c>
      <c r="Q808" s="5" t="s">
        <v>31</v>
      </c>
      <c r="R808" s="5" t="s">
        <v>56</v>
      </c>
      <c r="T808" s="5">
        <v>7</v>
      </c>
      <c r="U808" s="5">
        <v>3</v>
      </c>
      <c r="W808" s="5">
        <f t="shared" si="3"/>
        <v>0</v>
      </c>
    </row>
    <row r="809" spans="1:23" ht="15.75" customHeight="1" x14ac:dyDescent="0.25">
      <c r="A809" s="5" t="s">
        <v>1171</v>
      </c>
      <c r="B809" s="6">
        <v>45171</v>
      </c>
      <c r="C809" s="5" t="s">
        <v>267</v>
      </c>
      <c r="D809" s="5" t="s">
        <v>116</v>
      </c>
      <c r="E809" s="5" t="s">
        <v>60</v>
      </c>
      <c r="F809" s="5" t="s">
        <v>61</v>
      </c>
      <c r="G809" s="5" t="s">
        <v>139</v>
      </c>
      <c r="H809" s="5" t="s">
        <v>76</v>
      </c>
      <c r="I809" s="5" t="s">
        <v>140</v>
      </c>
      <c r="J809" s="5">
        <v>42796</v>
      </c>
      <c r="K809" s="7">
        <v>60352.074069712115</v>
      </c>
      <c r="L809" s="5">
        <v>3</v>
      </c>
      <c r="M809" s="5">
        <v>15</v>
      </c>
      <c r="N809" s="8">
        <f t="shared" si="0"/>
        <v>153897.78887776588</v>
      </c>
      <c r="O809" s="5">
        <f t="shared" si="1"/>
        <v>128388</v>
      </c>
      <c r="P809" s="5">
        <f t="shared" si="2"/>
        <v>25509.788877765881</v>
      </c>
      <c r="Q809" s="5" t="s">
        <v>83</v>
      </c>
      <c r="R809" s="5" t="s">
        <v>56</v>
      </c>
      <c r="T809" s="5">
        <v>10</v>
      </c>
      <c r="U809" s="5">
        <v>1</v>
      </c>
      <c r="W809" s="5">
        <f t="shared" si="3"/>
        <v>0</v>
      </c>
    </row>
    <row r="810" spans="1:23" ht="15.75" customHeight="1" x14ac:dyDescent="0.25">
      <c r="A810" s="5" t="s">
        <v>1172</v>
      </c>
      <c r="B810" s="6">
        <v>45171</v>
      </c>
      <c r="C810" s="5" t="s">
        <v>272</v>
      </c>
      <c r="D810" s="5" t="s">
        <v>42</v>
      </c>
      <c r="E810" s="5" t="s">
        <v>80</v>
      </c>
      <c r="F810" s="5" t="s">
        <v>80</v>
      </c>
      <c r="G810" s="5" t="s">
        <v>81</v>
      </c>
      <c r="H810" s="5" t="s">
        <v>44</v>
      </c>
      <c r="I810" s="5" t="s">
        <v>82</v>
      </c>
      <c r="J810" s="5">
        <v>2752</v>
      </c>
      <c r="K810" s="7">
        <v>3428.0204420007412</v>
      </c>
      <c r="L810" s="5">
        <v>4</v>
      </c>
      <c r="M810" s="5">
        <v>0</v>
      </c>
      <c r="N810" s="8">
        <f t="shared" si="0"/>
        <v>13712.081768002965</v>
      </c>
      <c r="O810" s="5">
        <f t="shared" si="1"/>
        <v>11008</v>
      </c>
      <c r="P810" s="5">
        <f t="shared" si="2"/>
        <v>2704.081768002965</v>
      </c>
      <c r="Q810" s="5" t="s">
        <v>83</v>
      </c>
      <c r="R810" s="5" t="s">
        <v>56</v>
      </c>
      <c r="T810" s="5">
        <v>8</v>
      </c>
      <c r="U810" s="5">
        <v>2</v>
      </c>
      <c r="W810" s="5">
        <f t="shared" si="3"/>
        <v>0</v>
      </c>
    </row>
    <row r="811" spans="1:23" ht="15.75" customHeight="1" x14ac:dyDescent="0.25">
      <c r="A811" s="5" t="s">
        <v>1173</v>
      </c>
      <c r="B811" s="6">
        <v>45172</v>
      </c>
      <c r="C811" s="5" t="s">
        <v>309</v>
      </c>
      <c r="D811" s="5" t="s">
        <v>25</v>
      </c>
      <c r="E811" s="5" t="s">
        <v>26</v>
      </c>
      <c r="F811" s="5" t="s">
        <v>27</v>
      </c>
      <c r="G811" s="5" t="s">
        <v>119</v>
      </c>
      <c r="H811" s="5" t="s">
        <v>76</v>
      </c>
      <c r="I811" s="5" t="s">
        <v>120</v>
      </c>
      <c r="J811" s="5">
        <v>34160</v>
      </c>
      <c r="K811" s="7">
        <v>37427.471007809414</v>
      </c>
      <c r="L811" s="5">
        <v>1</v>
      </c>
      <c r="M811" s="5">
        <v>20</v>
      </c>
      <c r="N811" s="8">
        <f t="shared" si="0"/>
        <v>29941.976806247534</v>
      </c>
      <c r="O811" s="5">
        <f t="shared" si="1"/>
        <v>34160</v>
      </c>
      <c r="P811" s="5">
        <f t="shared" si="2"/>
        <v>-4218.0231937524659</v>
      </c>
      <c r="Q811" s="5" t="s">
        <v>31</v>
      </c>
      <c r="R811" s="5" t="s">
        <v>56</v>
      </c>
      <c r="T811" s="5">
        <v>10</v>
      </c>
      <c r="U811" s="5">
        <v>1</v>
      </c>
      <c r="W811" s="5">
        <f t="shared" si="3"/>
        <v>0</v>
      </c>
    </row>
    <row r="812" spans="1:23" ht="15.75" customHeight="1" x14ac:dyDescent="0.25">
      <c r="A812" s="5" t="s">
        <v>1174</v>
      </c>
      <c r="B812" s="6">
        <v>45172</v>
      </c>
      <c r="C812" s="5" t="s">
        <v>329</v>
      </c>
      <c r="D812" s="5" t="s">
        <v>42</v>
      </c>
      <c r="E812" s="5" t="s">
        <v>26</v>
      </c>
      <c r="F812" s="5" t="s">
        <v>27</v>
      </c>
      <c r="G812" s="5" t="s">
        <v>97</v>
      </c>
      <c r="H812" s="5" t="s">
        <v>98</v>
      </c>
      <c r="I812" s="5" t="s">
        <v>99</v>
      </c>
      <c r="J812" s="5">
        <v>255</v>
      </c>
      <c r="K812" s="7">
        <v>331.20601270841746</v>
      </c>
      <c r="L812" s="5">
        <v>2</v>
      </c>
      <c r="M812" s="5">
        <v>0</v>
      </c>
      <c r="N812" s="8">
        <f t="shared" si="0"/>
        <v>662.41202541683492</v>
      </c>
      <c r="O812" s="5">
        <f t="shared" si="1"/>
        <v>510</v>
      </c>
      <c r="P812" s="5">
        <f t="shared" si="2"/>
        <v>152.41202541683492</v>
      </c>
      <c r="Q812" s="5" t="s">
        <v>83</v>
      </c>
      <c r="R812" s="5" t="s">
        <v>32</v>
      </c>
      <c r="S812" s="6">
        <v>45183</v>
      </c>
      <c r="T812" s="5">
        <v>5</v>
      </c>
      <c r="U812" s="5">
        <v>4</v>
      </c>
      <c r="V812" s="5" t="s">
        <v>33</v>
      </c>
      <c r="W812" s="5">
        <f t="shared" si="3"/>
        <v>0</v>
      </c>
    </row>
    <row r="813" spans="1:23" ht="15.75" customHeight="1" x14ac:dyDescent="0.25">
      <c r="A813" s="5" t="s">
        <v>1175</v>
      </c>
      <c r="B813" s="6">
        <v>45172</v>
      </c>
      <c r="C813" s="5" t="s">
        <v>685</v>
      </c>
      <c r="D813" s="5" t="s">
        <v>135</v>
      </c>
      <c r="E813" s="5" t="s">
        <v>80</v>
      </c>
      <c r="F813" s="5" t="s">
        <v>80</v>
      </c>
      <c r="G813" s="5" t="s">
        <v>70</v>
      </c>
      <c r="H813" s="5" t="s">
        <v>44</v>
      </c>
      <c r="I813" s="5" t="s">
        <v>71</v>
      </c>
      <c r="J813" s="5">
        <v>1642</v>
      </c>
      <c r="K813" s="7">
        <v>2081.6018907766202</v>
      </c>
      <c r="L813" s="5">
        <v>5</v>
      </c>
      <c r="M813" s="5">
        <v>20</v>
      </c>
      <c r="N813" s="8">
        <f t="shared" si="0"/>
        <v>8326.4075631064807</v>
      </c>
      <c r="O813" s="5">
        <f t="shared" si="1"/>
        <v>8210</v>
      </c>
      <c r="P813" s="5">
        <f t="shared" si="2"/>
        <v>116.40756310648067</v>
      </c>
      <c r="Q813" s="5" t="s">
        <v>83</v>
      </c>
      <c r="R813" s="5" t="s">
        <v>56</v>
      </c>
      <c r="T813" s="5">
        <v>7</v>
      </c>
      <c r="U813" s="5">
        <v>2</v>
      </c>
      <c r="W813" s="5">
        <f t="shared" si="3"/>
        <v>0</v>
      </c>
    </row>
    <row r="814" spans="1:23" ht="15.75" customHeight="1" x14ac:dyDescent="0.25">
      <c r="A814" s="5" t="s">
        <v>1176</v>
      </c>
      <c r="B814" s="6">
        <v>45172</v>
      </c>
      <c r="C814" s="5" t="s">
        <v>681</v>
      </c>
      <c r="D814" s="5" t="s">
        <v>184</v>
      </c>
      <c r="E814" s="5" t="s">
        <v>49</v>
      </c>
      <c r="F814" s="5" t="s">
        <v>50</v>
      </c>
      <c r="G814" s="5" t="s">
        <v>87</v>
      </c>
      <c r="H814" s="5" t="s">
        <v>29</v>
      </c>
      <c r="I814" s="5" t="s">
        <v>88</v>
      </c>
      <c r="J814" s="5">
        <v>28591</v>
      </c>
      <c r="K814" s="7">
        <v>40855.275791723318</v>
      </c>
      <c r="L814" s="5">
        <v>1</v>
      </c>
      <c r="M814" s="5">
        <v>0</v>
      </c>
      <c r="N814" s="8">
        <f t="shared" si="0"/>
        <v>40855.275791723318</v>
      </c>
      <c r="O814" s="5">
        <f t="shared" si="1"/>
        <v>28591</v>
      </c>
      <c r="P814" s="5">
        <f t="shared" si="2"/>
        <v>12264.275791723318</v>
      </c>
      <c r="Q814" s="5" t="s">
        <v>31</v>
      </c>
      <c r="R814" s="5" t="s">
        <v>32</v>
      </c>
      <c r="S814" s="6">
        <v>45182</v>
      </c>
      <c r="T814" s="5">
        <v>3</v>
      </c>
      <c r="U814" s="5">
        <v>2</v>
      </c>
      <c r="V814" s="5" t="s">
        <v>33</v>
      </c>
      <c r="W814" s="5">
        <f t="shared" si="3"/>
        <v>0</v>
      </c>
    </row>
    <row r="815" spans="1:23" ht="15.75" customHeight="1" x14ac:dyDescent="0.25">
      <c r="A815" s="5" t="s">
        <v>1177</v>
      </c>
      <c r="B815" s="6">
        <v>45173</v>
      </c>
      <c r="C815" s="5" t="s">
        <v>437</v>
      </c>
      <c r="D815" s="5" t="s">
        <v>188</v>
      </c>
      <c r="E815" s="5" t="s">
        <v>60</v>
      </c>
      <c r="F815" s="5" t="s">
        <v>61</v>
      </c>
      <c r="G815" s="5" t="s">
        <v>124</v>
      </c>
      <c r="H815" s="5" t="s">
        <v>76</v>
      </c>
      <c r="I815" s="5" t="s">
        <v>125</v>
      </c>
      <c r="J815" s="5">
        <v>77328</v>
      </c>
      <c r="K815" s="7">
        <v>125212.72087838216</v>
      </c>
      <c r="L815" s="5">
        <v>3</v>
      </c>
      <c r="M815" s="5">
        <v>5</v>
      </c>
      <c r="N815" s="8">
        <f t="shared" si="0"/>
        <v>356856.25450338912</v>
      </c>
      <c r="O815" s="5">
        <f t="shared" si="1"/>
        <v>231984</v>
      </c>
      <c r="P815" s="5">
        <f t="shared" si="2"/>
        <v>124872.25450338912</v>
      </c>
      <c r="Q815" s="5" t="s">
        <v>46</v>
      </c>
      <c r="R815" s="5" t="s">
        <v>56</v>
      </c>
      <c r="T815" s="5">
        <v>9</v>
      </c>
      <c r="U815" s="5">
        <v>1</v>
      </c>
      <c r="W815" s="5">
        <f t="shared" si="3"/>
        <v>0</v>
      </c>
    </row>
    <row r="816" spans="1:23" ht="15.75" customHeight="1" x14ac:dyDescent="0.25">
      <c r="A816" s="5" t="s">
        <v>1178</v>
      </c>
      <c r="B816" s="6">
        <v>45173</v>
      </c>
      <c r="C816" s="5" t="s">
        <v>1179</v>
      </c>
      <c r="D816" s="5" t="s">
        <v>184</v>
      </c>
      <c r="E816" s="5" t="s">
        <v>60</v>
      </c>
      <c r="F816" s="5" t="s">
        <v>61</v>
      </c>
      <c r="G816" s="5" t="s">
        <v>87</v>
      </c>
      <c r="H816" s="5" t="s">
        <v>29</v>
      </c>
      <c r="I816" s="5" t="s">
        <v>88</v>
      </c>
      <c r="J816" s="5">
        <v>21285</v>
      </c>
      <c r="K816" s="7">
        <v>37686.16765486166</v>
      </c>
      <c r="L816" s="5">
        <v>3</v>
      </c>
      <c r="M816" s="5">
        <v>0</v>
      </c>
      <c r="N816" s="8">
        <f t="shared" si="0"/>
        <v>113058.50296458497</v>
      </c>
      <c r="O816" s="5">
        <f t="shared" si="1"/>
        <v>63855</v>
      </c>
      <c r="P816" s="5">
        <f t="shared" si="2"/>
        <v>49203.502964584972</v>
      </c>
      <c r="Q816" s="5" t="s">
        <v>46</v>
      </c>
      <c r="R816" s="5" t="s">
        <v>56</v>
      </c>
      <c r="T816" s="5">
        <v>7</v>
      </c>
      <c r="U816" s="5">
        <v>3</v>
      </c>
      <c r="W816" s="5">
        <f t="shared" si="3"/>
        <v>0</v>
      </c>
    </row>
    <row r="817" spans="1:23" ht="15.75" customHeight="1" x14ac:dyDescent="0.25">
      <c r="A817" s="5" t="s">
        <v>1180</v>
      </c>
      <c r="B817" s="6">
        <v>45174</v>
      </c>
      <c r="C817" s="5" t="s">
        <v>628</v>
      </c>
      <c r="D817" s="5" t="s">
        <v>64</v>
      </c>
      <c r="E817" s="5" t="s">
        <v>60</v>
      </c>
      <c r="F817" s="5" t="s">
        <v>61</v>
      </c>
      <c r="G817" s="5" t="s">
        <v>97</v>
      </c>
      <c r="H817" s="5" t="s">
        <v>98</v>
      </c>
      <c r="I817" s="5" t="s">
        <v>99</v>
      </c>
      <c r="J817" s="5">
        <v>384</v>
      </c>
      <c r="K817" s="7">
        <v>439.57838380175792</v>
      </c>
      <c r="L817" s="5">
        <v>5</v>
      </c>
      <c r="M817" s="5">
        <v>5</v>
      </c>
      <c r="N817" s="8">
        <f t="shared" si="0"/>
        <v>2087.99732305835</v>
      </c>
      <c r="O817" s="5">
        <f t="shared" si="1"/>
        <v>1920</v>
      </c>
      <c r="P817" s="5">
        <f t="shared" si="2"/>
        <v>167.99732305835005</v>
      </c>
      <c r="Q817" s="5" t="s">
        <v>39</v>
      </c>
      <c r="R817" s="5" t="s">
        <v>32</v>
      </c>
      <c r="S817" s="6">
        <v>45184</v>
      </c>
      <c r="T817" s="5">
        <v>6</v>
      </c>
      <c r="U817" s="5">
        <v>2</v>
      </c>
      <c r="V817" s="5" t="s">
        <v>33</v>
      </c>
      <c r="W817" s="5">
        <f t="shared" si="3"/>
        <v>0</v>
      </c>
    </row>
    <row r="818" spans="1:23" ht="15.75" customHeight="1" x14ac:dyDescent="0.25">
      <c r="A818" s="5" t="s">
        <v>1181</v>
      </c>
      <c r="B818" s="6">
        <v>45174</v>
      </c>
      <c r="C818" s="5" t="s">
        <v>698</v>
      </c>
      <c r="D818" s="5" t="s">
        <v>188</v>
      </c>
      <c r="E818" s="5" t="s">
        <v>80</v>
      </c>
      <c r="F818" s="5" t="s">
        <v>80</v>
      </c>
      <c r="G818" s="5" t="s">
        <v>119</v>
      </c>
      <c r="H818" s="5" t="s">
        <v>76</v>
      </c>
      <c r="I818" s="5" t="s">
        <v>120</v>
      </c>
      <c r="J818" s="5">
        <v>47192</v>
      </c>
      <c r="K818" s="7">
        <v>73624.570258095031</v>
      </c>
      <c r="L818" s="5">
        <v>1</v>
      </c>
      <c r="M818" s="5">
        <v>10</v>
      </c>
      <c r="N818" s="8">
        <f t="shared" si="0"/>
        <v>66262.113232285526</v>
      </c>
      <c r="O818" s="5">
        <f t="shared" si="1"/>
        <v>47192</v>
      </c>
      <c r="P818" s="5">
        <f t="shared" si="2"/>
        <v>19070.113232285526</v>
      </c>
      <c r="Q818" s="5" t="s">
        <v>83</v>
      </c>
      <c r="R818" s="5" t="s">
        <v>32</v>
      </c>
      <c r="S818" s="6">
        <v>45187</v>
      </c>
      <c r="T818" s="5">
        <v>6</v>
      </c>
      <c r="U818" s="5">
        <v>3</v>
      </c>
      <c r="V818" s="5" t="s">
        <v>33</v>
      </c>
      <c r="W818" s="5">
        <f t="shared" si="3"/>
        <v>0</v>
      </c>
    </row>
    <row r="819" spans="1:23" ht="15.75" customHeight="1" x14ac:dyDescent="0.25">
      <c r="A819" s="5" t="s">
        <v>1182</v>
      </c>
      <c r="B819" s="6">
        <v>45175</v>
      </c>
      <c r="C819" s="5" t="s">
        <v>352</v>
      </c>
      <c r="D819" s="5" t="s">
        <v>105</v>
      </c>
      <c r="E819" s="5" t="s">
        <v>26</v>
      </c>
      <c r="F819" s="5" t="s">
        <v>27</v>
      </c>
      <c r="G819" s="5" t="s">
        <v>87</v>
      </c>
      <c r="H819" s="5" t="s">
        <v>29</v>
      </c>
      <c r="I819" s="5" t="s">
        <v>88</v>
      </c>
      <c r="J819" s="5">
        <v>23955</v>
      </c>
      <c r="K819" s="7">
        <v>40400.872993616933</v>
      </c>
      <c r="L819" s="5">
        <v>1</v>
      </c>
      <c r="M819" s="5">
        <v>10</v>
      </c>
      <c r="N819" s="8">
        <f t="shared" si="0"/>
        <v>36360.785694255239</v>
      </c>
      <c r="O819" s="5">
        <f t="shared" si="1"/>
        <v>23955</v>
      </c>
      <c r="P819" s="5">
        <f t="shared" si="2"/>
        <v>12405.785694255239</v>
      </c>
      <c r="Q819" s="5" t="s">
        <v>31</v>
      </c>
      <c r="R819" s="5" t="s">
        <v>56</v>
      </c>
      <c r="T819" s="5">
        <v>10</v>
      </c>
      <c r="U819" s="5">
        <v>1</v>
      </c>
      <c r="W819" s="5">
        <f t="shared" si="3"/>
        <v>0</v>
      </c>
    </row>
    <row r="820" spans="1:23" ht="15.75" customHeight="1" x14ac:dyDescent="0.25">
      <c r="A820" s="5" t="s">
        <v>1183</v>
      </c>
      <c r="B820" s="6">
        <v>45175</v>
      </c>
      <c r="C820" s="5" t="s">
        <v>692</v>
      </c>
      <c r="D820" s="5" t="s">
        <v>25</v>
      </c>
      <c r="E820" s="5" t="s">
        <v>80</v>
      </c>
      <c r="F820" s="5" t="s">
        <v>80</v>
      </c>
      <c r="G820" s="5" t="s">
        <v>81</v>
      </c>
      <c r="H820" s="5" t="s">
        <v>44</v>
      </c>
      <c r="I820" s="5" t="s">
        <v>82</v>
      </c>
      <c r="J820" s="5">
        <v>1512</v>
      </c>
      <c r="K820" s="7">
        <v>2522.0324095027363</v>
      </c>
      <c r="L820" s="5">
        <v>4</v>
      </c>
      <c r="M820" s="5">
        <v>20</v>
      </c>
      <c r="N820" s="8">
        <f t="shared" si="0"/>
        <v>8070.5037104087569</v>
      </c>
      <c r="O820" s="5">
        <f t="shared" si="1"/>
        <v>6048</v>
      </c>
      <c r="P820" s="5">
        <f t="shared" si="2"/>
        <v>2022.5037104087569</v>
      </c>
      <c r="Q820" s="5" t="s">
        <v>39</v>
      </c>
      <c r="R820" s="5" t="s">
        <v>32</v>
      </c>
      <c r="S820" s="6">
        <v>45187</v>
      </c>
      <c r="T820" s="5">
        <v>6</v>
      </c>
      <c r="U820" s="5">
        <v>3</v>
      </c>
      <c r="V820" s="5" t="s">
        <v>33</v>
      </c>
      <c r="W820" s="5">
        <f t="shared" si="3"/>
        <v>0</v>
      </c>
    </row>
    <row r="821" spans="1:23" ht="15.75" customHeight="1" x14ac:dyDescent="0.25">
      <c r="A821" s="5" t="s">
        <v>1184</v>
      </c>
      <c r="B821" s="6">
        <v>45175</v>
      </c>
      <c r="C821" s="5" t="s">
        <v>159</v>
      </c>
      <c r="D821" s="5" t="s">
        <v>208</v>
      </c>
      <c r="E821" s="5" t="s">
        <v>26</v>
      </c>
      <c r="F821" s="5" t="s">
        <v>27</v>
      </c>
      <c r="G821" s="5" t="s">
        <v>87</v>
      </c>
      <c r="H821" s="5" t="s">
        <v>29</v>
      </c>
      <c r="I821" s="5" t="s">
        <v>88</v>
      </c>
      <c r="J821" s="5">
        <v>23674</v>
      </c>
      <c r="K821" s="7">
        <v>39939.515913058574</v>
      </c>
      <c r="L821" s="5">
        <v>5</v>
      </c>
      <c r="M821" s="5">
        <v>0</v>
      </c>
      <c r="N821" s="8">
        <f t="shared" si="0"/>
        <v>199697.57956529286</v>
      </c>
      <c r="O821" s="5">
        <f t="shared" si="1"/>
        <v>118370</v>
      </c>
      <c r="P821" s="5">
        <f t="shared" si="2"/>
        <v>81327.579565292865</v>
      </c>
      <c r="Q821" s="5" t="s">
        <v>31</v>
      </c>
      <c r="R821" s="5" t="s">
        <v>56</v>
      </c>
      <c r="T821" s="5">
        <v>9</v>
      </c>
      <c r="U821" s="5">
        <v>1</v>
      </c>
      <c r="W821" s="5">
        <f t="shared" si="3"/>
        <v>0</v>
      </c>
    </row>
    <row r="822" spans="1:23" ht="15.75" customHeight="1" x14ac:dyDescent="0.25">
      <c r="A822" s="5" t="s">
        <v>1185</v>
      </c>
      <c r="B822" s="6">
        <v>45175</v>
      </c>
      <c r="C822" s="5" t="s">
        <v>366</v>
      </c>
      <c r="D822" s="5" t="s">
        <v>181</v>
      </c>
      <c r="E822" s="5" t="s">
        <v>69</v>
      </c>
      <c r="F822" s="5" t="s">
        <v>55</v>
      </c>
      <c r="G822" s="5" t="s">
        <v>139</v>
      </c>
      <c r="H822" s="5" t="s">
        <v>76</v>
      </c>
      <c r="I822" s="5" t="s">
        <v>140</v>
      </c>
      <c r="J822" s="5">
        <v>47616</v>
      </c>
      <c r="K822" s="7">
        <v>77170.171730120099</v>
      </c>
      <c r="L822" s="5">
        <v>3</v>
      </c>
      <c r="M822" s="5">
        <v>10</v>
      </c>
      <c r="N822" s="8">
        <f t="shared" si="0"/>
        <v>208359.46367132428</v>
      </c>
      <c r="O822" s="5">
        <f t="shared" si="1"/>
        <v>142848</v>
      </c>
      <c r="P822" s="5">
        <f t="shared" si="2"/>
        <v>65511.46367132428</v>
      </c>
      <c r="Q822" s="5" t="s">
        <v>83</v>
      </c>
      <c r="R822" s="5" t="s">
        <v>32</v>
      </c>
      <c r="S822" s="6">
        <v>45183</v>
      </c>
      <c r="T822" s="5">
        <v>5</v>
      </c>
      <c r="U822" s="5">
        <v>4</v>
      </c>
      <c r="V822" s="5" t="s">
        <v>33</v>
      </c>
      <c r="W822" s="5">
        <f t="shared" si="3"/>
        <v>0</v>
      </c>
    </row>
    <row r="823" spans="1:23" ht="15.75" customHeight="1" x14ac:dyDescent="0.25">
      <c r="A823" s="5" t="s">
        <v>1186</v>
      </c>
      <c r="B823" s="6">
        <v>45175</v>
      </c>
      <c r="C823" s="5" t="s">
        <v>536</v>
      </c>
      <c r="D823" s="5" t="s">
        <v>64</v>
      </c>
      <c r="E823" s="5" t="s">
        <v>49</v>
      </c>
      <c r="F823" s="5" t="s">
        <v>50</v>
      </c>
      <c r="G823" s="5" t="s">
        <v>43</v>
      </c>
      <c r="H823" s="5" t="s">
        <v>44</v>
      </c>
      <c r="I823" s="5" t="s">
        <v>45</v>
      </c>
      <c r="J823" s="5">
        <v>359</v>
      </c>
      <c r="K823" s="7">
        <v>558.63497536635703</v>
      </c>
      <c r="L823" s="5">
        <v>5</v>
      </c>
      <c r="M823" s="5">
        <v>15</v>
      </c>
      <c r="N823" s="8">
        <f t="shared" si="0"/>
        <v>2374.1986453070176</v>
      </c>
      <c r="O823" s="5">
        <f t="shared" si="1"/>
        <v>1795</v>
      </c>
      <c r="P823" s="5">
        <f t="shared" si="2"/>
        <v>579.19864530701761</v>
      </c>
      <c r="Q823" s="5" t="s">
        <v>31</v>
      </c>
      <c r="R823" s="5" t="s">
        <v>32</v>
      </c>
      <c r="S823" s="6">
        <v>45182</v>
      </c>
      <c r="T823" s="5">
        <v>4</v>
      </c>
      <c r="U823" s="5">
        <v>4</v>
      </c>
      <c r="V823" s="5" t="s">
        <v>33</v>
      </c>
      <c r="W823" s="5">
        <f t="shared" si="3"/>
        <v>0</v>
      </c>
    </row>
    <row r="824" spans="1:23" ht="15.75" customHeight="1" x14ac:dyDescent="0.25">
      <c r="A824" s="5" t="s">
        <v>1187</v>
      </c>
      <c r="B824" s="6">
        <v>45175</v>
      </c>
      <c r="C824" s="5" t="s">
        <v>132</v>
      </c>
      <c r="D824" s="5" t="s">
        <v>208</v>
      </c>
      <c r="E824" s="5" t="s">
        <v>80</v>
      </c>
      <c r="F824" s="5" t="s">
        <v>80</v>
      </c>
      <c r="G824" s="5" t="s">
        <v>97</v>
      </c>
      <c r="H824" s="5" t="s">
        <v>98</v>
      </c>
      <c r="I824" s="5" t="s">
        <v>99</v>
      </c>
      <c r="J824" s="5">
        <v>328</v>
      </c>
      <c r="K824" s="7">
        <v>544.35553274262509</v>
      </c>
      <c r="L824" s="5">
        <v>4</v>
      </c>
      <c r="M824" s="5">
        <v>0</v>
      </c>
      <c r="N824" s="8">
        <f t="shared" si="0"/>
        <v>2177.4221309705003</v>
      </c>
      <c r="O824" s="5">
        <f t="shared" si="1"/>
        <v>1312</v>
      </c>
      <c r="P824" s="5">
        <f t="shared" si="2"/>
        <v>865.42213097050035</v>
      </c>
      <c r="Q824" s="5" t="s">
        <v>83</v>
      </c>
      <c r="R824" s="5" t="s">
        <v>56</v>
      </c>
      <c r="T824" s="5">
        <v>10</v>
      </c>
      <c r="U824" s="5">
        <v>1</v>
      </c>
      <c r="W824" s="5">
        <f t="shared" si="3"/>
        <v>0</v>
      </c>
    </row>
    <row r="825" spans="1:23" ht="15.75" customHeight="1" x14ac:dyDescent="0.25">
      <c r="A825" s="5" t="s">
        <v>1188</v>
      </c>
      <c r="B825" s="6">
        <v>45176</v>
      </c>
      <c r="C825" s="5" t="s">
        <v>1189</v>
      </c>
      <c r="D825" s="5" t="s">
        <v>53</v>
      </c>
      <c r="E825" s="5" t="s">
        <v>49</v>
      </c>
      <c r="F825" s="5" t="s">
        <v>50</v>
      </c>
      <c r="G825" s="5" t="s">
        <v>119</v>
      </c>
      <c r="H825" s="5" t="s">
        <v>76</v>
      </c>
      <c r="I825" s="5" t="s">
        <v>120</v>
      </c>
      <c r="J825" s="5">
        <v>27874</v>
      </c>
      <c r="K825" s="7">
        <v>32938.456482107547</v>
      </c>
      <c r="L825" s="5">
        <v>4</v>
      </c>
      <c r="M825" s="5">
        <v>0</v>
      </c>
      <c r="N825" s="8">
        <f t="shared" si="0"/>
        <v>131753.82592843019</v>
      </c>
      <c r="O825" s="5">
        <f t="shared" si="1"/>
        <v>111496</v>
      </c>
      <c r="P825" s="5">
        <f t="shared" si="2"/>
        <v>20257.825928430189</v>
      </c>
      <c r="Q825" s="5" t="s">
        <v>46</v>
      </c>
      <c r="R825" s="5" t="s">
        <v>32</v>
      </c>
      <c r="S825" s="6">
        <v>45187</v>
      </c>
      <c r="T825" s="5">
        <v>4</v>
      </c>
      <c r="U825" s="5">
        <v>2</v>
      </c>
      <c r="V825" s="5" t="s">
        <v>33</v>
      </c>
      <c r="W825" s="5">
        <f t="shared" si="3"/>
        <v>0</v>
      </c>
    </row>
    <row r="826" spans="1:23" ht="15.75" customHeight="1" x14ac:dyDescent="0.25">
      <c r="A826" s="5" t="s">
        <v>1190</v>
      </c>
      <c r="B826" s="6">
        <v>45176</v>
      </c>
      <c r="C826" s="5" t="s">
        <v>482</v>
      </c>
      <c r="D826" s="5" t="s">
        <v>148</v>
      </c>
      <c r="E826" s="5" t="s">
        <v>60</v>
      </c>
      <c r="F826" s="5" t="s">
        <v>61</v>
      </c>
      <c r="G826" s="5" t="s">
        <v>87</v>
      </c>
      <c r="H826" s="5" t="s">
        <v>29</v>
      </c>
      <c r="I826" s="5" t="s">
        <v>88</v>
      </c>
      <c r="J826" s="5">
        <v>42931</v>
      </c>
      <c r="K826" s="7">
        <v>53014.452505069261</v>
      </c>
      <c r="L826" s="5">
        <v>1</v>
      </c>
      <c r="M826" s="5">
        <v>20</v>
      </c>
      <c r="N826" s="8">
        <f t="shared" si="0"/>
        <v>42411.562004055413</v>
      </c>
      <c r="O826" s="5">
        <f t="shared" si="1"/>
        <v>42931</v>
      </c>
      <c r="P826" s="5">
        <f t="shared" si="2"/>
        <v>-519.43799594458687</v>
      </c>
      <c r="Q826" s="5" t="s">
        <v>83</v>
      </c>
      <c r="R826" s="5" t="s">
        <v>56</v>
      </c>
      <c r="T826" s="5">
        <v>8</v>
      </c>
      <c r="U826" s="5">
        <v>4</v>
      </c>
      <c r="W826" s="5">
        <f t="shared" si="3"/>
        <v>0</v>
      </c>
    </row>
    <row r="827" spans="1:23" ht="15.75" customHeight="1" x14ac:dyDescent="0.25">
      <c r="A827" s="5" t="s">
        <v>1191</v>
      </c>
      <c r="B827" s="6">
        <v>45176</v>
      </c>
      <c r="C827" s="5" t="s">
        <v>547</v>
      </c>
      <c r="D827" s="5" t="s">
        <v>150</v>
      </c>
      <c r="E827" s="5" t="s">
        <v>49</v>
      </c>
      <c r="F827" s="5" t="s">
        <v>50</v>
      </c>
      <c r="G827" s="5" t="s">
        <v>92</v>
      </c>
      <c r="H827" s="5" t="s">
        <v>44</v>
      </c>
      <c r="I827" s="5" t="s">
        <v>45</v>
      </c>
      <c r="J827" s="5">
        <v>1086</v>
      </c>
      <c r="K827" s="7">
        <v>1812.0060736238647</v>
      </c>
      <c r="L827" s="5">
        <v>2</v>
      </c>
      <c r="M827" s="5">
        <v>20</v>
      </c>
      <c r="N827" s="8">
        <f t="shared" si="0"/>
        <v>2899.2097177981836</v>
      </c>
      <c r="O827" s="5">
        <f t="shared" si="1"/>
        <v>2172</v>
      </c>
      <c r="P827" s="5">
        <f t="shared" si="2"/>
        <v>727.20971779818365</v>
      </c>
      <c r="Q827" s="5" t="s">
        <v>83</v>
      </c>
      <c r="R827" s="5" t="s">
        <v>32</v>
      </c>
      <c r="S827" s="6">
        <v>45181</v>
      </c>
      <c r="T827" s="5">
        <v>2</v>
      </c>
      <c r="U827" s="5">
        <v>5</v>
      </c>
      <c r="V827" s="5" t="s">
        <v>33</v>
      </c>
      <c r="W827" s="5">
        <f t="shared" si="3"/>
        <v>0</v>
      </c>
    </row>
    <row r="828" spans="1:23" ht="15.75" customHeight="1" x14ac:dyDescent="0.25">
      <c r="A828" s="5" t="s">
        <v>1192</v>
      </c>
      <c r="B828" s="6">
        <v>45176</v>
      </c>
      <c r="C828" s="5" t="s">
        <v>339</v>
      </c>
      <c r="D828" s="5" t="s">
        <v>105</v>
      </c>
      <c r="E828" s="5" t="s">
        <v>26</v>
      </c>
      <c r="F828" s="5" t="s">
        <v>27</v>
      </c>
      <c r="G828" s="5" t="s">
        <v>124</v>
      </c>
      <c r="H828" s="5" t="s">
        <v>76</v>
      </c>
      <c r="I828" s="5" t="s">
        <v>125</v>
      </c>
      <c r="J828" s="5">
        <v>55664</v>
      </c>
      <c r="K828" s="7">
        <v>84623.031436266261</v>
      </c>
      <c r="L828" s="5">
        <v>3</v>
      </c>
      <c r="M828" s="5">
        <v>20</v>
      </c>
      <c r="N828" s="8">
        <f t="shared" si="0"/>
        <v>203095.27544703905</v>
      </c>
      <c r="O828" s="5">
        <f t="shared" si="1"/>
        <v>166992</v>
      </c>
      <c r="P828" s="5">
        <f t="shared" si="2"/>
        <v>36103.27544703905</v>
      </c>
      <c r="Q828" s="5" t="s">
        <v>46</v>
      </c>
      <c r="R828" s="5" t="s">
        <v>56</v>
      </c>
      <c r="T828" s="5">
        <v>7</v>
      </c>
      <c r="U828" s="5">
        <v>2</v>
      </c>
      <c r="W828" s="5">
        <f t="shared" si="3"/>
        <v>0</v>
      </c>
    </row>
    <row r="829" spans="1:23" ht="15.75" customHeight="1" x14ac:dyDescent="0.25">
      <c r="A829" s="5" t="s">
        <v>1193</v>
      </c>
      <c r="B829" s="6">
        <v>45176</v>
      </c>
      <c r="C829" s="5" t="s">
        <v>474</v>
      </c>
      <c r="D829" s="5" t="s">
        <v>25</v>
      </c>
      <c r="E829" s="5" t="s">
        <v>60</v>
      </c>
      <c r="F829" s="5" t="s">
        <v>61</v>
      </c>
      <c r="G829" s="5" t="s">
        <v>28</v>
      </c>
      <c r="H829" s="5" t="s">
        <v>29</v>
      </c>
      <c r="I829" s="5" t="s">
        <v>30</v>
      </c>
      <c r="J829" s="5">
        <v>3313</v>
      </c>
      <c r="K829" s="7">
        <v>3690.4520713128854</v>
      </c>
      <c r="L829" s="5">
        <v>5</v>
      </c>
      <c r="M829" s="5">
        <v>10</v>
      </c>
      <c r="N829" s="8">
        <f t="shared" si="0"/>
        <v>16607.034320907984</v>
      </c>
      <c r="O829" s="5">
        <f t="shared" si="1"/>
        <v>16565</v>
      </c>
      <c r="P829" s="5">
        <f t="shared" si="2"/>
        <v>42.034320907983783</v>
      </c>
      <c r="Q829" s="5" t="s">
        <v>83</v>
      </c>
      <c r="R829" s="5" t="s">
        <v>56</v>
      </c>
      <c r="T829" s="5">
        <v>9</v>
      </c>
      <c r="U829" s="5">
        <v>1</v>
      </c>
      <c r="W829" s="5">
        <f t="shared" si="3"/>
        <v>0</v>
      </c>
    </row>
    <row r="830" spans="1:23" ht="15.75" customHeight="1" x14ac:dyDescent="0.25">
      <c r="A830" s="5" t="s">
        <v>1194</v>
      </c>
      <c r="B830" s="6">
        <v>45176</v>
      </c>
      <c r="C830" s="5" t="s">
        <v>485</v>
      </c>
      <c r="D830" s="5" t="s">
        <v>148</v>
      </c>
      <c r="E830" s="5" t="s">
        <v>69</v>
      </c>
      <c r="F830" s="5" t="s">
        <v>55</v>
      </c>
      <c r="G830" s="5" t="s">
        <v>106</v>
      </c>
      <c r="H830" s="5" t="s">
        <v>98</v>
      </c>
      <c r="I830" s="5" t="s">
        <v>107</v>
      </c>
      <c r="J830" s="5">
        <v>962</v>
      </c>
      <c r="K830" s="7">
        <v>1141.8456439133445</v>
      </c>
      <c r="L830" s="5">
        <v>3</v>
      </c>
      <c r="M830" s="5">
        <v>20</v>
      </c>
      <c r="N830" s="8">
        <f t="shared" si="0"/>
        <v>2740.4295453920272</v>
      </c>
      <c r="O830" s="5">
        <f t="shared" si="1"/>
        <v>2886</v>
      </c>
      <c r="P830" s="5">
        <f t="shared" si="2"/>
        <v>-145.57045460797281</v>
      </c>
      <c r="Q830" s="5" t="s">
        <v>31</v>
      </c>
      <c r="R830" s="5" t="s">
        <v>56</v>
      </c>
      <c r="T830" s="5">
        <v>7</v>
      </c>
      <c r="U830" s="5">
        <v>4</v>
      </c>
      <c r="W830" s="5">
        <f t="shared" si="3"/>
        <v>0</v>
      </c>
    </row>
    <row r="831" spans="1:23" ht="15.75" customHeight="1" x14ac:dyDescent="0.25">
      <c r="A831" s="5" t="s">
        <v>1195</v>
      </c>
      <c r="B831" s="6">
        <v>45176</v>
      </c>
      <c r="C831" s="5" t="s">
        <v>218</v>
      </c>
      <c r="D831" s="5" t="s">
        <v>86</v>
      </c>
      <c r="E831" s="5" t="s">
        <v>69</v>
      </c>
      <c r="F831" s="5" t="s">
        <v>55</v>
      </c>
      <c r="G831" s="5" t="s">
        <v>81</v>
      </c>
      <c r="H831" s="5" t="s">
        <v>44</v>
      </c>
      <c r="I831" s="5" t="s">
        <v>82</v>
      </c>
      <c r="J831" s="5">
        <v>2737</v>
      </c>
      <c r="K831" s="7">
        <v>2966.2022293325072</v>
      </c>
      <c r="L831" s="5">
        <v>1</v>
      </c>
      <c r="M831" s="5">
        <v>20</v>
      </c>
      <c r="N831" s="8">
        <f t="shared" si="0"/>
        <v>2372.9617834660057</v>
      </c>
      <c r="O831" s="5">
        <f t="shared" si="1"/>
        <v>2737</v>
      </c>
      <c r="P831" s="5">
        <f t="shared" si="2"/>
        <v>-364.03821653399427</v>
      </c>
      <c r="Q831" s="5" t="s">
        <v>31</v>
      </c>
      <c r="R831" s="5" t="s">
        <v>56</v>
      </c>
      <c r="T831" s="5">
        <v>10</v>
      </c>
      <c r="U831" s="5">
        <v>1</v>
      </c>
      <c r="W831" s="5">
        <f t="shared" si="3"/>
        <v>0</v>
      </c>
    </row>
    <row r="832" spans="1:23" ht="15.75" customHeight="1" x14ac:dyDescent="0.25">
      <c r="A832" s="5" t="s">
        <v>1196</v>
      </c>
      <c r="B832" s="6">
        <v>45177</v>
      </c>
      <c r="C832" s="5" t="s">
        <v>427</v>
      </c>
      <c r="D832" s="5" t="s">
        <v>208</v>
      </c>
      <c r="E832" s="5" t="s">
        <v>37</v>
      </c>
      <c r="F832" s="5" t="s">
        <v>38</v>
      </c>
      <c r="G832" s="5" t="s">
        <v>106</v>
      </c>
      <c r="H832" s="5" t="s">
        <v>98</v>
      </c>
      <c r="I832" s="5" t="s">
        <v>107</v>
      </c>
      <c r="J832" s="5">
        <v>846</v>
      </c>
      <c r="K832" s="7">
        <v>1364.0773810429621</v>
      </c>
      <c r="L832" s="5">
        <v>1</v>
      </c>
      <c r="M832" s="5">
        <v>10</v>
      </c>
      <c r="N832" s="8">
        <f t="shared" si="0"/>
        <v>1227.6696429386659</v>
      </c>
      <c r="O832" s="5">
        <f t="shared" si="1"/>
        <v>846</v>
      </c>
      <c r="P832" s="5">
        <f t="shared" si="2"/>
        <v>381.6696429386659</v>
      </c>
      <c r="Q832" s="5" t="s">
        <v>46</v>
      </c>
      <c r="R832" s="5" t="s">
        <v>56</v>
      </c>
      <c r="T832" s="5">
        <v>8</v>
      </c>
      <c r="U832" s="5">
        <v>3</v>
      </c>
      <c r="W832" s="5">
        <f t="shared" si="3"/>
        <v>0</v>
      </c>
    </row>
    <row r="833" spans="1:23" ht="15.75" customHeight="1" x14ac:dyDescent="0.25">
      <c r="A833" s="5" t="s">
        <v>1197</v>
      </c>
      <c r="B833" s="6">
        <v>45178</v>
      </c>
      <c r="C833" s="5" t="s">
        <v>1198</v>
      </c>
      <c r="D833" s="5" t="s">
        <v>36</v>
      </c>
      <c r="E833" s="5" t="s">
        <v>80</v>
      </c>
      <c r="F833" s="5" t="s">
        <v>80</v>
      </c>
      <c r="G833" s="5" t="s">
        <v>139</v>
      </c>
      <c r="H833" s="5" t="s">
        <v>76</v>
      </c>
      <c r="I833" s="5" t="s">
        <v>140</v>
      </c>
      <c r="J833" s="5">
        <v>30656</v>
      </c>
      <c r="K833" s="7">
        <v>48633.892921291146</v>
      </c>
      <c r="L833" s="5">
        <v>2</v>
      </c>
      <c r="M833" s="5">
        <v>5</v>
      </c>
      <c r="N833" s="8">
        <f t="shared" si="0"/>
        <v>92404.396550453181</v>
      </c>
      <c r="O833" s="5">
        <f t="shared" si="1"/>
        <v>61312</v>
      </c>
      <c r="P833" s="5">
        <f t="shared" si="2"/>
        <v>31092.396550453181</v>
      </c>
      <c r="Q833" s="5" t="s">
        <v>83</v>
      </c>
      <c r="R833" s="5" t="s">
        <v>56</v>
      </c>
      <c r="T833" s="5">
        <v>9</v>
      </c>
      <c r="U833" s="5">
        <v>1</v>
      </c>
      <c r="W833" s="5">
        <f t="shared" si="3"/>
        <v>0</v>
      </c>
    </row>
    <row r="834" spans="1:23" ht="15.75" customHeight="1" x14ac:dyDescent="0.25">
      <c r="A834" s="5" t="s">
        <v>1199</v>
      </c>
      <c r="B834" s="6">
        <v>45179</v>
      </c>
      <c r="C834" s="5" t="s">
        <v>1144</v>
      </c>
      <c r="D834" s="5" t="s">
        <v>181</v>
      </c>
      <c r="E834" s="5" t="s">
        <v>49</v>
      </c>
      <c r="F834" s="5" t="s">
        <v>50</v>
      </c>
      <c r="G834" s="5" t="s">
        <v>87</v>
      </c>
      <c r="H834" s="5" t="s">
        <v>29</v>
      </c>
      <c r="I834" s="5" t="s">
        <v>88</v>
      </c>
      <c r="J834" s="5">
        <v>53750</v>
      </c>
      <c r="K834" s="7">
        <v>68613.876636893314</v>
      </c>
      <c r="L834" s="5">
        <v>2</v>
      </c>
      <c r="M834" s="5">
        <v>5</v>
      </c>
      <c r="N834" s="8">
        <f t="shared" si="0"/>
        <v>130366.36561009729</v>
      </c>
      <c r="O834" s="5">
        <f t="shared" si="1"/>
        <v>107500</v>
      </c>
      <c r="P834" s="5">
        <f t="shared" si="2"/>
        <v>22866.365610097288</v>
      </c>
      <c r="Q834" s="5" t="s">
        <v>39</v>
      </c>
      <c r="R834" s="5" t="s">
        <v>32</v>
      </c>
      <c r="S834" s="6">
        <v>45188</v>
      </c>
      <c r="T834" s="5">
        <v>5</v>
      </c>
      <c r="U834" s="5">
        <v>4</v>
      </c>
      <c r="V834" s="5" t="s">
        <v>33</v>
      </c>
      <c r="W834" s="5">
        <f t="shared" si="3"/>
        <v>0</v>
      </c>
    </row>
    <row r="835" spans="1:23" ht="15.75" customHeight="1" x14ac:dyDescent="0.25">
      <c r="A835" s="5" t="s">
        <v>1200</v>
      </c>
      <c r="B835" s="6">
        <v>45181</v>
      </c>
      <c r="C835" s="5" t="s">
        <v>79</v>
      </c>
      <c r="D835" s="5" t="s">
        <v>188</v>
      </c>
      <c r="E835" s="5" t="s">
        <v>80</v>
      </c>
      <c r="F835" s="5" t="s">
        <v>80</v>
      </c>
      <c r="G835" s="5" t="s">
        <v>119</v>
      </c>
      <c r="H835" s="5" t="s">
        <v>76</v>
      </c>
      <c r="I835" s="5" t="s">
        <v>120</v>
      </c>
      <c r="J835" s="5">
        <v>61178</v>
      </c>
      <c r="K835" s="7">
        <v>82298.528766224466</v>
      </c>
      <c r="L835" s="5">
        <v>2</v>
      </c>
      <c r="M835" s="5">
        <v>5</v>
      </c>
      <c r="N835" s="8">
        <f t="shared" si="0"/>
        <v>156367.20465582647</v>
      </c>
      <c r="O835" s="5">
        <f t="shared" si="1"/>
        <v>122356</v>
      </c>
      <c r="P835" s="5">
        <f t="shared" si="2"/>
        <v>34011.20465582647</v>
      </c>
      <c r="Q835" s="5" t="s">
        <v>46</v>
      </c>
      <c r="R835" s="5" t="s">
        <v>32</v>
      </c>
      <c r="S835" s="6">
        <v>45188</v>
      </c>
      <c r="T835" s="5">
        <v>1</v>
      </c>
      <c r="U835" s="5">
        <v>5</v>
      </c>
      <c r="V835" s="5" t="s">
        <v>33</v>
      </c>
      <c r="W835" s="5">
        <f t="shared" si="3"/>
        <v>0</v>
      </c>
    </row>
    <row r="836" spans="1:23" ht="15.75" customHeight="1" x14ac:dyDescent="0.25">
      <c r="A836" s="5" t="s">
        <v>1201</v>
      </c>
      <c r="B836" s="6">
        <v>45182</v>
      </c>
      <c r="C836" s="5" t="s">
        <v>1087</v>
      </c>
      <c r="D836" s="5" t="s">
        <v>25</v>
      </c>
      <c r="E836" s="5" t="s">
        <v>49</v>
      </c>
      <c r="F836" s="5" t="s">
        <v>50</v>
      </c>
      <c r="G836" s="5" t="s">
        <v>92</v>
      </c>
      <c r="H836" s="5" t="s">
        <v>44</v>
      </c>
      <c r="I836" s="5" t="s">
        <v>45</v>
      </c>
      <c r="J836" s="5">
        <v>804</v>
      </c>
      <c r="K836" s="7">
        <v>1259.7758051333947</v>
      </c>
      <c r="L836" s="5">
        <v>2</v>
      </c>
      <c r="M836" s="5">
        <v>0</v>
      </c>
      <c r="N836" s="8">
        <f t="shared" si="0"/>
        <v>2519.5516102667893</v>
      </c>
      <c r="O836" s="5">
        <f t="shared" si="1"/>
        <v>1608</v>
      </c>
      <c r="P836" s="5">
        <f t="shared" si="2"/>
        <v>911.55161026678934</v>
      </c>
      <c r="Q836" s="5" t="s">
        <v>31</v>
      </c>
      <c r="R836" s="5" t="s">
        <v>32</v>
      </c>
      <c r="S836" s="6">
        <v>45191</v>
      </c>
      <c r="T836" s="5">
        <v>4</v>
      </c>
      <c r="U836" s="5">
        <v>4</v>
      </c>
      <c r="V836" s="5" t="s">
        <v>33</v>
      </c>
      <c r="W836" s="5">
        <f t="shared" si="3"/>
        <v>0</v>
      </c>
    </row>
    <row r="837" spans="1:23" ht="15.75" customHeight="1" x14ac:dyDescent="0.25">
      <c r="A837" s="5" t="s">
        <v>1202</v>
      </c>
      <c r="B837" s="6">
        <v>45183</v>
      </c>
      <c r="C837" s="5" t="s">
        <v>681</v>
      </c>
      <c r="D837" s="5" t="s">
        <v>64</v>
      </c>
      <c r="E837" s="5" t="s">
        <v>80</v>
      </c>
      <c r="F837" s="5" t="s">
        <v>80</v>
      </c>
      <c r="G837" s="5" t="s">
        <v>70</v>
      </c>
      <c r="H837" s="5" t="s">
        <v>44</v>
      </c>
      <c r="I837" s="5" t="s">
        <v>71</v>
      </c>
      <c r="J837" s="5">
        <v>1769</v>
      </c>
      <c r="K837" s="7">
        <v>2862.1368423398881</v>
      </c>
      <c r="L837" s="5">
        <v>4</v>
      </c>
      <c r="M837" s="5">
        <v>5</v>
      </c>
      <c r="N837" s="8">
        <f t="shared" si="0"/>
        <v>10876.120000891575</v>
      </c>
      <c r="O837" s="5">
        <f t="shared" si="1"/>
        <v>7076</v>
      </c>
      <c r="P837" s="5">
        <f t="shared" si="2"/>
        <v>3800.1200008915748</v>
      </c>
      <c r="Q837" s="5" t="s">
        <v>39</v>
      </c>
      <c r="R837" s="5" t="s">
        <v>56</v>
      </c>
      <c r="T837" s="5">
        <v>10</v>
      </c>
      <c r="U837" s="5">
        <v>1</v>
      </c>
      <c r="W837" s="5">
        <f t="shared" si="3"/>
        <v>0</v>
      </c>
    </row>
    <row r="838" spans="1:23" ht="15.75" customHeight="1" x14ac:dyDescent="0.25">
      <c r="A838" s="5" t="s">
        <v>1203</v>
      </c>
      <c r="B838" s="6">
        <v>45184</v>
      </c>
      <c r="C838" s="5" t="s">
        <v>267</v>
      </c>
      <c r="D838" s="5" t="s">
        <v>184</v>
      </c>
      <c r="E838" s="5" t="s">
        <v>112</v>
      </c>
      <c r="F838" s="5" t="s">
        <v>113</v>
      </c>
      <c r="G838" s="5" t="s">
        <v>70</v>
      </c>
      <c r="H838" s="5" t="s">
        <v>44</v>
      </c>
      <c r="I838" s="5" t="s">
        <v>71</v>
      </c>
      <c r="J838" s="5">
        <v>952</v>
      </c>
      <c r="K838" s="7">
        <v>1659.5647964070274</v>
      </c>
      <c r="L838" s="5">
        <v>5</v>
      </c>
      <c r="M838" s="5">
        <v>15</v>
      </c>
      <c r="N838" s="8">
        <f t="shared" si="0"/>
        <v>7053.1503847298663</v>
      </c>
      <c r="O838" s="5">
        <f t="shared" si="1"/>
        <v>4760</v>
      </c>
      <c r="P838" s="5">
        <f t="shared" si="2"/>
        <v>2293.1503847298663</v>
      </c>
      <c r="Q838" s="5" t="s">
        <v>31</v>
      </c>
      <c r="R838" s="5" t="s">
        <v>32</v>
      </c>
      <c r="S838" s="6">
        <v>45194</v>
      </c>
      <c r="T838" s="5">
        <v>3</v>
      </c>
      <c r="U838" s="5">
        <v>4</v>
      </c>
      <c r="V838" s="5" t="s">
        <v>33</v>
      </c>
      <c r="W838" s="5">
        <f t="shared" si="3"/>
        <v>0</v>
      </c>
    </row>
    <row r="839" spans="1:23" ht="15.75" customHeight="1" x14ac:dyDescent="0.25">
      <c r="A839" s="5" t="s">
        <v>1204</v>
      </c>
      <c r="B839" s="6">
        <v>45184</v>
      </c>
      <c r="C839" s="5" t="s">
        <v>808</v>
      </c>
      <c r="D839" s="5" t="s">
        <v>148</v>
      </c>
      <c r="E839" s="5" t="s">
        <v>112</v>
      </c>
      <c r="F839" s="5" t="s">
        <v>113</v>
      </c>
      <c r="G839" s="5" t="s">
        <v>139</v>
      </c>
      <c r="H839" s="5" t="s">
        <v>76</v>
      </c>
      <c r="I839" s="5" t="s">
        <v>140</v>
      </c>
      <c r="J839" s="5">
        <v>47307</v>
      </c>
      <c r="K839" s="7">
        <v>71785.589747488862</v>
      </c>
      <c r="L839" s="5">
        <v>1</v>
      </c>
      <c r="M839" s="5">
        <v>15</v>
      </c>
      <c r="N839" s="8">
        <f t="shared" si="0"/>
        <v>61017.751285365528</v>
      </c>
      <c r="O839" s="5">
        <f t="shared" si="1"/>
        <v>47307</v>
      </c>
      <c r="P839" s="5">
        <f t="shared" si="2"/>
        <v>13710.751285365528</v>
      </c>
      <c r="Q839" s="5" t="s">
        <v>39</v>
      </c>
      <c r="R839" s="5" t="s">
        <v>32</v>
      </c>
      <c r="S839" s="6">
        <v>45190</v>
      </c>
      <c r="T839" s="5">
        <v>3</v>
      </c>
      <c r="U839" s="5">
        <v>3</v>
      </c>
      <c r="V839" s="5" t="s">
        <v>33</v>
      </c>
      <c r="W839" s="5">
        <f t="shared" si="3"/>
        <v>0</v>
      </c>
    </row>
    <row r="840" spans="1:23" ht="15.75" customHeight="1" x14ac:dyDescent="0.25">
      <c r="A840" s="5" t="s">
        <v>1205</v>
      </c>
      <c r="B840" s="6">
        <v>45184</v>
      </c>
      <c r="C840" s="5" t="s">
        <v>66</v>
      </c>
      <c r="D840" s="5" t="s">
        <v>181</v>
      </c>
      <c r="E840" s="5" t="s">
        <v>37</v>
      </c>
      <c r="F840" s="5" t="s">
        <v>38</v>
      </c>
      <c r="G840" s="5" t="s">
        <v>28</v>
      </c>
      <c r="H840" s="5" t="s">
        <v>29</v>
      </c>
      <c r="I840" s="5" t="s">
        <v>30</v>
      </c>
      <c r="J840" s="5">
        <v>6891</v>
      </c>
      <c r="K840" s="7">
        <v>8880.3294985906032</v>
      </c>
      <c r="L840" s="5">
        <v>1</v>
      </c>
      <c r="M840" s="5">
        <v>10</v>
      </c>
      <c r="N840" s="8">
        <f t="shared" si="0"/>
        <v>7992.2965487315432</v>
      </c>
      <c r="O840" s="5">
        <f t="shared" si="1"/>
        <v>6891</v>
      </c>
      <c r="P840" s="5">
        <f t="shared" si="2"/>
        <v>1101.2965487315432</v>
      </c>
      <c r="Q840" s="5" t="s">
        <v>31</v>
      </c>
      <c r="R840" s="5" t="s">
        <v>56</v>
      </c>
      <c r="T840" s="5">
        <v>10</v>
      </c>
      <c r="U840" s="5">
        <v>1</v>
      </c>
      <c r="W840" s="5">
        <f t="shared" si="3"/>
        <v>0</v>
      </c>
    </row>
    <row r="841" spans="1:23" ht="15.75" customHeight="1" x14ac:dyDescent="0.25">
      <c r="A841" s="5" t="s">
        <v>1206</v>
      </c>
      <c r="B841" s="6">
        <v>45185</v>
      </c>
      <c r="C841" s="5" t="s">
        <v>35</v>
      </c>
      <c r="D841" s="5" t="s">
        <v>208</v>
      </c>
      <c r="E841" s="5" t="s">
        <v>69</v>
      </c>
      <c r="F841" s="5" t="s">
        <v>55</v>
      </c>
      <c r="G841" s="5" t="s">
        <v>106</v>
      </c>
      <c r="H841" s="5" t="s">
        <v>98</v>
      </c>
      <c r="I841" s="5" t="s">
        <v>107</v>
      </c>
      <c r="J841" s="5">
        <v>718</v>
      </c>
      <c r="K841" s="7">
        <v>827.63985046876746</v>
      </c>
      <c r="L841" s="5">
        <v>1</v>
      </c>
      <c r="M841" s="5">
        <v>10</v>
      </c>
      <c r="N841" s="8">
        <f t="shared" si="0"/>
        <v>744.87586542189069</v>
      </c>
      <c r="O841" s="5">
        <f t="shared" si="1"/>
        <v>718</v>
      </c>
      <c r="P841" s="5">
        <f t="shared" si="2"/>
        <v>26.875865421890694</v>
      </c>
      <c r="Q841" s="5" t="s">
        <v>39</v>
      </c>
      <c r="R841" s="5" t="s">
        <v>56</v>
      </c>
      <c r="T841" s="5">
        <v>9</v>
      </c>
      <c r="U841" s="5">
        <v>1</v>
      </c>
      <c r="W841" s="5">
        <f t="shared" si="3"/>
        <v>0</v>
      </c>
    </row>
    <row r="842" spans="1:23" ht="15.75" customHeight="1" x14ac:dyDescent="0.25">
      <c r="A842" s="5" t="s">
        <v>1207</v>
      </c>
      <c r="B842" s="6">
        <v>45185</v>
      </c>
      <c r="C842" s="5" t="s">
        <v>324</v>
      </c>
      <c r="D842" s="5" t="s">
        <v>184</v>
      </c>
      <c r="E842" s="5" t="s">
        <v>49</v>
      </c>
      <c r="F842" s="5" t="s">
        <v>50</v>
      </c>
      <c r="G842" s="5" t="s">
        <v>97</v>
      </c>
      <c r="H842" s="5" t="s">
        <v>98</v>
      </c>
      <c r="I842" s="5" t="s">
        <v>99</v>
      </c>
      <c r="J842" s="5">
        <v>595</v>
      </c>
      <c r="K842" s="7">
        <v>884.30353590960192</v>
      </c>
      <c r="L842" s="5">
        <v>3</v>
      </c>
      <c r="M842" s="5">
        <v>0</v>
      </c>
      <c r="N842" s="8">
        <f t="shared" si="0"/>
        <v>2652.9106077288056</v>
      </c>
      <c r="O842" s="5">
        <f t="shared" si="1"/>
        <v>1785</v>
      </c>
      <c r="P842" s="5">
        <f t="shared" si="2"/>
        <v>867.91060772880564</v>
      </c>
      <c r="Q842" s="5" t="s">
        <v>46</v>
      </c>
      <c r="R842" s="5" t="s">
        <v>32</v>
      </c>
      <c r="S842" s="6">
        <v>45190</v>
      </c>
      <c r="T842" s="5">
        <v>1</v>
      </c>
      <c r="U842" s="5">
        <v>5</v>
      </c>
      <c r="V842" s="5" t="s">
        <v>33</v>
      </c>
      <c r="W842" s="5">
        <f t="shared" si="3"/>
        <v>0</v>
      </c>
    </row>
    <row r="843" spans="1:23" ht="15.75" customHeight="1" x14ac:dyDescent="0.25">
      <c r="A843" s="5" t="s">
        <v>1208</v>
      </c>
      <c r="B843" s="6">
        <v>45186</v>
      </c>
      <c r="C843" s="5" t="s">
        <v>1209</v>
      </c>
      <c r="D843" s="5" t="s">
        <v>184</v>
      </c>
      <c r="E843" s="5" t="s">
        <v>37</v>
      </c>
      <c r="F843" s="5" t="s">
        <v>38</v>
      </c>
      <c r="G843" s="5" t="s">
        <v>106</v>
      </c>
      <c r="H843" s="5" t="s">
        <v>98</v>
      </c>
      <c r="I843" s="5" t="s">
        <v>107</v>
      </c>
      <c r="J843" s="5">
        <v>687</v>
      </c>
      <c r="K843" s="7">
        <v>1077.6663577323045</v>
      </c>
      <c r="L843" s="5">
        <v>1</v>
      </c>
      <c r="M843" s="5">
        <v>20</v>
      </c>
      <c r="N843" s="8">
        <f t="shared" si="0"/>
        <v>862.13308618584369</v>
      </c>
      <c r="O843" s="5">
        <f t="shared" si="1"/>
        <v>687</v>
      </c>
      <c r="P843" s="5">
        <f t="shared" si="2"/>
        <v>175.13308618584369</v>
      </c>
      <c r="Q843" s="5" t="s">
        <v>83</v>
      </c>
      <c r="R843" s="5" t="s">
        <v>32</v>
      </c>
      <c r="S843" s="6">
        <v>45194</v>
      </c>
      <c r="T843" s="5">
        <v>4</v>
      </c>
      <c r="U843" s="5">
        <v>2</v>
      </c>
      <c r="V843" s="5" t="s">
        <v>33</v>
      </c>
      <c r="W843" s="5">
        <f t="shared" si="3"/>
        <v>0</v>
      </c>
    </row>
    <row r="844" spans="1:23" ht="15.75" customHeight="1" x14ac:dyDescent="0.25">
      <c r="A844" s="5" t="s">
        <v>1210</v>
      </c>
      <c r="B844" s="6">
        <v>45186</v>
      </c>
      <c r="C844" s="5" t="s">
        <v>118</v>
      </c>
      <c r="D844" s="5" t="s">
        <v>146</v>
      </c>
      <c r="E844" s="5" t="s">
        <v>26</v>
      </c>
      <c r="F844" s="5" t="s">
        <v>27</v>
      </c>
      <c r="G844" s="5" t="s">
        <v>106</v>
      </c>
      <c r="H844" s="5" t="s">
        <v>98</v>
      </c>
      <c r="I844" s="5" t="s">
        <v>107</v>
      </c>
      <c r="J844" s="5">
        <v>945</v>
      </c>
      <c r="K844" s="7">
        <v>1436.3723130018745</v>
      </c>
      <c r="L844" s="5">
        <v>4</v>
      </c>
      <c r="M844" s="5">
        <v>10</v>
      </c>
      <c r="N844" s="8">
        <f t="shared" si="0"/>
        <v>5170.9403268067481</v>
      </c>
      <c r="O844" s="5">
        <f t="shared" si="1"/>
        <v>3780</v>
      </c>
      <c r="P844" s="5">
        <f t="shared" si="2"/>
        <v>1390.9403268067481</v>
      </c>
      <c r="Q844" s="5" t="s">
        <v>31</v>
      </c>
      <c r="R844" s="5" t="s">
        <v>32</v>
      </c>
      <c r="S844" s="6">
        <v>45194</v>
      </c>
      <c r="T844" s="5">
        <v>3</v>
      </c>
      <c r="U844" s="5">
        <v>4</v>
      </c>
      <c r="V844" s="5" t="s">
        <v>33</v>
      </c>
      <c r="W844" s="5">
        <f t="shared" si="3"/>
        <v>0</v>
      </c>
    </row>
    <row r="845" spans="1:23" ht="15.75" customHeight="1" x14ac:dyDescent="0.25">
      <c r="A845" s="5" t="s">
        <v>1211</v>
      </c>
      <c r="B845" s="6">
        <v>45186</v>
      </c>
      <c r="C845" s="5" t="s">
        <v>1212</v>
      </c>
      <c r="D845" s="5" t="s">
        <v>181</v>
      </c>
      <c r="E845" s="5" t="s">
        <v>37</v>
      </c>
      <c r="F845" s="5" t="s">
        <v>38</v>
      </c>
      <c r="G845" s="5" t="s">
        <v>43</v>
      </c>
      <c r="H845" s="5" t="s">
        <v>44</v>
      </c>
      <c r="I845" s="5" t="s">
        <v>45</v>
      </c>
      <c r="J845" s="5">
        <v>728</v>
      </c>
      <c r="K845" s="7">
        <v>910.1071959407634</v>
      </c>
      <c r="L845" s="5">
        <v>1</v>
      </c>
      <c r="M845" s="5">
        <v>10</v>
      </c>
      <c r="N845" s="8">
        <f t="shared" si="0"/>
        <v>819.09647634668704</v>
      </c>
      <c r="O845" s="5">
        <f t="shared" si="1"/>
        <v>728</v>
      </c>
      <c r="P845" s="5">
        <f t="shared" si="2"/>
        <v>91.096476346687041</v>
      </c>
      <c r="Q845" s="5" t="s">
        <v>46</v>
      </c>
      <c r="R845" s="5" t="s">
        <v>32</v>
      </c>
      <c r="S845" s="6">
        <v>45193</v>
      </c>
      <c r="T845" s="5">
        <v>2</v>
      </c>
      <c r="U845" s="5">
        <v>5</v>
      </c>
      <c r="V845" s="5" t="s">
        <v>33</v>
      </c>
      <c r="W845" s="5">
        <f t="shared" si="3"/>
        <v>0</v>
      </c>
    </row>
    <row r="846" spans="1:23" ht="15.75" customHeight="1" x14ac:dyDescent="0.25">
      <c r="A846" s="5" t="s">
        <v>1213</v>
      </c>
      <c r="B846" s="6">
        <v>45187</v>
      </c>
      <c r="C846" s="5" t="s">
        <v>350</v>
      </c>
      <c r="D846" s="5" t="s">
        <v>86</v>
      </c>
      <c r="E846" s="5" t="s">
        <v>69</v>
      </c>
      <c r="F846" s="5" t="s">
        <v>55</v>
      </c>
      <c r="G846" s="5" t="s">
        <v>81</v>
      </c>
      <c r="H846" s="5" t="s">
        <v>44</v>
      </c>
      <c r="I846" s="5" t="s">
        <v>82</v>
      </c>
      <c r="J846" s="5">
        <v>2149</v>
      </c>
      <c r="K846" s="7">
        <v>3275.4656842300978</v>
      </c>
      <c r="L846" s="5">
        <v>3</v>
      </c>
      <c r="M846" s="5">
        <v>5</v>
      </c>
      <c r="N846" s="8">
        <f t="shared" si="0"/>
        <v>9335.077200055779</v>
      </c>
      <c r="O846" s="5">
        <f t="shared" si="1"/>
        <v>6447</v>
      </c>
      <c r="P846" s="5">
        <f t="shared" si="2"/>
        <v>2888.077200055779</v>
      </c>
      <c r="Q846" s="5" t="s">
        <v>46</v>
      </c>
      <c r="R846" s="5" t="s">
        <v>56</v>
      </c>
      <c r="T846" s="5">
        <v>8</v>
      </c>
      <c r="U846" s="5">
        <v>4</v>
      </c>
      <c r="W846" s="5">
        <f t="shared" si="3"/>
        <v>0</v>
      </c>
    </row>
    <row r="847" spans="1:23" ht="15.75" customHeight="1" x14ac:dyDescent="0.25">
      <c r="A847" s="5" t="s">
        <v>1214</v>
      </c>
      <c r="B847" s="6">
        <v>45187</v>
      </c>
      <c r="C847" s="5" t="s">
        <v>235</v>
      </c>
      <c r="D847" s="5" t="s">
        <v>181</v>
      </c>
      <c r="E847" s="5" t="s">
        <v>60</v>
      </c>
      <c r="F847" s="5" t="s">
        <v>61</v>
      </c>
      <c r="G847" s="5" t="s">
        <v>28</v>
      </c>
      <c r="H847" s="5" t="s">
        <v>29</v>
      </c>
      <c r="I847" s="5" t="s">
        <v>30</v>
      </c>
      <c r="J847" s="5">
        <v>5880</v>
      </c>
      <c r="K847" s="7">
        <v>10125.489376456851</v>
      </c>
      <c r="L847" s="5">
        <v>3</v>
      </c>
      <c r="M847" s="5">
        <v>10</v>
      </c>
      <c r="N847" s="8">
        <f t="shared" si="0"/>
        <v>27338.821316433499</v>
      </c>
      <c r="O847" s="5">
        <f t="shared" si="1"/>
        <v>17640</v>
      </c>
      <c r="P847" s="5">
        <f t="shared" si="2"/>
        <v>9698.8213164334993</v>
      </c>
      <c r="Q847" s="5" t="s">
        <v>39</v>
      </c>
      <c r="R847" s="5" t="s">
        <v>32</v>
      </c>
      <c r="S847" s="6">
        <v>45199</v>
      </c>
      <c r="T847" s="5">
        <v>6</v>
      </c>
      <c r="U847" s="5">
        <v>3</v>
      </c>
      <c r="V847" s="5" t="s">
        <v>33</v>
      </c>
      <c r="W847" s="5">
        <f t="shared" si="3"/>
        <v>0</v>
      </c>
    </row>
    <row r="848" spans="1:23" ht="15.75" customHeight="1" x14ac:dyDescent="0.25">
      <c r="A848" s="5" t="s">
        <v>1215</v>
      </c>
      <c r="B848" s="6">
        <v>45187</v>
      </c>
      <c r="C848" s="5" t="s">
        <v>101</v>
      </c>
      <c r="D848" s="5" t="s">
        <v>208</v>
      </c>
      <c r="E848" s="5" t="s">
        <v>54</v>
      </c>
      <c r="F848" s="5" t="s">
        <v>55</v>
      </c>
      <c r="G848" s="5" t="s">
        <v>81</v>
      </c>
      <c r="H848" s="5" t="s">
        <v>44</v>
      </c>
      <c r="I848" s="5" t="s">
        <v>82</v>
      </c>
      <c r="J848" s="5">
        <v>935</v>
      </c>
      <c r="K848" s="7">
        <v>1239.122274853441</v>
      </c>
      <c r="L848" s="5">
        <v>3</v>
      </c>
      <c r="M848" s="5">
        <v>0</v>
      </c>
      <c r="N848" s="8">
        <f t="shared" si="0"/>
        <v>3717.366824560323</v>
      </c>
      <c r="O848" s="5">
        <f t="shared" si="1"/>
        <v>2805</v>
      </c>
      <c r="P848" s="5">
        <f t="shared" si="2"/>
        <v>912.36682456032304</v>
      </c>
      <c r="Q848" s="5" t="s">
        <v>83</v>
      </c>
      <c r="R848" s="5" t="s">
        <v>32</v>
      </c>
      <c r="S848" s="6">
        <v>45195</v>
      </c>
      <c r="T848" s="5">
        <v>5</v>
      </c>
      <c r="U848" s="5">
        <v>3</v>
      </c>
      <c r="V848" s="5" t="s">
        <v>33</v>
      </c>
      <c r="W848" s="5">
        <f t="shared" si="3"/>
        <v>0</v>
      </c>
    </row>
    <row r="849" spans="1:23" ht="15.75" customHeight="1" x14ac:dyDescent="0.25">
      <c r="A849" s="5" t="s">
        <v>1216</v>
      </c>
      <c r="B849" s="6">
        <v>45187</v>
      </c>
      <c r="C849" s="5" t="s">
        <v>355</v>
      </c>
      <c r="D849" s="5" t="s">
        <v>148</v>
      </c>
      <c r="E849" s="5" t="s">
        <v>112</v>
      </c>
      <c r="F849" s="5" t="s">
        <v>113</v>
      </c>
      <c r="G849" s="5" t="s">
        <v>81</v>
      </c>
      <c r="H849" s="5" t="s">
        <v>44</v>
      </c>
      <c r="I849" s="5" t="s">
        <v>82</v>
      </c>
      <c r="J849" s="5">
        <v>2873</v>
      </c>
      <c r="K849" s="7">
        <v>3410.9284145676138</v>
      </c>
      <c r="L849" s="5">
        <v>5</v>
      </c>
      <c r="M849" s="5">
        <v>0</v>
      </c>
      <c r="N849" s="8">
        <f t="shared" si="0"/>
        <v>17054.642072838069</v>
      </c>
      <c r="O849" s="5">
        <f t="shared" si="1"/>
        <v>14365</v>
      </c>
      <c r="P849" s="5">
        <f t="shared" si="2"/>
        <v>2689.642072838069</v>
      </c>
      <c r="Q849" s="5" t="s">
        <v>83</v>
      </c>
      <c r="R849" s="5" t="s">
        <v>32</v>
      </c>
      <c r="S849" s="6">
        <v>45198</v>
      </c>
      <c r="T849" s="5">
        <v>5</v>
      </c>
      <c r="U849" s="5">
        <v>4</v>
      </c>
      <c r="V849" s="5" t="s">
        <v>33</v>
      </c>
      <c r="W849" s="5">
        <f t="shared" si="3"/>
        <v>0</v>
      </c>
    </row>
    <row r="850" spans="1:23" ht="15.75" customHeight="1" x14ac:dyDescent="0.25">
      <c r="A850" s="5" t="s">
        <v>1217</v>
      </c>
      <c r="B850" s="6">
        <v>45188</v>
      </c>
      <c r="C850" s="5" t="s">
        <v>584</v>
      </c>
      <c r="D850" s="5" t="s">
        <v>105</v>
      </c>
      <c r="E850" s="5" t="s">
        <v>54</v>
      </c>
      <c r="F850" s="5" t="s">
        <v>55</v>
      </c>
      <c r="G850" s="5" t="s">
        <v>70</v>
      </c>
      <c r="H850" s="5" t="s">
        <v>44</v>
      </c>
      <c r="I850" s="5" t="s">
        <v>71</v>
      </c>
      <c r="J850" s="5">
        <v>883</v>
      </c>
      <c r="K850" s="7">
        <v>1576.6172885014591</v>
      </c>
      <c r="L850" s="5">
        <v>2</v>
      </c>
      <c r="M850" s="5">
        <v>5</v>
      </c>
      <c r="N850" s="8">
        <f t="shared" si="0"/>
        <v>2995.5728481527722</v>
      </c>
      <c r="O850" s="5">
        <f t="shared" si="1"/>
        <v>1766</v>
      </c>
      <c r="P850" s="5">
        <f t="shared" si="2"/>
        <v>1229.5728481527722</v>
      </c>
      <c r="Q850" s="5" t="s">
        <v>46</v>
      </c>
      <c r="R850" s="5" t="s">
        <v>32</v>
      </c>
      <c r="S850" s="6">
        <v>45195</v>
      </c>
      <c r="T850" s="5">
        <v>4</v>
      </c>
      <c r="U850" s="5">
        <v>3</v>
      </c>
      <c r="V850" s="5" t="s">
        <v>33</v>
      </c>
      <c r="W850" s="5">
        <f t="shared" si="3"/>
        <v>0</v>
      </c>
    </row>
    <row r="851" spans="1:23" ht="15.75" customHeight="1" x14ac:dyDescent="0.25">
      <c r="A851" s="5" t="s">
        <v>1218</v>
      </c>
      <c r="B851" s="6">
        <v>45189</v>
      </c>
      <c r="C851" s="5" t="s">
        <v>359</v>
      </c>
      <c r="D851" s="5" t="s">
        <v>74</v>
      </c>
      <c r="E851" s="5" t="s">
        <v>49</v>
      </c>
      <c r="F851" s="5" t="s">
        <v>50</v>
      </c>
      <c r="G851" s="5" t="s">
        <v>28</v>
      </c>
      <c r="H851" s="5" t="s">
        <v>29</v>
      </c>
      <c r="I851" s="5" t="s">
        <v>30</v>
      </c>
      <c r="J851" s="5">
        <v>6010</v>
      </c>
      <c r="K851" s="7">
        <v>7653.6314651401817</v>
      </c>
      <c r="L851" s="5">
        <v>2</v>
      </c>
      <c r="M851" s="5">
        <v>0</v>
      </c>
      <c r="N851" s="8">
        <f t="shared" si="0"/>
        <v>15307.262930280363</v>
      </c>
      <c r="O851" s="5">
        <f t="shared" si="1"/>
        <v>12020</v>
      </c>
      <c r="P851" s="5">
        <f t="shared" si="2"/>
        <v>3287.2629302803634</v>
      </c>
      <c r="Q851" s="5" t="s">
        <v>83</v>
      </c>
      <c r="R851" s="5" t="s">
        <v>32</v>
      </c>
      <c r="S851" s="6">
        <v>45195</v>
      </c>
      <c r="T851" s="5">
        <v>1</v>
      </c>
      <c r="U851" s="5">
        <v>4</v>
      </c>
      <c r="V851" s="5" t="s">
        <v>33</v>
      </c>
      <c r="W851" s="5">
        <f t="shared" si="3"/>
        <v>0</v>
      </c>
    </row>
    <row r="852" spans="1:23" ht="15.75" customHeight="1" x14ac:dyDescent="0.25">
      <c r="A852" s="5" t="s">
        <v>1219</v>
      </c>
      <c r="B852" s="6">
        <v>45190</v>
      </c>
      <c r="C852" s="5" t="s">
        <v>161</v>
      </c>
      <c r="D852" s="5" t="s">
        <v>148</v>
      </c>
      <c r="E852" s="5" t="s">
        <v>80</v>
      </c>
      <c r="F852" s="5" t="s">
        <v>80</v>
      </c>
      <c r="G852" s="5" t="s">
        <v>81</v>
      </c>
      <c r="H852" s="5" t="s">
        <v>44</v>
      </c>
      <c r="I852" s="5" t="s">
        <v>82</v>
      </c>
      <c r="J852" s="5">
        <v>904</v>
      </c>
      <c r="K852" s="7">
        <v>1102.823576203635</v>
      </c>
      <c r="L852" s="5">
        <v>5</v>
      </c>
      <c r="M852" s="5">
        <v>0</v>
      </c>
      <c r="N852" s="8">
        <f t="shared" si="0"/>
        <v>5514.1178810181746</v>
      </c>
      <c r="O852" s="5">
        <f t="shared" si="1"/>
        <v>4520</v>
      </c>
      <c r="P852" s="5">
        <f t="shared" si="2"/>
        <v>994.11788101817456</v>
      </c>
      <c r="Q852" s="5" t="s">
        <v>83</v>
      </c>
      <c r="R852" s="5" t="s">
        <v>56</v>
      </c>
      <c r="T852" s="5">
        <v>9</v>
      </c>
      <c r="U852" s="5">
        <v>1</v>
      </c>
      <c r="W852" s="5">
        <f t="shared" si="3"/>
        <v>0</v>
      </c>
    </row>
    <row r="853" spans="1:23" ht="15.75" customHeight="1" x14ac:dyDescent="0.25">
      <c r="A853" s="5" t="s">
        <v>1220</v>
      </c>
      <c r="B853" s="6">
        <v>45191</v>
      </c>
      <c r="C853" s="5" t="s">
        <v>373</v>
      </c>
      <c r="D853" s="5" t="s">
        <v>188</v>
      </c>
      <c r="E853" s="5" t="s">
        <v>49</v>
      </c>
      <c r="F853" s="5" t="s">
        <v>50</v>
      </c>
      <c r="G853" s="5" t="s">
        <v>139</v>
      </c>
      <c r="H853" s="5" t="s">
        <v>76</v>
      </c>
      <c r="I853" s="5" t="s">
        <v>140</v>
      </c>
      <c r="J853" s="5">
        <v>42825</v>
      </c>
      <c r="K853" s="7">
        <v>72568.336320234506</v>
      </c>
      <c r="L853" s="5">
        <v>4</v>
      </c>
      <c r="M853" s="5">
        <v>10</v>
      </c>
      <c r="N853" s="8">
        <f t="shared" si="0"/>
        <v>261246.01075284422</v>
      </c>
      <c r="O853" s="5">
        <f t="shared" si="1"/>
        <v>171300</v>
      </c>
      <c r="P853" s="5">
        <f t="shared" si="2"/>
        <v>89946.010752844217</v>
      </c>
      <c r="Q853" s="5" t="s">
        <v>31</v>
      </c>
      <c r="R853" s="5" t="s">
        <v>56</v>
      </c>
      <c r="T853" s="5">
        <v>9</v>
      </c>
      <c r="U853" s="5">
        <v>1</v>
      </c>
      <c r="W853" s="5">
        <f t="shared" si="3"/>
        <v>0</v>
      </c>
    </row>
    <row r="854" spans="1:23" ht="15.75" customHeight="1" x14ac:dyDescent="0.25">
      <c r="A854" s="5" t="s">
        <v>1221</v>
      </c>
      <c r="B854" s="6">
        <v>45191</v>
      </c>
      <c r="C854" s="5" t="s">
        <v>662</v>
      </c>
      <c r="D854" s="5" t="s">
        <v>135</v>
      </c>
      <c r="E854" s="5" t="s">
        <v>26</v>
      </c>
      <c r="F854" s="5" t="s">
        <v>27</v>
      </c>
      <c r="G854" s="5" t="s">
        <v>139</v>
      </c>
      <c r="H854" s="5" t="s">
        <v>76</v>
      </c>
      <c r="I854" s="5" t="s">
        <v>140</v>
      </c>
      <c r="J854" s="5">
        <v>47559</v>
      </c>
      <c r="K854" s="7">
        <v>85045.451431552341</v>
      </c>
      <c r="L854" s="5">
        <v>1</v>
      </c>
      <c r="M854" s="5">
        <v>15</v>
      </c>
      <c r="N854" s="8">
        <f t="shared" si="0"/>
        <v>72288.633716819488</v>
      </c>
      <c r="O854" s="5">
        <f t="shared" si="1"/>
        <v>47559</v>
      </c>
      <c r="P854" s="5">
        <f t="shared" si="2"/>
        <v>24729.633716819488</v>
      </c>
      <c r="Q854" s="5" t="s">
        <v>31</v>
      </c>
      <c r="R854" s="5" t="s">
        <v>32</v>
      </c>
      <c r="S854" s="6">
        <v>45202</v>
      </c>
      <c r="T854" s="5">
        <v>5</v>
      </c>
      <c r="U854" s="5">
        <v>4</v>
      </c>
      <c r="V854" s="5" t="s">
        <v>33</v>
      </c>
      <c r="W854" s="5">
        <f t="shared" si="3"/>
        <v>0</v>
      </c>
    </row>
    <row r="855" spans="1:23" ht="15.75" customHeight="1" x14ac:dyDescent="0.25">
      <c r="A855" s="5" t="s">
        <v>1222</v>
      </c>
      <c r="B855" s="6">
        <v>45192</v>
      </c>
      <c r="C855" s="5" t="s">
        <v>1223</v>
      </c>
      <c r="D855" s="5" t="s">
        <v>86</v>
      </c>
      <c r="E855" s="5" t="s">
        <v>69</v>
      </c>
      <c r="F855" s="5" t="s">
        <v>55</v>
      </c>
      <c r="G855" s="5" t="s">
        <v>139</v>
      </c>
      <c r="H855" s="5" t="s">
        <v>76</v>
      </c>
      <c r="I855" s="5" t="s">
        <v>140</v>
      </c>
      <c r="J855" s="5">
        <v>36269</v>
      </c>
      <c r="K855" s="7">
        <v>60787.706230277363</v>
      </c>
      <c r="L855" s="5">
        <v>3</v>
      </c>
      <c r="M855" s="5">
        <v>20</v>
      </c>
      <c r="N855" s="8">
        <f t="shared" si="0"/>
        <v>145890.49495266567</v>
      </c>
      <c r="O855" s="5">
        <f t="shared" si="1"/>
        <v>108807</v>
      </c>
      <c r="P855" s="5">
        <f t="shared" si="2"/>
        <v>37083.494952665671</v>
      </c>
      <c r="Q855" s="5" t="s">
        <v>39</v>
      </c>
      <c r="R855" s="5" t="s">
        <v>56</v>
      </c>
      <c r="T855" s="5">
        <v>8</v>
      </c>
      <c r="U855" s="5">
        <v>2</v>
      </c>
      <c r="W855" s="5">
        <f t="shared" si="3"/>
        <v>0</v>
      </c>
    </row>
    <row r="856" spans="1:23" ht="15.75" customHeight="1" x14ac:dyDescent="0.25">
      <c r="A856" s="5" t="s">
        <v>1224</v>
      </c>
      <c r="B856" s="6">
        <v>45192</v>
      </c>
      <c r="C856" s="5" t="s">
        <v>152</v>
      </c>
      <c r="D856" s="5" t="s">
        <v>53</v>
      </c>
      <c r="E856" s="5" t="s">
        <v>26</v>
      </c>
      <c r="F856" s="5" t="s">
        <v>27</v>
      </c>
      <c r="G856" s="5" t="s">
        <v>139</v>
      </c>
      <c r="H856" s="5" t="s">
        <v>76</v>
      </c>
      <c r="I856" s="5" t="s">
        <v>140</v>
      </c>
      <c r="J856" s="5">
        <v>30666</v>
      </c>
      <c r="K856" s="7">
        <v>50466.718344081673</v>
      </c>
      <c r="L856" s="5">
        <v>1</v>
      </c>
      <c r="M856" s="5">
        <v>0</v>
      </c>
      <c r="N856" s="8">
        <f t="shared" si="0"/>
        <v>50466.718344081673</v>
      </c>
      <c r="O856" s="5">
        <f t="shared" si="1"/>
        <v>30666</v>
      </c>
      <c r="P856" s="5">
        <f t="shared" si="2"/>
        <v>19800.718344081673</v>
      </c>
      <c r="Q856" s="5" t="s">
        <v>39</v>
      </c>
      <c r="R856" s="5" t="s">
        <v>32</v>
      </c>
      <c r="S856" s="6">
        <v>45199</v>
      </c>
      <c r="T856" s="5">
        <v>4</v>
      </c>
      <c r="U856" s="5">
        <v>4</v>
      </c>
      <c r="V856" s="5" t="s">
        <v>33</v>
      </c>
      <c r="W856" s="5">
        <f t="shared" si="3"/>
        <v>0</v>
      </c>
    </row>
    <row r="857" spans="1:23" ht="15.75" customHeight="1" x14ac:dyDescent="0.25">
      <c r="A857" s="5" t="s">
        <v>1225</v>
      </c>
      <c r="B857" s="6">
        <v>45192</v>
      </c>
      <c r="C857" s="5" t="s">
        <v>828</v>
      </c>
      <c r="D857" s="5" t="s">
        <v>188</v>
      </c>
      <c r="E857" s="5" t="s">
        <v>60</v>
      </c>
      <c r="F857" s="5" t="s">
        <v>61</v>
      </c>
      <c r="G857" s="5" t="s">
        <v>97</v>
      </c>
      <c r="H857" s="5" t="s">
        <v>98</v>
      </c>
      <c r="I857" s="5" t="s">
        <v>99</v>
      </c>
      <c r="J857" s="5">
        <v>319</v>
      </c>
      <c r="K857" s="7">
        <v>465.79559138880336</v>
      </c>
      <c r="L857" s="5">
        <v>2</v>
      </c>
      <c r="M857" s="5">
        <v>5</v>
      </c>
      <c r="N857" s="8">
        <f t="shared" si="0"/>
        <v>885.01162363872629</v>
      </c>
      <c r="O857" s="5">
        <f t="shared" si="1"/>
        <v>638</v>
      </c>
      <c r="P857" s="5">
        <f t="shared" si="2"/>
        <v>247.01162363872629</v>
      </c>
      <c r="Q857" s="5" t="s">
        <v>31</v>
      </c>
      <c r="R857" s="5" t="s">
        <v>32</v>
      </c>
      <c r="S857" s="6">
        <v>45199</v>
      </c>
      <c r="T857" s="5">
        <v>4</v>
      </c>
      <c r="U857" s="5">
        <v>3</v>
      </c>
      <c r="V857" s="5" t="s">
        <v>33</v>
      </c>
      <c r="W857" s="5">
        <f t="shared" si="3"/>
        <v>0</v>
      </c>
    </row>
    <row r="858" spans="1:23" ht="15.75" customHeight="1" x14ac:dyDescent="0.25">
      <c r="A858" s="5" t="s">
        <v>1226</v>
      </c>
      <c r="B858" s="6">
        <v>45192</v>
      </c>
      <c r="C858" s="5" t="s">
        <v>231</v>
      </c>
      <c r="D858" s="5" t="s">
        <v>74</v>
      </c>
      <c r="E858" s="5" t="s">
        <v>54</v>
      </c>
      <c r="F858" s="5" t="s">
        <v>55</v>
      </c>
      <c r="G858" s="5" t="s">
        <v>97</v>
      </c>
      <c r="H858" s="5" t="s">
        <v>98</v>
      </c>
      <c r="I858" s="5" t="s">
        <v>99</v>
      </c>
      <c r="J858" s="5">
        <v>504</v>
      </c>
      <c r="K858" s="7">
        <v>535.81752937446788</v>
      </c>
      <c r="L858" s="5">
        <v>5</v>
      </c>
      <c r="M858" s="5">
        <v>20</v>
      </c>
      <c r="N858" s="8">
        <f t="shared" si="0"/>
        <v>2143.2701174978715</v>
      </c>
      <c r="O858" s="5">
        <f t="shared" si="1"/>
        <v>2520</v>
      </c>
      <c r="P858" s="5">
        <f t="shared" si="2"/>
        <v>-376.72988250212848</v>
      </c>
      <c r="Q858" s="5" t="s">
        <v>46</v>
      </c>
      <c r="R858" s="5" t="s">
        <v>56</v>
      </c>
      <c r="T858" s="5">
        <v>9</v>
      </c>
      <c r="U858" s="5">
        <v>1</v>
      </c>
      <c r="W858" s="5">
        <f t="shared" si="3"/>
        <v>0</v>
      </c>
    </row>
    <row r="859" spans="1:23" ht="15.75" customHeight="1" x14ac:dyDescent="0.25">
      <c r="A859" s="5" t="s">
        <v>1227</v>
      </c>
      <c r="B859" s="6">
        <v>45193</v>
      </c>
      <c r="C859" s="5" t="s">
        <v>111</v>
      </c>
      <c r="D859" s="5" t="s">
        <v>53</v>
      </c>
      <c r="E859" s="5" t="s">
        <v>80</v>
      </c>
      <c r="F859" s="5" t="s">
        <v>80</v>
      </c>
      <c r="G859" s="5" t="s">
        <v>139</v>
      </c>
      <c r="H859" s="5" t="s">
        <v>76</v>
      </c>
      <c r="I859" s="5" t="s">
        <v>140</v>
      </c>
      <c r="J859" s="5">
        <v>45435</v>
      </c>
      <c r="K859" s="7">
        <v>64311.686635328726</v>
      </c>
      <c r="L859" s="5">
        <v>1</v>
      </c>
      <c r="M859" s="5">
        <v>5</v>
      </c>
      <c r="N859" s="8">
        <f t="shared" si="0"/>
        <v>61096.102303562286</v>
      </c>
      <c r="O859" s="5">
        <f t="shared" si="1"/>
        <v>45435</v>
      </c>
      <c r="P859" s="5">
        <f t="shared" si="2"/>
        <v>15661.102303562286</v>
      </c>
      <c r="Q859" s="5" t="s">
        <v>83</v>
      </c>
      <c r="R859" s="5" t="s">
        <v>32</v>
      </c>
      <c r="S859" s="6">
        <v>45204</v>
      </c>
      <c r="T859" s="5">
        <v>4</v>
      </c>
      <c r="U859" s="5">
        <v>2</v>
      </c>
      <c r="V859" s="5" t="s">
        <v>33</v>
      </c>
      <c r="W859" s="5">
        <f t="shared" si="3"/>
        <v>0</v>
      </c>
    </row>
    <row r="860" spans="1:23" ht="15.75" customHeight="1" x14ac:dyDescent="0.25">
      <c r="A860" s="5" t="s">
        <v>1228</v>
      </c>
      <c r="B860" s="6">
        <v>45193</v>
      </c>
      <c r="C860" s="5" t="s">
        <v>972</v>
      </c>
      <c r="D860" s="5" t="s">
        <v>138</v>
      </c>
      <c r="E860" s="5" t="s">
        <v>26</v>
      </c>
      <c r="F860" s="5" t="s">
        <v>27</v>
      </c>
      <c r="G860" s="5" t="s">
        <v>124</v>
      </c>
      <c r="H860" s="5" t="s">
        <v>76</v>
      </c>
      <c r="I860" s="5" t="s">
        <v>125</v>
      </c>
      <c r="J860" s="5">
        <v>53402</v>
      </c>
      <c r="K860" s="7">
        <v>58932.696544521306</v>
      </c>
      <c r="L860" s="5">
        <v>5</v>
      </c>
      <c r="M860" s="5">
        <v>15</v>
      </c>
      <c r="N860" s="8">
        <f t="shared" si="0"/>
        <v>250463.96031421554</v>
      </c>
      <c r="O860" s="5">
        <f t="shared" si="1"/>
        <v>267010</v>
      </c>
      <c r="P860" s="5">
        <f t="shared" si="2"/>
        <v>-16546.039685784461</v>
      </c>
      <c r="Q860" s="5" t="s">
        <v>31</v>
      </c>
      <c r="R860" s="5" t="s">
        <v>56</v>
      </c>
      <c r="T860" s="5">
        <v>9</v>
      </c>
      <c r="U860" s="5">
        <v>1</v>
      </c>
      <c r="W860" s="5">
        <f t="shared" si="3"/>
        <v>0</v>
      </c>
    </row>
    <row r="861" spans="1:23" ht="15.75" customHeight="1" x14ac:dyDescent="0.25">
      <c r="A861" s="5" t="s">
        <v>1229</v>
      </c>
      <c r="B861" s="6">
        <v>45193</v>
      </c>
      <c r="C861" s="5" t="s">
        <v>284</v>
      </c>
      <c r="D861" s="5" t="s">
        <v>64</v>
      </c>
      <c r="E861" s="5" t="s">
        <v>60</v>
      </c>
      <c r="F861" s="5" t="s">
        <v>61</v>
      </c>
      <c r="G861" s="5" t="s">
        <v>87</v>
      </c>
      <c r="H861" s="5" t="s">
        <v>29</v>
      </c>
      <c r="I861" s="5" t="s">
        <v>88</v>
      </c>
      <c r="J861" s="5">
        <v>50274</v>
      </c>
      <c r="K861" s="7">
        <v>89197.290398587618</v>
      </c>
      <c r="L861" s="5">
        <v>2</v>
      </c>
      <c r="M861" s="5">
        <v>0</v>
      </c>
      <c r="N861" s="8">
        <f t="shared" si="0"/>
        <v>178394.58079717524</v>
      </c>
      <c r="O861" s="5">
        <f t="shared" si="1"/>
        <v>100548</v>
      </c>
      <c r="P861" s="5">
        <f t="shared" si="2"/>
        <v>77846.580797175237</v>
      </c>
      <c r="Q861" s="5" t="s">
        <v>83</v>
      </c>
      <c r="R861" s="5" t="s">
        <v>56</v>
      </c>
      <c r="T861" s="5">
        <v>8</v>
      </c>
      <c r="U861" s="5">
        <v>2</v>
      </c>
      <c r="W861" s="5">
        <f t="shared" si="3"/>
        <v>0</v>
      </c>
    </row>
    <row r="862" spans="1:23" ht="15.75" customHeight="1" x14ac:dyDescent="0.25">
      <c r="A862" s="5" t="s">
        <v>1230</v>
      </c>
      <c r="B862" s="6">
        <v>45193</v>
      </c>
      <c r="C862" s="5" t="s">
        <v>526</v>
      </c>
      <c r="D862" s="5" t="s">
        <v>42</v>
      </c>
      <c r="E862" s="5" t="s">
        <v>26</v>
      </c>
      <c r="F862" s="5" t="s">
        <v>27</v>
      </c>
      <c r="G862" s="5" t="s">
        <v>87</v>
      </c>
      <c r="H862" s="5" t="s">
        <v>29</v>
      </c>
      <c r="I862" s="5" t="s">
        <v>88</v>
      </c>
      <c r="J862" s="5">
        <v>25027</v>
      </c>
      <c r="K862" s="7">
        <v>42408.73753456799</v>
      </c>
      <c r="L862" s="5">
        <v>4</v>
      </c>
      <c r="M862" s="5">
        <v>10</v>
      </c>
      <c r="N862" s="8">
        <f t="shared" si="0"/>
        <v>152671.45512444476</v>
      </c>
      <c r="O862" s="5">
        <f t="shared" si="1"/>
        <v>100108</v>
      </c>
      <c r="P862" s="5">
        <f t="shared" si="2"/>
        <v>52563.455124444765</v>
      </c>
      <c r="Q862" s="5" t="s">
        <v>83</v>
      </c>
      <c r="R862" s="5" t="s">
        <v>32</v>
      </c>
      <c r="S862" s="6">
        <v>45201</v>
      </c>
      <c r="T862" s="5">
        <v>2</v>
      </c>
      <c r="U862" s="5">
        <v>4</v>
      </c>
      <c r="V862" s="5" t="s">
        <v>33</v>
      </c>
      <c r="W862" s="5">
        <f t="shared" si="3"/>
        <v>0</v>
      </c>
    </row>
    <row r="863" spans="1:23" ht="15.75" customHeight="1" x14ac:dyDescent="0.25">
      <c r="A863" s="5" t="s">
        <v>1231</v>
      </c>
      <c r="B863" s="6">
        <v>45193</v>
      </c>
      <c r="C863" s="5" t="s">
        <v>485</v>
      </c>
      <c r="D863" s="5" t="s">
        <v>150</v>
      </c>
      <c r="E863" s="5" t="s">
        <v>49</v>
      </c>
      <c r="F863" s="5" t="s">
        <v>50</v>
      </c>
      <c r="G863" s="5" t="s">
        <v>87</v>
      </c>
      <c r="H863" s="5" t="s">
        <v>29</v>
      </c>
      <c r="I863" s="5" t="s">
        <v>88</v>
      </c>
      <c r="J863" s="5">
        <v>40861</v>
      </c>
      <c r="K863" s="7">
        <v>63489.717782312546</v>
      </c>
      <c r="L863" s="5">
        <v>5</v>
      </c>
      <c r="M863" s="5">
        <v>0</v>
      </c>
      <c r="N863" s="8">
        <f t="shared" si="0"/>
        <v>317448.58891156275</v>
      </c>
      <c r="O863" s="5">
        <f t="shared" si="1"/>
        <v>204305</v>
      </c>
      <c r="P863" s="5">
        <f t="shared" si="2"/>
        <v>113143.58891156275</v>
      </c>
      <c r="Q863" s="5" t="s">
        <v>46</v>
      </c>
      <c r="R863" s="5" t="s">
        <v>32</v>
      </c>
      <c r="S863" s="6">
        <v>45206</v>
      </c>
      <c r="T863" s="5">
        <v>6</v>
      </c>
      <c r="U863" s="5">
        <v>2</v>
      </c>
      <c r="V863" s="5" t="s">
        <v>33</v>
      </c>
      <c r="W863" s="5">
        <f t="shared" si="3"/>
        <v>0</v>
      </c>
    </row>
    <row r="864" spans="1:23" ht="15.75" customHeight="1" x14ac:dyDescent="0.25">
      <c r="A864" s="5" t="s">
        <v>1232</v>
      </c>
      <c r="B864" s="6">
        <v>45193</v>
      </c>
      <c r="C864" s="5" t="s">
        <v>284</v>
      </c>
      <c r="D864" s="5" t="s">
        <v>148</v>
      </c>
      <c r="E864" s="5" t="s">
        <v>60</v>
      </c>
      <c r="F864" s="5" t="s">
        <v>61</v>
      </c>
      <c r="G864" s="5" t="s">
        <v>87</v>
      </c>
      <c r="H864" s="5" t="s">
        <v>29</v>
      </c>
      <c r="I864" s="5" t="s">
        <v>88</v>
      </c>
      <c r="J864" s="5">
        <v>56519</v>
      </c>
      <c r="K864" s="7">
        <v>95354.53517831229</v>
      </c>
      <c r="L864" s="5">
        <v>2</v>
      </c>
      <c r="M864" s="5">
        <v>5</v>
      </c>
      <c r="N864" s="8">
        <f t="shared" si="0"/>
        <v>181173.61683879333</v>
      </c>
      <c r="O864" s="5">
        <f t="shared" si="1"/>
        <v>113038</v>
      </c>
      <c r="P864" s="5">
        <f t="shared" si="2"/>
        <v>68135.616838793328</v>
      </c>
      <c r="Q864" s="5" t="s">
        <v>83</v>
      </c>
      <c r="R864" s="5" t="s">
        <v>32</v>
      </c>
      <c r="S864" s="6">
        <v>45201</v>
      </c>
      <c r="T864" s="5">
        <v>4</v>
      </c>
      <c r="U864" s="5">
        <v>4</v>
      </c>
      <c r="V864" s="5" t="s">
        <v>33</v>
      </c>
      <c r="W864" s="5">
        <f t="shared" si="3"/>
        <v>0</v>
      </c>
    </row>
    <row r="865" spans="1:23" ht="15.75" customHeight="1" x14ac:dyDescent="0.25">
      <c r="A865" s="5" t="s">
        <v>1233</v>
      </c>
      <c r="B865" s="6">
        <v>45194</v>
      </c>
      <c r="C865" s="5" t="s">
        <v>63</v>
      </c>
      <c r="D865" s="5" t="s">
        <v>135</v>
      </c>
      <c r="E865" s="5" t="s">
        <v>112</v>
      </c>
      <c r="F865" s="5" t="s">
        <v>113</v>
      </c>
      <c r="G865" s="5" t="s">
        <v>87</v>
      </c>
      <c r="H865" s="5" t="s">
        <v>29</v>
      </c>
      <c r="I865" s="5" t="s">
        <v>88</v>
      </c>
      <c r="J865" s="5">
        <v>25401</v>
      </c>
      <c r="K865" s="7">
        <v>34269.991334880957</v>
      </c>
      <c r="L865" s="5">
        <v>1</v>
      </c>
      <c r="M865" s="5">
        <v>15</v>
      </c>
      <c r="N865" s="8">
        <f t="shared" si="0"/>
        <v>29129.492634648814</v>
      </c>
      <c r="O865" s="5">
        <f t="shared" si="1"/>
        <v>25401</v>
      </c>
      <c r="P865" s="5">
        <f t="shared" si="2"/>
        <v>3728.4926346488137</v>
      </c>
      <c r="Q865" s="5" t="s">
        <v>46</v>
      </c>
      <c r="R865" s="5" t="s">
        <v>32</v>
      </c>
      <c r="S865" s="6">
        <v>45205</v>
      </c>
      <c r="T865" s="5">
        <v>6</v>
      </c>
      <c r="U865" s="5">
        <v>3</v>
      </c>
      <c r="V865" s="5" t="s">
        <v>33</v>
      </c>
      <c r="W865" s="5">
        <f t="shared" si="3"/>
        <v>0</v>
      </c>
    </row>
    <row r="866" spans="1:23" ht="15.75" customHeight="1" x14ac:dyDescent="0.25">
      <c r="A866" s="5" t="s">
        <v>1234</v>
      </c>
      <c r="B866" s="6">
        <v>45194</v>
      </c>
      <c r="C866" s="5" t="s">
        <v>913</v>
      </c>
      <c r="D866" s="5" t="s">
        <v>25</v>
      </c>
      <c r="E866" s="5" t="s">
        <v>80</v>
      </c>
      <c r="F866" s="5" t="s">
        <v>80</v>
      </c>
      <c r="G866" s="5" t="s">
        <v>124</v>
      </c>
      <c r="H866" s="5" t="s">
        <v>76</v>
      </c>
      <c r="I866" s="5" t="s">
        <v>125</v>
      </c>
      <c r="J866" s="5">
        <v>86220</v>
      </c>
      <c r="K866" s="7">
        <v>128931.79324069449</v>
      </c>
      <c r="L866" s="5">
        <v>5</v>
      </c>
      <c r="M866" s="5">
        <v>10</v>
      </c>
      <c r="N866" s="8">
        <f t="shared" si="0"/>
        <v>580193.06958312518</v>
      </c>
      <c r="O866" s="5">
        <f t="shared" si="1"/>
        <v>431100</v>
      </c>
      <c r="P866" s="5">
        <f t="shared" si="2"/>
        <v>149093.06958312518</v>
      </c>
      <c r="Q866" s="5" t="s">
        <v>46</v>
      </c>
      <c r="R866" s="5" t="s">
        <v>32</v>
      </c>
      <c r="S866" s="6">
        <v>45202</v>
      </c>
      <c r="T866" s="5">
        <v>1</v>
      </c>
      <c r="U866" s="5">
        <v>5</v>
      </c>
      <c r="V866" s="5" t="s">
        <v>33</v>
      </c>
      <c r="W866" s="5">
        <f t="shared" si="3"/>
        <v>0</v>
      </c>
    </row>
    <row r="867" spans="1:23" ht="15.75" customHeight="1" x14ac:dyDescent="0.25">
      <c r="A867" s="5" t="s">
        <v>1235</v>
      </c>
      <c r="B867" s="6">
        <v>45194</v>
      </c>
      <c r="C867" s="5" t="s">
        <v>789</v>
      </c>
      <c r="D867" s="5" t="s">
        <v>25</v>
      </c>
      <c r="E867" s="5" t="s">
        <v>69</v>
      </c>
      <c r="F867" s="5" t="s">
        <v>55</v>
      </c>
      <c r="G867" s="5" t="s">
        <v>106</v>
      </c>
      <c r="H867" s="5" t="s">
        <v>98</v>
      </c>
      <c r="I867" s="5" t="s">
        <v>107</v>
      </c>
      <c r="J867" s="5">
        <v>863</v>
      </c>
      <c r="K867" s="7">
        <v>1373.7522651782867</v>
      </c>
      <c r="L867" s="5">
        <v>5</v>
      </c>
      <c r="M867" s="5">
        <v>15</v>
      </c>
      <c r="N867" s="8">
        <f t="shared" si="0"/>
        <v>5838.4471270077183</v>
      </c>
      <c r="O867" s="5">
        <f t="shared" si="1"/>
        <v>4315</v>
      </c>
      <c r="P867" s="5">
        <f t="shared" si="2"/>
        <v>1523.4471270077183</v>
      </c>
      <c r="Q867" s="5" t="s">
        <v>46</v>
      </c>
      <c r="R867" s="5" t="s">
        <v>32</v>
      </c>
      <c r="S867" s="6">
        <v>45203</v>
      </c>
      <c r="T867" s="5">
        <v>5</v>
      </c>
      <c r="U867" s="5">
        <v>2</v>
      </c>
      <c r="V867" s="5" t="s">
        <v>33</v>
      </c>
      <c r="W867" s="5">
        <f t="shared" si="3"/>
        <v>0</v>
      </c>
    </row>
    <row r="868" spans="1:23" ht="15.75" customHeight="1" x14ac:dyDescent="0.25">
      <c r="A868" s="5" t="s">
        <v>1236</v>
      </c>
      <c r="B868" s="6">
        <v>45194</v>
      </c>
      <c r="C868" s="5" t="s">
        <v>276</v>
      </c>
      <c r="D868" s="5" t="s">
        <v>105</v>
      </c>
      <c r="E868" s="5" t="s">
        <v>37</v>
      </c>
      <c r="F868" s="5" t="s">
        <v>38</v>
      </c>
      <c r="G868" s="5" t="s">
        <v>119</v>
      </c>
      <c r="H868" s="5" t="s">
        <v>76</v>
      </c>
      <c r="I868" s="5" t="s">
        <v>120</v>
      </c>
      <c r="J868" s="5">
        <v>49392</v>
      </c>
      <c r="K868" s="7">
        <v>60028.719670464146</v>
      </c>
      <c r="L868" s="5">
        <v>2</v>
      </c>
      <c r="M868" s="5">
        <v>0</v>
      </c>
      <c r="N868" s="8">
        <f t="shared" si="0"/>
        <v>120057.43934092829</v>
      </c>
      <c r="O868" s="5">
        <f t="shared" si="1"/>
        <v>98784</v>
      </c>
      <c r="P868" s="5">
        <f t="shared" si="2"/>
        <v>21273.439340928293</v>
      </c>
      <c r="Q868" s="5" t="s">
        <v>31</v>
      </c>
      <c r="R868" s="5" t="s">
        <v>32</v>
      </c>
      <c r="S868" s="6">
        <v>45204</v>
      </c>
      <c r="T868" s="5">
        <v>3</v>
      </c>
      <c r="U868" s="5">
        <v>4</v>
      </c>
      <c r="V868" s="5" t="s">
        <v>33</v>
      </c>
      <c r="W868" s="5">
        <f t="shared" si="3"/>
        <v>0</v>
      </c>
    </row>
    <row r="869" spans="1:23" ht="15.75" customHeight="1" x14ac:dyDescent="0.25">
      <c r="A869" s="5" t="s">
        <v>1237</v>
      </c>
      <c r="B869" s="6">
        <v>45194</v>
      </c>
      <c r="C869" s="5" t="s">
        <v>252</v>
      </c>
      <c r="D869" s="5" t="s">
        <v>36</v>
      </c>
      <c r="E869" s="5" t="s">
        <v>69</v>
      </c>
      <c r="F869" s="5" t="s">
        <v>55</v>
      </c>
      <c r="G869" s="5" t="s">
        <v>139</v>
      </c>
      <c r="H869" s="5" t="s">
        <v>76</v>
      </c>
      <c r="I869" s="5" t="s">
        <v>140</v>
      </c>
      <c r="J869" s="5">
        <v>43759</v>
      </c>
      <c r="K869" s="7">
        <v>49910.483964648483</v>
      </c>
      <c r="L869" s="5">
        <v>5</v>
      </c>
      <c r="M869" s="5">
        <v>0</v>
      </c>
      <c r="N869" s="8">
        <f t="shared" si="0"/>
        <v>249552.41982324241</v>
      </c>
      <c r="O869" s="5">
        <f t="shared" si="1"/>
        <v>218795</v>
      </c>
      <c r="P869" s="5">
        <f t="shared" si="2"/>
        <v>30757.41982324241</v>
      </c>
      <c r="Q869" s="5" t="s">
        <v>46</v>
      </c>
      <c r="R869" s="5" t="s">
        <v>32</v>
      </c>
      <c r="S869" s="6">
        <v>45199</v>
      </c>
      <c r="T869" s="5">
        <v>1</v>
      </c>
      <c r="U869" s="5">
        <v>4</v>
      </c>
      <c r="V869" s="5" t="s">
        <v>33</v>
      </c>
      <c r="W869" s="5">
        <f t="shared" si="3"/>
        <v>0</v>
      </c>
    </row>
    <row r="870" spans="1:23" ht="15.75" customHeight="1" x14ac:dyDescent="0.25">
      <c r="A870" s="5" t="s">
        <v>1238</v>
      </c>
      <c r="B870" s="6">
        <v>45194</v>
      </c>
      <c r="C870" s="5" t="s">
        <v>547</v>
      </c>
      <c r="D870" s="5" t="s">
        <v>74</v>
      </c>
      <c r="E870" s="5" t="s">
        <v>54</v>
      </c>
      <c r="F870" s="5" t="s">
        <v>55</v>
      </c>
      <c r="G870" s="5" t="s">
        <v>81</v>
      </c>
      <c r="H870" s="5" t="s">
        <v>44</v>
      </c>
      <c r="I870" s="5" t="s">
        <v>82</v>
      </c>
      <c r="J870" s="5">
        <v>2496</v>
      </c>
      <c r="K870" s="7">
        <v>4256.8229940802939</v>
      </c>
      <c r="L870" s="5">
        <v>1</v>
      </c>
      <c r="M870" s="5">
        <v>10</v>
      </c>
      <c r="N870" s="8">
        <f t="shared" si="0"/>
        <v>3831.1406946722645</v>
      </c>
      <c r="O870" s="5">
        <f t="shared" si="1"/>
        <v>2496</v>
      </c>
      <c r="P870" s="5">
        <f t="shared" si="2"/>
        <v>1335.1406946722645</v>
      </c>
      <c r="Q870" s="5" t="s">
        <v>83</v>
      </c>
      <c r="R870" s="5" t="s">
        <v>32</v>
      </c>
      <c r="S870" s="6">
        <v>45203</v>
      </c>
      <c r="T870" s="5">
        <v>5</v>
      </c>
      <c r="U870" s="5">
        <v>2</v>
      </c>
      <c r="V870" s="5" t="s">
        <v>33</v>
      </c>
      <c r="W870" s="5">
        <f t="shared" si="3"/>
        <v>0</v>
      </c>
    </row>
    <row r="871" spans="1:23" ht="15.75" customHeight="1" x14ac:dyDescent="0.25">
      <c r="A871" s="5" t="s">
        <v>1239</v>
      </c>
      <c r="B871" s="6">
        <v>45195</v>
      </c>
      <c r="C871" s="5" t="s">
        <v>698</v>
      </c>
      <c r="D871" s="5" t="s">
        <v>184</v>
      </c>
      <c r="E871" s="5" t="s">
        <v>26</v>
      </c>
      <c r="F871" s="5" t="s">
        <v>27</v>
      </c>
      <c r="G871" s="5" t="s">
        <v>119</v>
      </c>
      <c r="H871" s="5" t="s">
        <v>76</v>
      </c>
      <c r="I871" s="5" t="s">
        <v>120</v>
      </c>
      <c r="J871" s="5">
        <v>44381</v>
      </c>
      <c r="K871" s="7">
        <v>48985.964743263081</v>
      </c>
      <c r="L871" s="5">
        <v>4</v>
      </c>
      <c r="M871" s="5">
        <v>15</v>
      </c>
      <c r="N871" s="8">
        <f t="shared" si="0"/>
        <v>166552.28012709448</v>
      </c>
      <c r="O871" s="5">
        <f t="shared" si="1"/>
        <v>177524</v>
      </c>
      <c r="P871" s="5">
        <f t="shared" si="2"/>
        <v>-10971.719872905524</v>
      </c>
      <c r="Q871" s="5" t="s">
        <v>39</v>
      </c>
      <c r="R871" s="5" t="s">
        <v>56</v>
      </c>
      <c r="T871" s="5">
        <v>9</v>
      </c>
      <c r="U871" s="5">
        <v>1</v>
      </c>
      <c r="W871" s="5">
        <f t="shared" si="3"/>
        <v>0</v>
      </c>
    </row>
    <row r="872" spans="1:23" ht="15.75" customHeight="1" x14ac:dyDescent="0.25">
      <c r="A872" s="5" t="s">
        <v>1240</v>
      </c>
      <c r="B872" s="6">
        <v>45195</v>
      </c>
      <c r="C872" s="5" t="s">
        <v>166</v>
      </c>
      <c r="D872" s="5" t="s">
        <v>184</v>
      </c>
      <c r="E872" s="5" t="s">
        <v>26</v>
      </c>
      <c r="F872" s="5" t="s">
        <v>27</v>
      </c>
      <c r="G872" s="5" t="s">
        <v>139</v>
      </c>
      <c r="H872" s="5" t="s">
        <v>76</v>
      </c>
      <c r="I872" s="5" t="s">
        <v>140</v>
      </c>
      <c r="J872" s="5">
        <v>34462</v>
      </c>
      <c r="K872" s="7">
        <v>36083.994260207211</v>
      </c>
      <c r="L872" s="5">
        <v>2</v>
      </c>
      <c r="M872" s="5">
        <v>20</v>
      </c>
      <c r="N872" s="8">
        <f t="shared" si="0"/>
        <v>57734.390816331543</v>
      </c>
      <c r="O872" s="5">
        <f t="shared" si="1"/>
        <v>68924</v>
      </c>
      <c r="P872" s="5">
        <f t="shared" si="2"/>
        <v>-11189.609183668457</v>
      </c>
      <c r="Q872" s="5" t="s">
        <v>31</v>
      </c>
      <c r="R872" s="5" t="s">
        <v>56</v>
      </c>
      <c r="T872" s="5">
        <v>10</v>
      </c>
      <c r="U872" s="5">
        <v>1</v>
      </c>
      <c r="W872" s="5">
        <f t="shared" si="3"/>
        <v>0</v>
      </c>
    </row>
    <row r="873" spans="1:23" ht="15.75" customHeight="1" x14ac:dyDescent="0.25">
      <c r="A873" s="5" t="s">
        <v>1241</v>
      </c>
      <c r="B873" s="6">
        <v>45195</v>
      </c>
      <c r="C873" s="5" t="s">
        <v>394</v>
      </c>
      <c r="D873" s="5" t="s">
        <v>116</v>
      </c>
      <c r="E873" s="5" t="s">
        <v>54</v>
      </c>
      <c r="F873" s="5" t="s">
        <v>55</v>
      </c>
      <c r="G873" s="5" t="s">
        <v>106</v>
      </c>
      <c r="H873" s="5" t="s">
        <v>98</v>
      </c>
      <c r="I873" s="5" t="s">
        <v>107</v>
      </c>
      <c r="J873" s="5">
        <v>599</v>
      </c>
      <c r="K873" s="7">
        <v>602.23512318308883</v>
      </c>
      <c r="L873" s="5">
        <v>4</v>
      </c>
      <c r="M873" s="5">
        <v>0</v>
      </c>
      <c r="N873" s="8">
        <f t="shared" si="0"/>
        <v>2408.9404927323553</v>
      </c>
      <c r="O873" s="5">
        <f t="shared" si="1"/>
        <v>2396</v>
      </c>
      <c r="P873" s="5">
        <f t="shared" si="2"/>
        <v>12.940492732355324</v>
      </c>
      <c r="Q873" s="5" t="s">
        <v>39</v>
      </c>
      <c r="R873" s="5" t="s">
        <v>32</v>
      </c>
      <c r="S873" s="6">
        <v>45207</v>
      </c>
      <c r="T873" s="5">
        <v>8</v>
      </c>
      <c r="U873" s="5">
        <v>4</v>
      </c>
      <c r="V873" s="5" t="s">
        <v>89</v>
      </c>
      <c r="W873" s="5">
        <f t="shared" si="3"/>
        <v>1</v>
      </c>
    </row>
    <row r="874" spans="1:23" ht="15.75" customHeight="1" x14ac:dyDescent="0.25">
      <c r="A874" s="5" t="s">
        <v>1242</v>
      </c>
      <c r="B874" s="6">
        <v>45195</v>
      </c>
      <c r="C874" s="5" t="s">
        <v>396</v>
      </c>
      <c r="D874" s="5" t="s">
        <v>105</v>
      </c>
      <c r="E874" s="5" t="s">
        <v>80</v>
      </c>
      <c r="F874" s="5" t="s">
        <v>80</v>
      </c>
      <c r="G874" s="5" t="s">
        <v>119</v>
      </c>
      <c r="H874" s="5" t="s">
        <v>76</v>
      </c>
      <c r="I874" s="5" t="s">
        <v>120</v>
      </c>
      <c r="J874" s="5">
        <v>34862</v>
      </c>
      <c r="K874" s="7">
        <v>59049.004257977518</v>
      </c>
      <c r="L874" s="5">
        <v>4</v>
      </c>
      <c r="M874" s="5">
        <v>15</v>
      </c>
      <c r="N874" s="8">
        <f t="shared" si="0"/>
        <v>200766.61447712357</v>
      </c>
      <c r="O874" s="5">
        <f t="shared" si="1"/>
        <v>139448</v>
      </c>
      <c r="P874" s="5">
        <f t="shared" si="2"/>
        <v>61318.61447712357</v>
      </c>
      <c r="Q874" s="5" t="s">
        <v>39</v>
      </c>
      <c r="R874" s="5" t="s">
        <v>32</v>
      </c>
      <c r="S874" s="6">
        <v>45201</v>
      </c>
      <c r="T874" s="5">
        <v>2</v>
      </c>
      <c r="U874" s="5">
        <v>5</v>
      </c>
      <c r="V874" s="5" t="s">
        <v>33</v>
      </c>
      <c r="W874" s="5">
        <f t="shared" si="3"/>
        <v>0</v>
      </c>
    </row>
    <row r="875" spans="1:23" ht="15.75" customHeight="1" x14ac:dyDescent="0.25">
      <c r="A875" s="5" t="s">
        <v>1243</v>
      </c>
      <c r="B875" s="6">
        <v>45196</v>
      </c>
      <c r="C875" s="5" t="s">
        <v>127</v>
      </c>
      <c r="D875" s="5" t="s">
        <v>25</v>
      </c>
      <c r="E875" s="5" t="s">
        <v>69</v>
      </c>
      <c r="F875" s="5" t="s">
        <v>55</v>
      </c>
      <c r="G875" s="5" t="s">
        <v>87</v>
      </c>
      <c r="H875" s="5" t="s">
        <v>29</v>
      </c>
      <c r="I875" s="5" t="s">
        <v>88</v>
      </c>
      <c r="J875" s="5">
        <v>26035</v>
      </c>
      <c r="K875" s="7">
        <v>37019.494989124018</v>
      </c>
      <c r="L875" s="5">
        <v>3</v>
      </c>
      <c r="M875" s="5">
        <v>20</v>
      </c>
      <c r="N875" s="8">
        <f t="shared" si="0"/>
        <v>88846.787973897648</v>
      </c>
      <c r="O875" s="5">
        <f t="shared" si="1"/>
        <v>78105</v>
      </c>
      <c r="P875" s="5">
        <f t="shared" si="2"/>
        <v>10741.787973897648</v>
      </c>
      <c r="Q875" s="5" t="s">
        <v>39</v>
      </c>
      <c r="R875" s="5" t="s">
        <v>56</v>
      </c>
      <c r="T875" s="5">
        <v>9</v>
      </c>
      <c r="U875" s="5">
        <v>1</v>
      </c>
      <c r="W875" s="5">
        <f t="shared" si="3"/>
        <v>0</v>
      </c>
    </row>
    <row r="876" spans="1:23" ht="15.75" customHeight="1" x14ac:dyDescent="0.25">
      <c r="A876" s="5" t="s">
        <v>1244</v>
      </c>
      <c r="B876" s="6">
        <v>45196</v>
      </c>
      <c r="C876" s="5" t="s">
        <v>496</v>
      </c>
      <c r="D876" s="5" t="s">
        <v>53</v>
      </c>
      <c r="E876" s="5" t="s">
        <v>69</v>
      </c>
      <c r="F876" s="5" t="s">
        <v>55</v>
      </c>
      <c r="G876" s="5" t="s">
        <v>81</v>
      </c>
      <c r="H876" s="5" t="s">
        <v>44</v>
      </c>
      <c r="I876" s="5" t="s">
        <v>82</v>
      </c>
      <c r="J876" s="5">
        <v>2074</v>
      </c>
      <c r="K876" s="7">
        <v>2831.8390115728303</v>
      </c>
      <c r="L876" s="5">
        <v>1</v>
      </c>
      <c r="M876" s="5">
        <v>10</v>
      </c>
      <c r="N876" s="8">
        <f t="shared" si="0"/>
        <v>2548.6551104155474</v>
      </c>
      <c r="O876" s="5">
        <f t="shared" si="1"/>
        <v>2074</v>
      </c>
      <c r="P876" s="5">
        <f t="shared" si="2"/>
        <v>474.65511041554737</v>
      </c>
      <c r="Q876" s="5" t="s">
        <v>46</v>
      </c>
      <c r="R876" s="5" t="s">
        <v>56</v>
      </c>
      <c r="T876" s="5">
        <v>10</v>
      </c>
      <c r="U876" s="5">
        <v>1</v>
      </c>
      <c r="W876" s="5">
        <f t="shared" si="3"/>
        <v>0</v>
      </c>
    </row>
    <row r="877" spans="1:23" ht="15.75" customHeight="1" x14ac:dyDescent="0.25">
      <c r="A877" s="5" t="s">
        <v>1245</v>
      </c>
      <c r="B877" s="6">
        <v>45197</v>
      </c>
      <c r="C877" s="5" t="s">
        <v>1212</v>
      </c>
      <c r="D877" s="5" t="s">
        <v>184</v>
      </c>
      <c r="E877" s="5" t="s">
        <v>49</v>
      </c>
      <c r="F877" s="5" t="s">
        <v>50</v>
      </c>
      <c r="G877" s="5" t="s">
        <v>75</v>
      </c>
      <c r="H877" s="5" t="s">
        <v>76</v>
      </c>
      <c r="I877" s="5" t="s">
        <v>77</v>
      </c>
      <c r="J877" s="5">
        <v>1894</v>
      </c>
      <c r="K877" s="7">
        <v>2032.7250059665198</v>
      </c>
      <c r="L877" s="5">
        <v>5</v>
      </c>
      <c r="M877" s="5">
        <v>0</v>
      </c>
      <c r="N877" s="8">
        <f t="shared" si="0"/>
        <v>10163.625029832599</v>
      </c>
      <c r="O877" s="5">
        <f t="shared" si="1"/>
        <v>9470</v>
      </c>
      <c r="P877" s="5">
        <f t="shared" si="2"/>
        <v>693.62502983259947</v>
      </c>
      <c r="Q877" s="5" t="s">
        <v>39</v>
      </c>
      <c r="R877" s="5" t="s">
        <v>56</v>
      </c>
      <c r="T877" s="5">
        <v>9</v>
      </c>
      <c r="U877" s="5">
        <v>1</v>
      </c>
      <c r="W877" s="5">
        <f t="shared" si="3"/>
        <v>0</v>
      </c>
    </row>
    <row r="878" spans="1:23" ht="15.75" customHeight="1" x14ac:dyDescent="0.25">
      <c r="A878" s="5" t="s">
        <v>1246</v>
      </c>
      <c r="B878" s="6">
        <v>45197</v>
      </c>
      <c r="C878" s="5" t="s">
        <v>1247</v>
      </c>
      <c r="D878" s="5" t="s">
        <v>146</v>
      </c>
      <c r="E878" s="5" t="s">
        <v>112</v>
      </c>
      <c r="F878" s="5" t="s">
        <v>113</v>
      </c>
      <c r="G878" s="5" t="s">
        <v>106</v>
      </c>
      <c r="H878" s="5" t="s">
        <v>98</v>
      </c>
      <c r="I878" s="5" t="s">
        <v>107</v>
      </c>
      <c r="J878" s="5">
        <v>877</v>
      </c>
      <c r="K878" s="7">
        <v>1199.2807170124534</v>
      </c>
      <c r="L878" s="5">
        <v>4</v>
      </c>
      <c r="M878" s="5">
        <v>15</v>
      </c>
      <c r="N878" s="8">
        <f t="shared" si="0"/>
        <v>4077.5544378423415</v>
      </c>
      <c r="O878" s="5">
        <f t="shared" si="1"/>
        <v>3508</v>
      </c>
      <c r="P878" s="5">
        <f t="shared" si="2"/>
        <v>569.55443784234149</v>
      </c>
      <c r="Q878" s="5" t="s">
        <v>39</v>
      </c>
      <c r="R878" s="5" t="s">
        <v>32</v>
      </c>
      <c r="S878" s="6">
        <v>45209</v>
      </c>
      <c r="T878" s="5">
        <v>8</v>
      </c>
      <c r="U878" s="5">
        <v>3</v>
      </c>
      <c r="V878" s="5" t="s">
        <v>33</v>
      </c>
      <c r="W878" s="5">
        <f t="shared" si="3"/>
        <v>0</v>
      </c>
    </row>
    <row r="879" spans="1:23" ht="15.75" customHeight="1" x14ac:dyDescent="0.25">
      <c r="A879" s="5" t="s">
        <v>1248</v>
      </c>
      <c r="B879" s="6">
        <v>45197</v>
      </c>
      <c r="C879" s="5" t="s">
        <v>235</v>
      </c>
      <c r="D879" s="5" t="s">
        <v>138</v>
      </c>
      <c r="E879" s="5" t="s">
        <v>26</v>
      </c>
      <c r="F879" s="5" t="s">
        <v>27</v>
      </c>
      <c r="G879" s="5" t="s">
        <v>106</v>
      </c>
      <c r="H879" s="5" t="s">
        <v>98</v>
      </c>
      <c r="I879" s="5" t="s">
        <v>107</v>
      </c>
      <c r="J879" s="5">
        <v>502</v>
      </c>
      <c r="K879" s="7">
        <v>552.65930619269727</v>
      </c>
      <c r="L879" s="5">
        <v>2</v>
      </c>
      <c r="M879" s="5">
        <v>5</v>
      </c>
      <c r="N879" s="8">
        <f t="shared" si="0"/>
        <v>1050.0526817661248</v>
      </c>
      <c r="O879" s="5">
        <f t="shared" si="1"/>
        <v>1004</v>
      </c>
      <c r="P879" s="5">
        <f t="shared" si="2"/>
        <v>46.052681766124806</v>
      </c>
      <c r="Q879" s="5" t="s">
        <v>46</v>
      </c>
      <c r="R879" s="5" t="s">
        <v>56</v>
      </c>
      <c r="T879" s="5">
        <v>9</v>
      </c>
      <c r="U879" s="5">
        <v>1</v>
      </c>
      <c r="W879" s="5">
        <f t="shared" si="3"/>
        <v>0</v>
      </c>
    </row>
    <row r="880" spans="1:23" ht="15.75" customHeight="1" x14ac:dyDescent="0.25">
      <c r="A880" s="5" t="s">
        <v>1249</v>
      </c>
      <c r="B880" s="6">
        <v>45197</v>
      </c>
      <c r="C880" s="5" t="s">
        <v>511</v>
      </c>
      <c r="D880" s="5" t="s">
        <v>148</v>
      </c>
      <c r="E880" s="5" t="s">
        <v>60</v>
      </c>
      <c r="F880" s="5" t="s">
        <v>61</v>
      </c>
      <c r="G880" s="5" t="s">
        <v>124</v>
      </c>
      <c r="H880" s="5" t="s">
        <v>76</v>
      </c>
      <c r="I880" s="5" t="s">
        <v>125</v>
      </c>
      <c r="J880" s="5">
        <v>53372</v>
      </c>
      <c r="K880" s="7">
        <v>88234.15884746729</v>
      </c>
      <c r="L880" s="5">
        <v>2</v>
      </c>
      <c r="M880" s="5">
        <v>5</v>
      </c>
      <c r="N880" s="8">
        <f t="shared" si="0"/>
        <v>167644.90181018785</v>
      </c>
      <c r="O880" s="5">
        <f t="shared" si="1"/>
        <v>106744</v>
      </c>
      <c r="P880" s="5">
        <f t="shared" si="2"/>
        <v>60900.901810187846</v>
      </c>
      <c r="Q880" s="5" t="s">
        <v>83</v>
      </c>
      <c r="R880" s="5" t="s">
        <v>32</v>
      </c>
      <c r="S880" s="6">
        <v>45205</v>
      </c>
      <c r="T880" s="5">
        <v>5</v>
      </c>
      <c r="U880" s="5">
        <v>2</v>
      </c>
      <c r="V880" s="5" t="s">
        <v>33</v>
      </c>
      <c r="W880" s="5">
        <f t="shared" si="3"/>
        <v>0</v>
      </c>
    </row>
    <row r="881" spans="1:23" ht="15.75" customHeight="1" x14ac:dyDescent="0.25">
      <c r="A881" s="5" t="s">
        <v>1250</v>
      </c>
      <c r="B881" s="6">
        <v>45197</v>
      </c>
      <c r="C881" s="5" t="s">
        <v>212</v>
      </c>
      <c r="D881" s="5" t="s">
        <v>36</v>
      </c>
      <c r="E881" s="5" t="s">
        <v>54</v>
      </c>
      <c r="F881" s="5" t="s">
        <v>55</v>
      </c>
      <c r="G881" s="5" t="s">
        <v>97</v>
      </c>
      <c r="H881" s="5" t="s">
        <v>98</v>
      </c>
      <c r="I881" s="5" t="s">
        <v>99</v>
      </c>
      <c r="J881" s="5">
        <v>458</v>
      </c>
      <c r="K881" s="7">
        <v>718.96220157598066</v>
      </c>
      <c r="L881" s="5">
        <v>2</v>
      </c>
      <c r="M881" s="5">
        <v>0</v>
      </c>
      <c r="N881" s="8">
        <f t="shared" si="0"/>
        <v>1437.9244031519613</v>
      </c>
      <c r="O881" s="5">
        <f t="shared" si="1"/>
        <v>916</v>
      </c>
      <c r="P881" s="5">
        <f t="shared" si="2"/>
        <v>521.92440315196131</v>
      </c>
      <c r="Q881" s="5" t="s">
        <v>83</v>
      </c>
      <c r="R881" s="5" t="s">
        <v>56</v>
      </c>
      <c r="T881" s="5">
        <v>7</v>
      </c>
      <c r="U881" s="5">
        <v>4</v>
      </c>
      <c r="W881" s="5">
        <f t="shared" si="3"/>
        <v>0</v>
      </c>
    </row>
    <row r="882" spans="1:23" ht="15.75" customHeight="1" x14ac:dyDescent="0.25">
      <c r="A882" s="5" t="s">
        <v>1251</v>
      </c>
      <c r="B882" s="6">
        <v>45198</v>
      </c>
      <c r="C882" s="5" t="s">
        <v>143</v>
      </c>
      <c r="D882" s="5" t="s">
        <v>135</v>
      </c>
      <c r="E882" s="5" t="s">
        <v>54</v>
      </c>
      <c r="F882" s="5" t="s">
        <v>55</v>
      </c>
      <c r="G882" s="5" t="s">
        <v>28</v>
      </c>
      <c r="H882" s="5" t="s">
        <v>29</v>
      </c>
      <c r="I882" s="5" t="s">
        <v>30</v>
      </c>
      <c r="J882" s="5">
        <v>4024</v>
      </c>
      <c r="K882" s="7">
        <v>5765.2560179849206</v>
      </c>
      <c r="L882" s="5">
        <v>2</v>
      </c>
      <c r="M882" s="5">
        <v>15</v>
      </c>
      <c r="N882" s="8">
        <f t="shared" si="0"/>
        <v>9800.9352305743651</v>
      </c>
      <c r="O882" s="5">
        <f t="shared" si="1"/>
        <v>8048</v>
      </c>
      <c r="P882" s="5">
        <f t="shared" si="2"/>
        <v>1752.9352305743651</v>
      </c>
      <c r="Q882" s="5" t="s">
        <v>46</v>
      </c>
      <c r="R882" s="5" t="s">
        <v>32</v>
      </c>
      <c r="S882" s="6">
        <v>45208</v>
      </c>
      <c r="T882" s="5">
        <v>5</v>
      </c>
      <c r="U882" s="5">
        <v>2</v>
      </c>
      <c r="V882" s="5" t="s">
        <v>33</v>
      </c>
      <c r="W882" s="5">
        <f t="shared" si="3"/>
        <v>0</v>
      </c>
    </row>
    <row r="883" spans="1:23" ht="15.75" customHeight="1" x14ac:dyDescent="0.25">
      <c r="A883" s="5" t="s">
        <v>1252</v>
      </c>
      <c r="B883" s="6">
        <v>45198</v>
      </c>
      <c r="C883" s="5" t="s">
        <v>257</v>
      </c>
      <c r="D883" s="5" t="s">
        <v>74</v>
      </c>
      <c r="E883" s="5" t="s">
        <v>37</v>
      </c>
      <c r="F883" s="5" t="s">
        <v>38</v>
      </c>
      <c r="G883" s="5" t="s">
        <v>75</v>
      </c>
      <c r="H883" s="5" t="s">
        <v>76</v>
      </c>
      <c r="I883" s="5" t="s">
        <v>77</v>
      </c>
      <c r="J883" s="5">
        <v>505</v>
      </c>
      <c r="K883" s="7">
        <v>689.87039272694972</v>
      </c>
      <c r="L883" s="5">
        <v>5</v>
      </c>
      <c r="M883" s="5">
        <v>15</v>
      </c>
      <c r="N883" s="8">
        <f t="shared" si="0"/>
        <v>2931.9491690895361</v>
      </c>
      <c r="O883" s="5">
        <f t="shared" si="1"/>
        <v>2525</v>
      </c>
      <c r="P883" s="5">
        <f t="shared" si="2"/>
        <v>406.9491690895361</v>
      </c>
      <c r="Q883" s="5" t="s">
        <v>39</v>
      </c>
      <c r="R883" s="5" t="s">
        <v>32</v>
      </c>
      <c r="S883" s="6">
        <v>45209</v>
      </c>
      <c r="T883" s="5">
        <v>8</v>
      </c>
      <c r="U883" s="5">
        <v>2</v>
      </c>
      <c r="V883" s="5" t="s">
        <v>33</v>
      </c>
      <c r="W883" s="5">
        <f t="shared" si="3"/>
        <v>0</v>
      </c>
    </row>
    <row r="884" spans="1:23" ht="15.75" customHeight="1" x14ac:dyDescent="0.25">
      <c r="A884" s="5" t="s">
        <v>1253</v>
      </c>
      <c r="B884" s="6">
        <v>45198</v>
      </c>
      <c r="C884" s="5" t="s">
        <v>884</v>
      </c>
      <c r="D884" s="5" t="s">
        <v>138</v>
      </c>
      <c r="E884" s="5" t="s">
        <v>26</v>
      </c>
      <c r="F884" s="5" t="s">
        <v>27</v>
      </c>
      <c r="G884" s="5" t="s">
        <v>124</v>
      </c>
      <c r="H884" s="5" t="s">
        <v>76</v>
      </c>
      <c r="I884" s="5" t="s">
        <v>125</v>
      </c>
      <c r="J884" s="5">
        <v>85645</v>
      </c>
      <c r="K884" s="7">
        <v>105941.10767658638</v>
      </c>
      <c r="L884" s="5">
        <v>1</v>
      </c>
      <c r="M884" s="5">
        <v>5</v>
      </c>
      <c r="N884" s="8">
        <f t="shared" si="0"/>
        <v>100644.05229275706</v>
      </c>
      <c r="O884" s="5">
        <f t="shared" si="1"/>
        <v>85645</v>
      </c>
      <c r="P884" s="5">
        <f t="shared" si="2"/>
        <v>14999.052292757056</v>
      </c>
      <c r="Q884" s="5" t="s">
        <v>31</v>
      </c>
      <c r="R884" s="5" t="s">
        <v>32</v>
      </c>
      <c r="S884" s="6">
        <v>45207</v>
      </c>
      <c r="T884" s="5">
        <v>6</v>
      </c>
      <c r="U884" s="5">
        <v>4</v>
      </c>
      <c r="V884" s="5" t="s">
        <v>89</v>
      </c>
      <c r="W884" s="5">
        <f t="shared" si="3"/>
        <v>1</v>
      </c>
    </row>
    <row r="885" spans="1:23" ht="15.75" customHeight="1" x14ac:dyDescent="0.25">
      <c r="A885" s="5" t="s">
        <v>1254</v>
      </c>
      <c r="B885" s="6">
        <v>45198</v>
      </c>
      <c r="C885" s="5" t="s">
        <v>502</v>
      </c>
      <c r="D885" s="5" t="s">
        <v>64</v>
      </c>
      <c r="E885" s="5" t="s">
        <v>60</v>
      </c>
      <c r="F885" s="5" t="s">
        <v>61</v>
      </c>
      <c r="G885" s="5" t="s">
        <v>75</v>
      </c>
      <c r="H885" s="5" t="s">
        <v>76</v>
      </c>
      <c r="I885" s="5" t="s">
        <v>77</v>
      </c>
      <c r="J885" s="5">
        <v>1196</v>
      </c>
      <c r="K885" s="7">
        <v>1817.1483370569181</v>
      </c>
      <c r="L885" s="5">
        <v>2</v>
      </c>
      <c r="M885" s="5">
        <v>20</v>
      </c>
      <c r="N885" s="8">
        <f t="shared" si="0"/>
        <v>2907.4373392910693</v>
      </c>
      <c r="O885" s="5">
        <f t="shared" si="1"/>
        <v>2392</v>
      </c>
      <c r="P885" s="5">
        <f t="shared" si="2"/>
        <v>515.43733929106929</v>
      </c>
      <c r="Q885" s="5" t="s">
        <v>83</v>
      </c>
      <c r="R885" s="5" t="s">
        <v>32</v>
      </c>
      <c r="S885" s="6">
        <v>45204</v>
      </c>
      <c r="T885" s="5">
        <v>2</v>
      </c>
      <c r="U885" s="5">
        <v>4</v>
      </c>
      <c r="V885" s="5" t="s">
        <v>33</v>
      </c>
      <c r="W885" s="5">
        <f t="shared" si="3"/>
        <v>0</v>
      </c>
    </row>
    <row r="886" spans="1:23" ht="15.75" customHeight="1" x14ac:dyDescent="0.25">
      <c r="A886" s="5" t="s">
        <v>1255</v>
      </c>
      <c r="B886" s="6">
        <v>45198</v>
      </c>
      <c r="C886" s="5" t="s">
        <v>263</v>
      </c>
      <c r="D886" s="5" t="s">
        <v>188</v>
      </c>
      <c r="E886" s="5" t="s">
        <v>60</v>
      </c>
      <c r="F886" s="5" t="s">
        <v>61</v>
      </c>
      <c r="G886" s="5" t="s">
        <v>87</v>
      </c>
      <c r="H886" s="5" t="s">
        <v>29</v>
      </c>
      <c r="I886" s="5" t="s">
        <v>88</v>
      </c>
      <c r="J886" s="5">
        <v>30234</v>
      </c>
      <c r="K886" s="7">
        <v>46070.594365832541</v>
      </c>
      <c r="L886" s="5">
        <v>3</v>
      </c>
      <c r="M886" s="5">
        <v>0</v>
      </c>
      <c r="N886" s="8">
        <f t="shared" si="0"/>
        <v>138211.78309749762</v>
      </c>
      <c r="O886" s="5">
        <f t="shared" si="1"/>
        <v>90702</v>
      </c>
      <c r="P886" s="5">
        <f t="shared" si="2"/>
        <v>47509.783097497624</v>
      </c>
      <c r="Q886" s="5" t="s">
        <v>31</v>
      </c>
      <c r="R886" s="5" t="s">
        <v>56</v>
      </c>
      <c r="T886" s="5">
        <v>8</v>
      </c>
      <c r="U886" s="5">
        <v>2</v>
      </c>
      <c r="W886" s="5">
        <f t="shared" si="3"/>
        <v>0</v>
      </c>
    </row>
    <row r="887" spans="1:23" ht="15.75" customHeight="1" x14ac:dyDescent="0.25">
      <c r="A887" s="5" t="s">
        <v>1256</v>
      </c>
      <c r="B887" s="6">
        <v>45199</v>
      </c>
      <c r="C887" s="5" t="s">
        <v>566</v>
      </c>
      <c r="D887" s="5" t="s">
        <v>102</v>
      </c>
      <c r="E887" s="5" t="s">
        <v>49</v>
      </c>
      <c r="F887" s="5" t="s">
        <v>50</v>
      </c>
      <c r="G887" s="5" t="s">
        <v>28</v>
      </c>
      <c r="H887" s="5" t="s">
        <v>29</v>
      </c>
      <c r="I887" s="5" t="s">
        <v>30</v>
      </c>
      <c r="J887" s="5">
        <v>4657</v>
      </c>
      <c r="K887" s="7">
        <v>7692.2850431121033</v>
      </c>
      <c r="L887" s="5">
        <v>5</v>
      </c>
      <c r="M887" s="5">
        <v>0</v>
      </c>
      <c r="N887" s="8">
        <f t="shared" si="0"/>
        <v>38461.425215560514</v>
      </c>
      <c r="O887" s="5">
        <f t="shared" si="1"/>
        <v>23285</v>
      </c>
      <c r="P887" s="5">
        <f t="shared" si="2"/>
        <v>15176.425215560514</v>
      </c>
      <c r="Q887" s="5" t="s">
        <v>39</v>
      </c>
      <c r="R887" s="5" t="s">
        <v>32</v>
      </c>
      <c r="S887" s="6">
        <v>45208</v>
      </c>
      <c r="T887" s="5">
        <v>5</v>
      </c>
      <c r="U887" s="5">
        <v>2</v>
      </c>
      <c r="V887" s="5" t="s">
        <v>33</v>
      </c>
      <c r="W887" s="5">
        <f t="shared" si="3"/>
        <v>0</v>
      </c>
    </row>
    <row r="888" spans="1:23" ht="15.75" customHeight="1" x14ac:dyDescent="0.25">
      <c r="A888" s="5" t="s">
        <v>1257</v>
      </c>
      <c r="B888" s="6">
        <v>45199</v>
      </c>
      <c r="C888" s="5" t="s">
        <v>793</v>
      </c>
      <c r="D888" s="5" t="s">
        <v>116</v>
      </c>
      <c r="E888" s="5" t="s">
        <v>69</v>
      </c>
      <c r="F888" s="5" t="s">
        <v>55</v>
      </c>
      <c r="G888" s="5" t="s">
        <v>119</v>
      </c>
      <c r="H888" s="5" t="s">
        <v>76</v>
      </c>
      <c r="I888" s="5" t="s">
        <v>120</v>
      </c>
      <c r="J888" s="5">
        <v>74968</v>
      </c>
      <c r="K888" s="7">
        <v>116905.6542913976</v>
      </c>
      <c r="L888" s="5">
        <v>5</v>
      </c>
      <c r="M888" s="5">
        <v>10</v>
      </c>
      <c r="N888" s="8">
        <f t="shared" si="0"/>
        <v>526075.44431128923</v>
      </c>
      <c r="O888" s="5">
        <f t="shared" si="1"/>
        <v>374840</v>
      </c>
      <c r="P888" s="5">
        <f t="shared" si="2"/>
        <v>151235.44431128923</v>
      </c>
      <c r="Q888" s="5" t="s">
        <v>31</v>
      </c>
      <c r="R888" s="5" t="s">
        <v>32</v>
      </c>
      <c r="S888" s="6">
        <v>45209</v>
      </c>
      <c r="T888" s="5">
        <v>4</v>
      </c>
      <c r="U888" s="5">
        <v>2</v>
      </c>
      <c r="V888" s="5" t="s">
        <v>33</v>
      </c>
      <c r="W888" s="5">
        <f t="shared" si="3"/>
        <v>0</v>
      </c>
    </row>
    <row r="889" spans="1:23" ht="15.75" customHeight="1" x14ac:dyDescent="0.25">
      <c r="A889" s="5" t="s">
        <v>1258</v>
      </c>
      <c r="B889" s="6">
        <v>45199</v>
      </c>
      <c r="C889" s="5" t="s">
        <v>1259</v>
      </c>
      <c r="D889" s="5" t="s">
        <v>25</v>
      </c>
      <c r="E889" s="5" t="s">
        <v>60</v>
      </c>
      <c r="F889" s="5" t="s">
        <v>61</v>
      </c>
      <c r="G889" s="5" t="s">
        <v>70</v>
      </c>
      <c r="H889" s="5" t="s">
        <v>44</v>
      </c>
      <c r="I889" s="5" t="s">
        <v>71</v>
      </c>
      <c r="J889" s="5">
        <v>988</v>
      </c>
      <c r="K889" s="7">
        <v>1251.9552371042801</v>
      </c>
      <c r="L889" s="5">
        <v>3</v>
      </c>
      <c r="M889" s="5">
        <v>15</v>
      </c>
      <c r="N889" s="8">
        <f t="shared" si="0"/>
        <v>3192.4858546159139</v>
      </c>
      <c r="O889" s="5">
        <f t="shared" si="1"/>
        <v>2964</v>
      </c>
      <c r="P889" s="5">
        <f t="shared" si="2"/>
        <v>228.48585461591392</v>
      </c>
      <c r="Q889" s="5" t="s">
        <v>31</v>
      </c>
      <c r="R889" s="5" t="s">
        <v>56</v>
      </c>
      <c r="T889" s="5">
        <v>7</v>
      </c>
      <c r="U889" s="5">
        <v>3</v>
      </c>
      <c r="W889" s="5">
        <f t="shared" si="3"/>
        <v>0</v>
      </c>
    </row>
    <row r="890" spans="1:23" ht="15.75" customHeight="1" x14ac:dyDescent="0.25">
      <c r="A890" s="5" t="s">
        <v>1260</v>
      </c>
      <c r="B890" s="6">
        <v>45199</v>
      </c>
      <c r="C890" s="5" t="s">
        <v>101</v>
      </c>
      <c r="D890" s="5" t="s">
        <v>181</v>
      </c>
      <c r="E890" s="5" t="s">
        <v>54</v>
      </c>
      <c r="F890" s="5" t="s">
        <v>55</v>
      </c>
      <c r="G890" s="5" t="s">
        <v>81</v>
      </c>
      <c r="H890" s="5" t="s">
        <v>44</v>
      </c>
      <c r="I890" s="5" t="s">
        <v>82</v>
      </c>
      <c r="J890" s="5">
        <v>1575</v>
      </c>
      <c r="K890" s="7">
        <v>2693.6641466826813</v>
      </c>
      <c r="L890" s="5">
        <v>1</v>
      </c>
      <c r="M890" s="5">
        <v>10</v>
      </c>
      <c r="N890" s="8">
        <f t="shared" si="0"/>
        <v>2424.2977320144132</v>
      </c>
      <c r="O890" s="5">
        <f t="shared" si="1"/>
        <v>1575</v>
      </c>
      <c r="P890" s="5">
        <f t="shared" si="2"/>
        <v>849.29773201441321</v>
      </c>
      <c r="Q890" s="5" t="s">
        <v>39</v>
      </c>
      <c r="R890" s="5" t="s">
        <v>32</v>
      </c>
      <c r="S890" s="6">
        <v>45206</v>
      </c>
      <c r="T890" s="5">
        <v>2</v>
      </c>
      <c r="U890" s="5">
        <v>4</v>
      </c>
      <c r="V890" s="5" t="s">
        <v>33</v>
      </c>
      <c r="W890" s="5">
        <f t="shared" si="3"/>
        <v>0</v>
      </c>
    </row>
    <row r="891" spans="1:23" ht="15.75" customHeight="1" x14ac:dyDescent="0.25">
      <c r="A891" s="5" t="s">
        <v>1261</v>
      </c>
      <c r="B891" s="6">
        <v>45199</v>
      </c>
      <c r="C891" s="5" t="s">
        <v>609</v>
      </c>
      <c r="D891" s="5" t="s">
        <v>74</v>
      </c>
      <c r="E891" s="5" t="s">
        <v>37</v>
      </c>
      <c r="F891" s="5" t="s">
        <v>38</v>
      </c>
      <c r="G891" s="5" t="s">
        <v>70</v>
      </c>
      <c r="H891" s="5" t="s">
        <v>44</v>
      </c>
      <c r="I891" s="5" t="s">
        <v>71</v>
      </c>
      <c r="J891" s="5">
        <v>1071</v>
      </c>
      <c r="K891" s="7">
        <v>1136.5125370160893</v>
      </c>
      <c r="L891" s="5">
        <v>5</v>
      </c>
      <c r="M891" s="5">
        <v>15</v>
      </c>
      <c r="N891" s="8">
        <f t="shared" si="0"/>
        <v>4830.1782823183794</v>
      </c>
      <c r="O891" s="5">
        <f t="shared" si="1"/>
        <v>5355</v>
      </c>
      <c r="P891" s="5">
        <f t="shared" si="2"/>
        <v>-524.82171768162061</v>
      </c>
      <c r="Q891" s="5" t="s">
        <v>46</v>
      </c>
      <c r="R891" s="5" t="s">
        <v>32</v>
      </c>
      <c r="S891" s="6">
        <v>45207</v>
      </c>
      <c r="T891" s="5">
        <v>4</v>
      </c>
      <c r="U891" s="5">
        <v>4</v>
      </c>
      <c r="V891" s="5" t="s">
        <v>33</v>
      </c>
      <c r="W891" s="5">
        <f t="shared" si="3"/>
        <v>0</v>
      </c>
    </row>
    <row r="892" spans="1:23" ht="15.75" customHeight="1" x14ac:dyDescent="0.25">
      <c r="A892" s="5" t="s">
        <v>1262</v>
      </c>
      <c r="B892" s="6">
        <v>45200</v>
      </c>
      <c r="C892" s="5" t="s">
        <v>593</v>
      </c>
      <c r="D892" s="5" t="s">
        <v>150</v>
      </c>
      <c r="E892" s="5" t="s">
        <v>69</v>
      </c>
      <c r="F892" s="5" t="s">
        <v>55</v>
      </c>
      <c r="G892" s="5" t="s">
        <v>92</v>
      </c>
      <c r="H892" s="5" t="s">
        <v>44</v>
      </c>
      <c r="I892" s="5" t="s">
        <v>45</v>
      </c>
      <c r="J892" s="5">
        <v>1343</v>
      </c>
      <c r="K892" s="7">
        <v>1405.9501988948475</v>
      </c>
      <c r="L892" s="5">
        <v>4</v>
      </c>
      <c r="M892" s="5">
        <v>10</v>
      </c>
      <c r="N892" s="8">
        <f t="shared" si="0"/>
        <v>5061.420716021451</v>
      </c>
      <c r="O892" s="5">
        <f t="shared" si="1"/>
        <v>5372</v>
      </c>
      <c r="P892" s="5">
        <f t="shared" si="2"/>
        <v>-310.57928397854903</v>
      </c>
      <c r="Q892" s="5" t="s">
        <v>31</v>
      </c>
      <c r="R892" s="5" t="s">
        <v>56</v>
      </c>
      <c r="T892" s="5">
        <v>10</v>
      </c>
      <c r="U892" s="5">
        <v>1</v>
      </c>
      <c r="W892" s="5">
        <f t="shared" si="3"/>
        <v>0</v>
      </c>
    </row>
    <row r="893" spans="1:23" ht="15.75" customHeight="1" x14ac:dyDescent="0.25">
      <c r="A893" s="5" t="s">
        <v>1263</v>
      </c>
      <c r="B893" s="6">
        <v>45200</v>
      </c>
      <c r="C893" s="5" t="s">
        <v>1264</v>
      </c>
      <c r="D893" s="5" t="s">
        <v>116</v>
      </c>
      <c r="E893" s="5" t="s">
        <v>80</v>
      </c>
      <c r="F893" s="5" t="s">
        <v>80</v>
      </c>
      <c r="G893" s="5" t="s">
        <v>97</v>
      </c>
      <c r="H893" s="5" t="s">
        <v>98</v>
      </c>
      <c r="I893" s="5" t="s">
        <v>99</v>
      </c>
      <c r="J893" s="5">
        <v>302</v>
      </c>
      <c r="K893" s="7">
        <v>513.37764823158432</v>
      </c>
      <c r="L893" s="5">
        <v>1</v>
      </c>
      <c r="M893" s="5">
        <v>20</v>
      </c>
      <c r="N893" s="8">
        <f t="shared" si="0"/>
        <v>410.7021185852675</v>
      </c>
      <c r="O893" s="5">
        <f t="shared" si="1"/>
        <v>302</v>
      </c>
      <c r="P893" s="5">
        <f t="shared" si="2"/>
        <v>108.7021185852675</v>
      </c>
      <c r="Q893" s="5" t="s">
        <v>31</v>
      </c>
      <c r="R893" s="5" t="s">
        <v>56</v>
      </c>
      <c r="T893" s="5">
        <v>10</v>
      </c>
      <c r="U893" s="5">
        <v>1</v>
      </c>
      <c r="W893" s="5">
        <f t="shared" si="3"/>
        <v>0</v>
      </c>
    </row>
    <row r="894" spans="1:23" ht="15.75" customHeight="1" x14ac:dyDescent="0.25">
      <c r="A894" s="5" t="s">
        <v>1265</v>
      </c>
      <c r="B894" s="6">
        <v>45200</v>
      </c>
      <c r="C894" s="5" t="s">
        <v>662</v>
      </c>
      <c r="D894" s="5" t="s">
        <v>150</v>
      </c>
      <c r="E894" s="5" t="s">
        <v>112</v>
      </c>
      <c r="F894" s="5" t="s">
        <v>113</v>
      </c>
      <c r="G894" s="5" t="s">
        <v>97</v>
      </c>
      <c r="H894" s="5" t="s">
        <v>98</v>
      </c>
      <c r="I894" s="5" t="s">
        <v>99</v>
      </c>
      <c r="J894" s="5">
        <v>468</v>
      </c>
      <c r="K894" s="7">
        <v>567.14522656767133</v>
      </c>
      <c r="L894" s="5">
        <v>5</v>
      </c>
      <c r="M894" s="5">
        <v>5</v>
      </c>
      <c r="N894" s="8">
        <f t="shared" si="0"/>
        <v>2693.9398261964384</v>
      </c>
      <c r="O894" s="5">
        <f t="shared" si="1"/>
        <v>2340</v>
      </c>
      <c r="P894" s="5">
        <f t="shared" si="2"/>
        <v>353.93982619643839</v>
      </c>
      <c r="Q894" s="5" t="s">
        <v>39</v>
      </c>
      <c r="R894" s="5" t="s">
        <v>56</v>
      </c>
      <c r="T894" s="5">
        <v>9</v>
      </c>
      <c r="U894" s="5">
        <v>1</v>
      </c>
      <c r="W894" s="5">
        <f t="shared" si="3"/>
        <v>0</v>
      </c>
    </row>
    <row r="895" spans="1:23" ht="15.75" customHeight="1" x14ac:dyDescent="0.25">
      <c r="A895" s="5" t="s">
        <v>1266</v>
      </c>
      <c r="B895" s="6">
        <v>45201</v>
      </c>
      <c r="C895" s="5" t="s">
        <v>207</v>
      </c>
      <c r="D895" s="5" t="s">
        <v>59</v>
      </c>
      <c r="E895" s="5" t="s">
        <v>54</v>
      </c>
      <c r="F895" s="5" t="s">
        <v>55</v>
      </c>
      <c r="G895" s="5" t="s">
        <v>70</v>
      </c>
      <c r="H895" s="5" t="s">
        <v>44</v>
      </c>
      <c r="I895" s="5" t="s">
        <v>71</v>
      </c>
      <c r="J895" s="5">
        <v>808</v>
      </c>
      <c r="K895" s="7">
        <v>912.84486971813055</v>
      </c>
      <c r="L895" s="5">
        <v>5</v>
      </c>
      <c r="M895" s="5">
        <v>0</v>
      </c>
      <c r="N895" s="8">
        <f t="shared" si="0"/>
        <v>4564.2243485906529</v>
      </c>
      <c r="O895" s="5">
        <f t="shared" si="1"/>
        <v>4040</v>
      </c>
      <c r="P895" s="5">
        <f t="shared" si="2"/>
        <v>524.22434859065288</v>
      </c>
      <c r="Q895" s="5" t="s">
        <v>83</v>
      </c>
      <c r="R895" s="5" t="s">
        <v>32</v>
      </c>
      <c r="S895" s="6">
        <v>45211</v>
      </c>
      <c r="T895" s="5">
        <v>7</v>
      </c>
      <c r="U895" s="5">
        <v>3</v>
      </c>
      <c r="V895" s="5" t="s">
        <v>33</v>
      </c>
      <c r="W895" s="5">
        <f t="shared" si="3"/>
        <v>0</v>
      </c>
    </row>
    <row r="896" spans="1:23" ht="15.75" customHeight="1" x14ac:dyDescent="0.25">
      <c r="A896" s="5" t="s">
        <v>1267</v>
      </c>
      <c r="B896" s="6">
        <v>45201</v>
      </c>
      <c r="C896" s="5" t="s">
        <v>487</v>
      </c>
      <c r="D896" s="5" t="s">
        <v>86</v>
      </c>
      <c r="E896" s="5" t="s">
        <v>60</v>
      </c>
      <c r="F896" s="5" t="s">
        <v>61</v>
      </c>
      <c r="G896" s="5" t="s">
        <v>70</v>
      </c>
      <c r="H896" s="5" t="s">
        <v>44</v>
      </c>
      <c r="I896" s="5" t="s">
        <v>71</v>
      </c>
      <c r="J896" s="5">
        <v>1253</v>
      </c>
      <c r="K896" s="7">
        <v>1342.2826842976488</v>
      </c>
      <c r="L896" s="5">
        <v>1</v>
      </c>
      <c r="M896" s="5">
        <v>20</v>
      </c>
      <c r="N896" s="8">
        <f t="shared" si="0"/>
        <v>1073.8261474381191</v>
      </c>
      <c r="O896" s="5">
        <f t="shared" si="1"/>
        <v>1253</v>
      </c>
      <c r="P896" s="5">
        <f t="shared" si="2"/>
        <v>-179.17385256188095</v>
      </c>
      <c r="Q896" s="5" t="s">
        <v>31</v>
      </c>
      <c r="R896" s="5" t="s">
        <v>32</v>
      </c>
      <c r="S896" s="6">
        <v>45211</v>
      </c>
      <c r="T896" s="5">
        <v>6</v>
      </c>
      <c r="U896" s="5">
        <v>3</v>
      </c>
      <c r="V896" s="5" t="s">
        <v>33</v>
      </c>
      <c r="W896" s="5">
        <f t="shared" si="3"/>
        <v>0</v>
      </c>
    </row>
    <row r="897" spans="1:30" ht="15.75" customHeight="1" x14ac:dyDescent="0.25">
      <c r="A897" s="5" t="s">
        <v>1268</v>
      </c>
      <c r="B897" s="6">
        <v>45201</v>
      </c>
      <c r="C897" s="5" t="s">
        <v>833</v>
      </c>
      <c r="D897" s="5" t="s">
        <v>64</v>
      </c>
      <c r="E897" s="5" t="s">
        <v>80</v>
      </c>
      <c r="F897" s="5" t="s">
        <v>80</v>
      </c>
      <c r="G897" s="5" t="s">
        <v>70</v>
      </c>
      <c r="H897" s="5" t="s">
        <v>44</v>
      </c>
      <c r="I897" s="5" t="s">
        <v>71</v>
      </c>
      <c r="J897" s="5">
        <v>1592</v>
      </c>
      <c r="K897" s="7">
        <v>1921.3992258366382</v>
      </c>
      <c r="L897" s="5">
        <v>3</v>
      </c>
      <c r="M897" s="5">
        <v>10</v>
      </c>
      <c r="N897" s="8">
        <f t="shared" si="0"/>
        <v>5187.7779097589237</v>
      </c>
      <c r="O897" s="5">
        <f t="shared" si="1"/>
        <v>4776</v>
      </c>
      <c r="P897" s="5">
        <f t="shared" si="2"/>
        <v>411.77790975892367</v>
      </c>
      <c r="Q897" s="5" t="s">
        <v>31</v>
      </c>
      <c r="R897" s="5" t="s">
        <v>32</v>
      </c>
      <c r="S897" s="6">
        <v>45208</v>
      </c>
      <c r="T897" s="5">
        <v>2</v>
      </c>
      <c r="U897" s="5">
        <v>5</v>
      </c>
      <c r="V897" s="5" t="s">
        <v>33</v>
      </c>
      <c r="W897" s="5">
        <f t="shared" si="3"/>
        <v>0</v>
      </c>
    </row>
    <row r="898" spans="1:30" ht="15.75" customHeight="1" x14ac:dyDescent="0.25">
      <c r="A898" s="5" t="s">
        <v>1269</v>
      </c>
      <c r="B898" s="6">
        <v>45201</v>
      </c>
      <c r="C898" s="5" t="s">
        <v>359</v>
      </c>
      <c r="D898" s="5" t="s">
        <v>150</v>
      </c>
      <c r="E898" s="5" t="s">
        <v>112</v>
      </c>
      <c r="F898" s="5" t="s">
        <v>113</v>
      </c>
      <c r="G898" s="5" t="s">
        <v>92</v>
      </c>
      <c r="H898" s="5" t="s">
        <v>44</v>
      </c>
      <c r="I898" s="5" t="s">
        <v>45</v>
      </c>
      <c r="J898" s="5">
        <v>932</v>
      </c>
      <c r="K898" s="7">
        <v>1580.2795868094274</v>
      </c>
      <c r="L898" s="5">
        <v>2</v>
      </c>
      <c r="M898" s="5">
        <v>15</v>
      </c>
      <c r="N898" s="8">
        <f t="shared" si="0"/>
        <v>2686.4752975760266</v>
      </c>
      <c r="O898" s="5">
        <f t="shared" si="1"/>
        <v>1864</v>
      </c>
      <c r="P898" s="5">
        <f t="shared" si="2"/>
        <v>822.47529757602661</v>
      </c>
      <c r="Q898" s="5" t="s">
        <v>31</v>
      </c>
      <c r="R898" s="5" t="s">
        <v>56</v>
      </c>
      <c r="T898" s="5">
        <v>9</v>
      </c>
      <c r="U898" s="5">
        <v>1</v>
      </c>
      <c r="W898" s="5">
        <f t="shared" si="3"/>
        <v>0</v>
      </c>
    </row>
    <row r="899" spans="1:30" ht="15.75" customHeight="1" x14ac:dyDescent="0.25">
      <c r="A899" s="5" t="s">
        <v>1270</v>
      </c>
      <c r="B899" s="6">
        <v>45201</v>
      </c>
      <c r="C899" s="5" t="s">
        <v>722</v>
      </c>
      <c r="D899" s="5" t="s">
        <v>184</v>
      </c>
      <c r="E899" s="5" t="s">
        <v>80</v>
      </c>
      <c r="F899" s="5" t="s">
        <v>80</v>
      </c>
      <c r="G899" s="5" t="s">
        <v>81</v>
      </c>
      <c r="H899" s="5" t="s">
        <v>44</v>
      </c>
      <c r="I899" s="5" t="s">
        <v>82</v>
      </c>
      <c r="J899" s="5">
        <v>922</v>
      </c>
      <c r="K899" s="7">
        <v>1337.3238270550257</v>
      </c>
      <c r="L899" s="5">
        <v>3</v>
      </c>
      <c r="M899" s="5">
        <v>20</v>
      </c>
      <c r="N899" s="8">
        <f t="shared" si="0"/>
        <v>3209.5771849320622</v>
      </c>
      <c r="O899" s="5">
        <f t="shared" si="1"/>
        <v>2766</v>
      </c>
      <c r="P899" s="5">
        <f t="shared" si="2"/>
        <v>443.57718493206221</v>
      </c>
      <c r="Q899" s="5" t="s">
        <v>46</v>
      </c>
      <c r="R899" s="5" t="s">
        <v>56</v>
      </c>
      <c r="T899" s="5">
        <v>9</v>
      </c>
      <c r="U899" s="5">
        <v>1</v>
      </c>
      <c r="W899" s="5">
        <f t="shared" si="3"/>
        <v>0</v>
      </c>
    </row>
    <row r="900" spans="1:30" ht="15.75" customHeight="1" x14ac:dyDescent="0.25">
      <c r="A900" s="5" t="s">
        <v>1271</v>
      </c>
      <c r="B900" s="6">
        <v>45202</v>
      </c>
      <c r="C900" s="5" t="s">
        <v>649</v>
      </c>
      <c r="D900" s="5" t="s">
        <v>36</v>
      </c>
      <c r="E900" s="5" t="s">
        <v>80</v>
      </c>
      <c r="F900" s="5" t="s">
        <v>80</v>
      </c>
      <c r="G900" s="5" t="s">
        <v>75</v>
      </c>
      <c r="H900" s="8" t="s">
        <v>76</v>
      </c>
      <c r="I900" s="5" t="s">
        <v>77</v>
      </c>
      <c r="J900" s="5">
        <v>1713</v>
      </c>
      <c r="K900" s="7">
        <v>1989.8490926630138</v>
      </c>
      <c r="L900" s="5">
        <v>1</v>
      </c>
      <c r="M900" s="5">
        <v>10</v>
      </c>
      <c r="N900" s="8">
        <f t="shared" si="0"/>
        <v>1790.8641833967124</v>
      </c>
      <c r="O900" s="5">
        <f t="shared" si="1"/>
        <v>1713</v>
      </c>
      <c r="P900" s="5">
        <f t="shared" si="2"/>
        <v>77.864183396712406</v>
      </c>
      <c r="Q900" s="5" t="s">
        <v>31</v>
      </c>
      <c r="R900" s="5" t="s">
        <v>32</v>
      </c>
      <c r="S900" s="6">
        <v>45214</v>
      </c>
      <c r="T900" s="5">
        <v>5</v>
      </c>
      <c r="U900" s="5">
        <v>3</v>
      </c>
      <c r="V900" s="5" t="s">
        <v>33</v>
      </c>
      <c r="W900" s="5">
        <f t="shared" si="3"/>
        <v>0</v>
      </c>
      <c r="AB900" s="9"/>
      <c r="AC900" s="9"/>
      <c r="AD900" s="9"/>
    </row>
    <row r="901" spans="1:30" ht="15.75" customHeight="1" x14ac:dyDescent="0.25">
      <c r="A901" s="5" t="s">
        <v>1272</v>
      </c>
      <c r="B901" s="6">
        <v>45202</v>
      </c>
      <c r="C901" s="5" t="s">
        <v>161</v>
      </c>
      <c r="D901" s="5" t="s">
        <v>146</v>
      </c>
      <c r="E901" s="5" t="s">
        <v>80</v>
      </c>
      <c r="F901" s="5" t="s">
        <v>80</v>
      </c>
      <c r="G901" s="5" t="s">
        <v>87</v>
      </c>
      <c r="H901" s="5" t="s">
        <v>29</v>
      </c>
      <c r="I901" s="5" t="s">
        <v>88</v>
      </c>
      <c r="J901" s="5">
        <v>55335</v>
      </c>
      <c r="K901" s="7">
        <v>78113.339045849585</v>
      </c>
      <c r="L901" s="5">
        <v>5</v>
      </c>
      <c r="M901" s="5">
        <v>5</v>
      </c>
      <c r="N901" s="8">
        <f t="shared" si="0"/>
        <v>371038.3604677855</v>
      </c>
      <c r="O901" s="5">
        <f t="shared" si="1"/>
        <v>276675</v>
      </c>
      <c r="P901" s="5">
        <f t="shared" si="2"/>
        <v>94363.360467785504</v>
      </c>
      <c r="Q901" s="5" t="s">
        <v>46</v>
      </c>
      <c r="R901" s="5" t="s">
        <v>56</v>
      </c>
      <c r="T901" s="5">
        <v>10</v>
      </c>
      <c r="U901" s="5">
        <v>1</v>
      </c>
      <c r="W901" s="5">
        <f t="shared" si="3"/>
        <v>0</v>
      </c>
    </row>
    <row r="902" spans="1:30" ht="15.75" customHeight="1" x14ac:dyDescent="0.25">
      <c r="A902" s="5" t="s">
        <v>1273</v>
      </c>
      <c r="B902" s="6">
        <v>45202</v>
      </c>
      <c r="C902" s="5" t="s">
        <v>178</v>
      </c>
      <c r="D902" s="5" t="s">
        <v>135</v>
      </c>
      <c r="E902" s="5" t="s">
        <v>37</v>
      </c>
      <c r="F902" s="5" t="s">
        <v>38</v>
      </c>
      <c r="G902" s="5" t="s">
        <v>139</v>
      </c>
      <c r="H902" s="5" t="s">
        <v>76</v>
      </c>
      <c r="I902" s="5" t="s">
        <v>140</v>
      </c>
      <c r="J902" s="5">
        <v>34246</v>
      </c>
      <c r="K902" s="7">
        <v>44474.43112559773</v>
      </c>
      <c r="L902" s="5">
        <v>4</v>
      </c>
      <c r="M902" s="5">
        <v>10</v>
      </c>
      <c r="N902" s="8">
        <f t="shared" si="0"/>
        <v>160107.95205215184</v>
      </c>
      <c r="O902" s="5">
        <f t="shared" si="1"/>
        <v>136984</v>
      </c>
      <c r="P902" s="5">
        <f t="shared" si="2"/>
        <v>23123.952052151843</v>
      </c>
      <c r="Q902" s="5" t="s">
        <v>39</v>
      </c>
      <c r="R902" s="5" t="s">
        <v>32</v>
      </c>
      <c r="S902" s="6">
        <v>45207</v>
      </c>
      <c r="T902" s="5">
        <v>1</v>
      </c>
      <c r="U902" s="5">
        <v>4</v>
      </c>
      <c r="V902" s="5" t="s">
        <v>33</v>
      </c>
      <c r="W902" s="5">
        <f t="shared" si="3"/>
        <v>0</v>
      </c>
    </row>
    <row r="903" spans="1:30" ht="15.75" customHeight="1" x14ac:dyDescent="0.25">
      <c r="A903" s="5" t="s">
        <v>1274</v>
      </c>
      <c r="B903" s="6">
        <v>45203</v>
      </c>
      <c r="C903" s="5" t="s">
        <v>1275</v>
      </c>
      <c r="D903" s="5" t="s">
        <v>86</v>
      </c>
      <c r="E903" s="5" t="s">
        <v>26</v>
      </c>
      <c r="F903" s="5" t="s">
        <v>27</v>
      </c>
      <c r="G903" s="5" t="s">
        <v>92</v>
      </c>
      <c r="H903" s="5" t="s">
        <v>44</v>
      </c>
      <c r="I903" s="5" t="s">
        <v>45</v>
      </c>
      <c r="J903" s="5">
        <v>866</v>
      </c>
      <c r="K903" s="7">
        <v>1142.5409551585226</v>
      </c>
      <c r="L903" s="5">
        <v>3</v>
      </c>
      <c r="M903" s="5">
        <v>15</v>
      </c>
      <c r="N903" s="8">
        <f t="shared" si="0"/>
        <v>2913.4794356542325</v>
      </c>
      <c r="O903" s="5">
        <f t="shared" si="1"/>
        <v>2598</v>
      </c>
      <c r="P903" s="5">
        <f t="shared" si="2"/>
        <v>315.47943565423247</v>
      </c>
      <c r="Q903" s="5" t="s">
        <v>31</v>
      </c>
      <c r="R903" s="5" t="s">
        <v>56</v>
      </c>
      <c r="T903" s="5">
        <v>8</v>
      </c>
      <c r="U903" s="5">
        <v>3</v>
      </c>
      <c r="W903" s="5">
        <f t="shared" si="3"/>
        <v>0</v>
      </c>
    </row>
    <row r="904" spans="1:30" ht="15.75" customHeight="1" x14ac:dyDescent="0.25">
      <c r="A904" s="5" t="s">
        <v>1276</v>
      </c>
      <c r="B904" s="6">
        <v>45204</v>
      </c>
      <c r="C904" s="5" t="s">
        <v>383</v>
      </c>
      <c r="D904" s="5" t="s">
        <v>36</v>
      </c>
      <c r="E904" s="5" t="s">
        <v>54</v>
      </c>
      <c r="F904" s="5" t="s">
        <v>55</v>
      </c>
      <c r="G904" s="5" t="s">
        <v>106</v>
      </c>
      <c r="H904" s="5" t="s">
        <v>98</v>
      </c>
      <c r="I904" s="5" t="s">
        <v>107</v>
      </c>
      <c r="J904" s="5">
        <v>827</v>
      </c>
      <c r="K904" s="7">
        <v>1078.2324266946162</v>
      </c>
      <c r="L904" s="5">
        <v>1</v>
      </c>
      <c r="M904" s="5">
        <v>15</v>
      </c>
      <c r="N904" s="8">
        <f t="shared" si="0"/>
        <v>916.49756269042371</v>
      </c>
      <c r="O904" s="5">
        <f t="shared" si="1"/>
        <v>827</v>
      </c>
      <c r="P904" s="5">
        <f t="shared" si="2"/>
        <v>89.497562690423706</v>
      </c>
      <c r="Q904" s="5" t="s">
        <v>83</v>
      </c>
      <c r="R904" s="5" t="s">
        <v>32</v>
      </c>
      <c r="S904" s="6">
        <v>45216</v>
      </c>
      <c r="T904" s="5">
        <v>5</v>
      </c>
      <c r="U904" s="5">
        <v>4</v>
      </c>
      <c r="V904" s="5" t="s">
        <v>33</v>
      </c>
      <c r="W904" s="5">
        <f t="shared" si="3"/>
        <v>0</v>
      </c>
    </row>
    <row r="905" spans="1:30" ht="15.75" customHeight="1" x14ac:dyDescent="0.25">
      <c r="A905" s="5" t="s">
        <v>1277</v>
      </c>
      <c r="B905" s="6">
        <v>45204</v>
      </c>
      <c r="C905" s="5" t="s">
        <v>568</v>
      </c>
      <c r="D905" s="5" t="s">
        <v>25</v>
      </c>
      <c r="E905" s="5" t="s">
        <v>112</v>
      </c>
      <c r="F905" s="5" t="s">
        <v>113</v>
      </c>
      <c r="G905" s="5" t="s">
        <v>70</v>
      </c>
      <c r="H905" s="5" t="s">
        <v>44</v>
      </c>
      <c r="I905" s="5" t="s">
        <v>71</v>
      </c>
      <c r="J905" s="5">
        <v>1337</v>
      </c>
      <c r="K905" s="7">
        <v>1762.1092040276255</v>
      </c>
      <c r="L905" s="5">
        <v>3</v>
      </c>
      <c r="M905" s="5">
        <v>15</v>
      </c>
      <c r="N905" s="8">
        <f t="shared" si="0"/>
        <v>4493.3784702704452</v>
      </c>
      <c r="O905" s="5">
        <f t="shared" si="1"/>
        <v>4011</v>
      </c>
      <c r="P905" s="5">
        <f t="shared" si="2"/>
        <v>482.37847027044518</v>
      </c>
      <c r="Q905" s="5" t="s">
        <v>39</v>
      </c>
      <c r="R905" s="5" t="s">
        <v>32</v>
      </c>
      <c r="S905" s="6">
        <v>45214</v>
      </c>
      <c r="T905" s="5">
        <v>5</v>
      </c>
      <c r="U905" s="5">
        <v>3</v>
      </c>
      <c r="V905" s="5" t="s">
        <v>33</v>
      </c>
      <c r="W905" s="5">
        <f t="shared" si="3"/>
        <v>0</v>
      </c>
    </row>
    <row r="906" spans="1:30" ht="15.75" customHeight="1" x14ac:dyDescent="0.25">
      <c r="A906" s="5" t="s">
        <v>1278</v>
      </c>
      <c r="B906" s="6">
        <v>45204</v>
      </c>
      <c r="C906" s="5" t="s">
        <v>1279</v>
      </c>
      <c r="D906" s="5" t="s">
        <v>74</v>
      </c>
      <c r="E906" s="5" t="s">
        <v>112</v>
      </c>
      <c r="F906" s="5" t="s">
        <v>113</v>
      </c>
      <c r="G906" s="5" t="s">
        <v>92</v>
      </c>
      <c r="H906" s="5" t="s">
        <v>44</v>
      </c>
      <c r="I906" s="5" t="s">
        <v>45</v>
      </c>
      <c r="J906" s="5">
        <v>1102</v>
      </c>
      <c r="K906" s="7">
        <v>1670.2491594492333</v>
      </c>
      <c r="L906" s="5">
        <v>5</v>
      </c>
      <c r="M906" s="5">
        <v>20</v>
      </c>
      <c r="N906" s="8">
        <f t="shared" si="0"/>
        <v>6680.996637796934</v>
      </c>
      <c r="O906" s="5">
        <f t="shared" si="1"/>
        <v>5510</v>
      </c>
      <c r="P906" s="5">
        <f t="shared" si="2"/>
        <v>1170.996637796934</v>
      </c>
      <c r="Q906" s="5" t="s">
        <v>39</v>
      </c>
      <c r="R906" s="5" t="s">
        <v>32</v>
      </c>
      <c r="S906" s="6">
        <v>45216</v>
      </c>
      <c r="T906" s="5">
        <v>5</v>
      </c>
      <c r="U906" s="5">
        <v>2</v>
      </c>
      <c r="V906" s="5" t="s">
        <v>33</v>
      </c>
      <c r="W906" s="5">
        <f t="shared" si="3"/>
        <v>0</v>
      </c>
    </row>
    <row r="907" spans="1:30" ht="15.75" customHeight="1" x14ac:dyDescent="0.25">
      <c r="A907" s="5" t="s">
        <v>1280</v>
      </c>
      <c r="B907" s="6">
        <v>45204</v>
      </c>
      <c r="C907" s="5" t="s">
        <v>490</v>
      </c>
      <c r="D907" s="5" t="s">
        <v>138</v>
      </c>
      <c r="E907" s="5" t="s">
        <v>60</v>
      </c>
      <c r="F907" s="5" t="s">
        <v>61</v>
      </c>
      <c r="G907" s="5" t="s">
        <v>43</v>
      </c>
      <c r="H907" s="5" t="s">
        <v>44</v>
      </c>
      <c r="I907" s="5" t="s">
        <v>45</v>
      </c>
      <c r="J907" s="5">
        <v>346</v>
      </c>
      <c r="K907" s="7">
        <v>410.48264152162244</v>
      </c>
      <c r="L907" s="5">
        <v>1</v>
      </c>
      <c r="M907" s="5">
        <v>10</v>
      </c>
      <c r="N907" s="8">
        <f t="shared" si="0"/>
        <v>369.43437736946021</v>
      </c>
      <c r="O907" s="5">
        <f t="shared" si="1"/>
        <v>346</v>
      </c>
      <c r="P907" s="5">
        <f t="shared" si="2"/>
        <v>23.434377369460208</v>
      </c>
      <c r="Q907" s="5" t="s">
        <v>83</v>
      </c>
      <c r="R907" s="5" t="s">
        <v>32</v>
      </c>
      <c r="S907" s="6">
        <v>45213</v>
      </c>
      <c r="T907" s="5">
        <v>5</v>
      </c>
      <c r="U907" s="5">
        <v>3</v>
      </c>
      <c r="V907" s="5" t="s">
        <v>33</v>
      </c>
      <c r="W907" s="5">
        <f t="shared" si="3"/>
        <v>0</v>
      </c>
    </row>
    <row r="908" spans="1:30" ht="15.75" customHeight="1" x14ac:dyDescent="0.25">
      <c r="A908" s="5" t="s">
        <v>1281</v>
      </c>
      <c r="B908" s="6">
        <v>45204</v>
      </c>
      <c r="C908" s="5" t="s">
        <v>265</v>
      </c>
      <c r="D908" s="5" t="s">
        <v>138</v>
      </c>
      <c r="E908" s="5" t="s">
        <v>54</v>
      </c>
      <c r="F908" s="5" t="s">
        <v>55</v>
      </c>
      <c r="G908" s="5" t="s">
        <v>119</v>
      </c>
      <c r="H908" s="5" t="s">
        <v>76</v>
      </c>
      <c r="I908" s="5" t="s">
        <v>120</v>
      </c>
      <c r="J908" s="5">
        <v>30926</v>
      </c>
      <c r="K908" s="7">
        <v>51732.556096976667</v>
      </c>
      <c r="L908" s="5">
        <v>5</v>
      </c>
      <c r="M908" s="5">
        <v>20</v>
      </c>
      <c r="N908" s="8">
        <f t="shared" si="0"/>
        <v>206930.2243879067</v>
      </c>
      <c r="O908" s="5">
        <f t="shared" si="1"/>
        <v>154630</v>
      </c>
      <c r="P908" s="5">
        <f t="shared" si="2"/>
        <v>52300.224387906695</v>
      </c>
      <c r="Q908" s="5" t="s">
        <v>46</v>
      </c>
      <c r="R908" s="5" t="s">
        <v>32</v>
      </c>
      <c r="S908" s="6">
        <v>45214</v>
      </c>
      <c r="T908" s="5">
        <v>4</v>
      </c>
      <c r="U908" s="5">
        <v>4</v>
      </c>
      <c r="V908" s="5" t="s">
        <v>33</v>
      </c>
      <c r="W908" s="5">
        <f t="shared" si="3"/>
        <v>0</v>
      </c>
    </row>
    <row r="909" spans="1:30" ht="15.75" customHeight="1" x14ac:dyDescent="0.25">
      <c r="A909" s="5" t="s">
        <v>1282</v>
      </c>
      <c r="B909" s="6">
        <v>45206</v>
      </c>
      <c r="C909" s="5" t="s">
        <v>609</v>
      </c>
      <c r="D909" s="5" t="s">
        <v>36</v>
      </c>
      <c r="E909" s="5" t="s">
        <v>26</v>
      </c>
      <c r="F909" s="5" t="s">
        <v>27</v>
      </c>
      <c r="G909" s="5" t="s">
        <v>43</v>
      </c>
      <c r="H909" s="5" t="s">
        <v>44</v>
      </c>
      <c r="I909" s="5" t="s">
        <v>45</v>
      </c>
      <c r="J909" s="5">
        <v>547</v>
      </c>
      <c r="K909" s="7">
        <v>630.21353482506072</v>
      </c>
      <c r="L909" s="5">
        <v>5</v>
      </c>
      <c r="M909" s="5">
        <v>0</v>
      </c>
      <c r="N909" s="8">
        <f t="shared" si="0"/>
        <v>3151.0676741253037</v>
      </c>
      <c r="O909" s="5">
        <f t="shared" si="1"/>
        <v>2735</v>
      </c>
      <c r="P909" s="5">
        <f t="shared" si="2"/>
        <v>416.06767412530371</v>
      </c>
      <c r="Q909" s="5" t="s">
        <v>39</v>
      </c>
      <c r="R909" s="5" t="s">
        <v>56</v>
      </c>
      <c r="T909" s="5">
        <v>10</v>
      </c>
      <c r="U909" s="5">
        <v>1</v>
      </c>
      <c r="W909" s="5">
        <f t="shared" si="3"/>
        <v>0</v>
      </c>
    </row>
    <row r="910" spans="1:30" ht="15.75" customHeight="1" x14ac:dyDescent="0.25">
      <c r="A910" s="5" t="s">
        <v>1283</v>
      </c>
      <c r="B910" s="6">
        <v>45206</v>
      </c>
      <c r="C910" s="5" t="s">
        <v>443</v>
      </c>
      <c r="D910" s="5" t="s">
        <v>135</v>
      </c>
      <c r="E910" s="5" t="s">
        <v>69</v>
      </c>
      <c r="F910" s="5" t="s">
        <v>55</v>
      </c>
      <c r="G910" s="5" t="s">
        <v>87</v>
      </c>
      <c r="H910" s="5" t="s">
        <v>29</v>
      </c>
      <c r="I910" s="5" t="s">
        <v>88</v>
      </c>
      <c r="J910" s="5">
        <v>47071</v>
      </c>
      <c r="K910" s="7">
        <v>70955.564097642622</v>
      </c>
      <c r="L910" s="5">
        <v>2</v>
      </c>
      <c r="M910" s="5">
        <v>10</v>
      </c>
      <c r="N910" s="8">
        <f t="shared" si="0"/>
        <v>127720.01537575672</v>
      </c>
      <c r="O910" s="5">
        <f t="shared" si="1"/>
        <v>94142</v>
      </c>
      <c r="P910" s="5">
        <f t="shared" si="2"/>
        <v>33578.015375756717</v>
      </c>
      <c r="Q910" s="5" t="s">
        <v>31</v>
      </c>
      <c r="R910" s="5" t="s">
        <v>56</v>
      </c>
      <c r="T910" s="5">
        <v>9</v>
      </c>
      <c r="U910" s="5">
        <v>1</v>
      </c>
      <c r="W910" s="5">
        <f t="shared" si="3"/>
        <v>0</v>
      </c>
    </row>
    <row r="911" spans="1:30" ht="15.75" customHeight="1" x14ac:dyDescent="0.25">
      <c r="A911" s="5" t="s">
        <v>1284</v>
      </c>
      <c r="B911" s="6">
        <v>45207</v>
      </c>
      <c r="C911" s="5" t="s">
        <v>494</v>
      </c>
      <c r="D911" s="5" t="s">
        <v>36</v>
      </c>
      <c r="E911" s="5" t="s">
        <v>69</v>
      </c>
      <c r="F911" s="5" t="s">
        <v>55</v>
      </c>
      <c r="G911" s="5" t="s">
        <v>92</v>
      </c>
      <c r="H911" s="5" t="s">
        <v>44</v>
      </c>
      <c r="I911" s="5" t="s">
        <v>45</v>
      </c>
      <c r="J911" s="5">
        <v>1349</v>
      </c>
      <c r="K911" s="7">
        <v>1816.8088088617983</v>
      </c>
      <c r="L911" s="5">
        <v>3</v>
      </c>
      <c r="M911" s="5">
        <v>15</v>
      </c>
      <c r="N911" s="8">
        <f t="shared" si="0"/>
        <v>4632.8624625975854</v>
      </c>
      <c r="O911" s="5">
        <f t="shared" si="1"/>
        <v>4047</v>
      </c>
      <c r="P911" s="5">
        <f t="shared" si="2"/>
        <v>585.86246259758536</v>
      </c>
      <c r="Q911" s="5" t="s">
        <v>46</v>
      </c>
      <c r="R911" s="5" t="s">
        <v>56</v>
      </c>
      <c r="T911" s="5">
        <v>8</v>
      </c>
      <c r="U911" s="5">
        <v>2</v>
      </c>
      <c r="W911" s="5">
        <f t="shared" si="3"/>
        <v>0</v>
      </c>
    </row>
    <row r="912" spans="1:30" ht="15.75" customHeight="1" x14ac:dyDescent="0.25">
      <c r="A912" s="5" t="s">
        <v>1285</v>
      </c>
      <c r="B912" s="6">
        <v>45207</v>
      </c>
      <c r="C912" s="5" t="s">
        <v>186</v>
      </c>
      <c r="D912" s="5" t="s">
        <v>148</v>
      </c>
      <c r="E912" s="5" t="s">
        <v>60</v>
      </c>
      <c r="F912" s="5" t="s">
        <v>61</v>
      </c>
      <c r="G912" s="5" t="s">
        <v>124</v>
      </c>
      <c r="H912" s="5" t="s">
        <v>76</v>
      </c>
      <c r="I912" s="5" t="s">
        <v>125</v>
      </c>
      <c r="J912" s="5">
        <v>61713</v>
      </c>
      <c r="K912" s="7">
        <v>66343.81468542559</v>
      </c>
      <c r="L912" s="5">
        <v>3</v>
      </c>
      <c r="M912" s="5">
        <v>15</v>
      </c>
      <c r="N912" s="8">
        <f t="shared" si="0"/>
        <v>169176.72744783523</v>
      </c>
      <c r="O912" s="5">
        <f t="shared" si="1"/>
        <v>185139</v>
      </c>
      <c r="P912" s="5">
        <f t="shared" si="2"/>
        <v>-15962.272552164766</v>
      </c>
      <c r="Q912" s="5" t="s">
        <v>46</v>
      </c>
      <c r="R912" s="5" t="s">
        <v>56</v>
      </c>
      <c r="T912" s="5">
        <v>7</v>
      </c>
      <c r="U912" s="5">
        <v>4</v>
      </c>
      <c r="W912" s="5">
        <f t="shared" si="3"/>
        <v>0</v>
      </c>
    </row>
    <row r="913" spans="1:23" ht="15.75" customHeight="1" x14ac:dyDescent="0.25">
      <c r="A913" s="5" t="s">
        <v>1286</v>
      </c>
      <c r="B913" s="6">
        <v>45208</v>
      </c>
      <c r="C913" s="5" t="s">
        <v>838</v>
      </c>
      <c r="D913" s="5" t="s">
        <v>146</v>
      </c>
      <c r="E913" s="5" t="s">
        <v>26</v>
      </c>
      <c r="F913" s="5" t="s">
        <v>27</v>
      </c>
      <c r="G913" s="5" t="s">
        <v>139</v>
      </c>
      <c r="H913" s="5" t="s">
        <v>76</v>
      </c>
      <c r="I913" s="5" t="s">
        <v>140</v>
      </c>
      <c r="J913" s="5">
        <v>46122</v>
      </c>
      <c r="K913" s="7">
        <v>66707.651733269828</v>
      </c>
      <c r="L913" s="5">
        <v>5</v>
      </c>
      <c r="M913" s="5">
        <v>15</v>
      </c>
      <c r="N913" s="8">
        <f t="shared" si="0"/>
        <v>283507.51986639673</v>
      </c>
      <c r="O913" s="5">
        <f t="shared" si="1"/>
        <v>230610</v>
      </c>
      <c r="P913" s="5">
        <f t="shared" si="2"/>
        <v>52897.519866396731</v>
      </c>
      <c r="Q913" s="5" t="s">
        <v>46</v>
      </c>
      <c r="R913" s="5" t="s">
        <v>32</v>
      </c>
      <c r="S913" s="6">
        <v>45213</v>
      </c>
      <c r="T913" s="5">
        <v>1</v>
      </c>
      <c r="U913" s="5">
        <v>4</v>
      </c>
      <c r="V913" s="5" t="s">
        <v>33</v>
      </c>
      <c r="W913" s="5">
        <f t="shared" si="3"/>
        <v>0</v>
      </c>
    </row>
    <row r="914" spans="1:23" ht="15.75" customHeight="1" x14ac:dyDescent="0.25">
      <c r="A914" s="5" t="s">
        <v>1287</v>
      </c>
      <c r="B914" s="6">
        <v>45208</v>
      </c>
      <c r="C914" s="5" t="s">
        <v>24</v>
      </c>
      <c r="D914" s="5" t="s">
        <v>208</v>
      </c>
      <c r="E914" s="5" t="s">
        <v>60</v>
      </c>
      <c r="F914" s="5" t="s">
        <v>61</v>
      </c>
      <c r="G914" s="5" t="s">
        <v>28</v>
      </c>
      <c r="H914" s="5" t="s">
        <v>29</v>
      </c>
      <c r="I914" s="5" t="s">
        <v>30</v>
      </c>
      <c r="J914" s="5">
        <v>4577</v>
      </c>
      <c r="K914" s="7">
        <v>7482.1448926907451</v>
      </c>
      <c r="L914" s="5">
        <v>2</v>
      </c>
      <c r="M914" s="5">
        <v>0</v>
      </c>
      <c r="N914" s="8">
        <f t="shared" si="0"/>
        <v>14964.28978538149</v>
      </c>
      <c r="O914" s="5">
        <f t="shared" si="1"/>
        <v>9154</v>
      </c>
      <c r="P914" s="5">
        <f t="shared" si="2"/>
        <v>5810.2897853814902</v>
      </c>
      <c r="Q914" s="5" t="s">
        <v>39</v>
      </c>
      <c r="R914" s="5" t="s">
        <v>56</v>
      </c>
      <c r="T914" s="5">
        <v>9</v>
      </c>
      <c r="U914" s="5">
        <v>1</v>
      </c>
      <c r="W914" s="5">
        <f t="shared" si="3"/>
        <v>0</v>
      </c>
    </row>
    <row r="915" spans="1:23" ht="15.75" customHeight="1" x14ac:dyDescent="0.25">
      <c r="A915" s="5" t="s">
        <v>1288</v>
      </c>
      <c r="B915" s="6">
        <v>45208</v>
      </c>
      <c r="C915" s="5" t="s">
        <v>662</v>
      </c>
      <c r="D915" s="5" t="s">
        <v>105</v>
      </c>
      <c r="E915" s="5" t="s">
        <v>69</v>
      </c>
      <c r="F915" s="5" t="s">
        <v>55</v>
      </c>
      <c r="G915" s="5" t="s">
        <v>28</v>
      </c>
      <c r="H915" s="5" t="s">
        <v>29</v>
      </c>
      <c r="I915" s="5" t="s">
        <v>30</v>
      </c>
      <c r="J915" s="5">
        <v>5009</v>
      </c>
      <c r="K915" s="7">
        <v>5930.4729428878318</v>
      </c>
      <c r="L915" s="5">
        <v>1</v>
      </c>
      <c r="M915" s="5">
        <v>15</v>
      </c>
      <c r="N915" s="8">
        <f t="shared" si="0"/>
        <v>5040.9020014546568</v>
      </c>
      <c r="O915" s="5">
        <f t="shared" si="1"/>
        <v>5009</v>
      </c>
      <c r="P915" s="5">
        <f t="shared" si="2"/>
        <v>31.902001454656784</v>
      </c>
      <c r="Q915" s="5" t="s">
        <v>39</v>
      </c>
      <c r="R915" s="5" t="s">
        <v>32</v>
      </c>
      <c r="S915" s="6">
        <v>45216</v>
      </c>
      <c r="T915" s="5">
        <v>5</v>
      </c>
      <c r="U915" s="5">
        <v>3</v>
      </c>
      <c r="V915" s="5" t="s">
        <v>33</v>
      </c>
      <c r="W915" s="5">
        <f t="shared" si="3"/>
        <v>0</v>
      </c>
    </row>
    <row r="916" spans="1:23" ht="15.75" customHeight="1" x14ac:dyDescent="0.25">
      <c r="A916" s="5" t="s">
        <v>1289</v>
      </c>
      <c r="B916" s="6">
        <v>45209</v>
      </c>
      <c r="C916" s="5" t="s">
        <v>154</v>
      </c>
      <c r="D916" s="5" t="s">
        <v>42</v>
      </c>
      <c r="E916" s="5" t="s">
        <v>37</v>
      </c>
      <c r="F916" s="5" t="s">
        <v>38</v>
      </c>
      <c r="G916" s="5" t="s">
        <v>43</v>
      </c>
      <c r="H916" s="5" t="s">
        <v>44</v>
      </c>
      <c r="I916" s="5" t="s">
        <v>45</v>
      </c>
      <c r="J916" s="5">
        <v>436</v>
      </c>
      <c r="K916" s="7">
        <v>669.01199672619578</v>
      </c>
      <c r="L916" s="5">
        <v>2</v>
      </c>
      <c r="M916" s="5">
        <v>15</v>
      </c>
      <c r="N916" s="8">
        <f t="shared" si="0"/>
        <v>1137.3203944345328</v>
      </c>
      <c r="O916" s="5">
        <f t="shared" si="1"/>
        <v>872</v>
      </c>
      <c r="P916" s="5">
        <f t="shared" si="2"/>
        <v>265.32039443453277</v>
      </c>
      <c r="Q916" s="5" t="s">
        <v>83</v>
      </c>
      <c r="R916" s="5" t="s">
        <v>56</v>
      </c>
      <c r="T916" s="5">
        <v>8</v>
      </c>
      <c r="U916" s="5">
        <v>2</v>
      </c>
      <c r="W916" s="5">
        <f t="shared" si="3"/>
        <v>0</v>
      </c>
    </row>
    <row r="917" spans="1:23" ht="15.75" customHeight="1" x14ac:dyDescent="0.25">
      <c r="A917" s="5" t="s">
        <v>1290</v>
      </c>
      <c r="B917" s="6">
        <v>45209</v>
      </c>
      <c r="C917" s="5" t="s">
        <v>496</v>
      </c>
      <c r="D917" s="5" t="s">
        <v>74</v>
      </c>
      <c r="E917" s="5" t="s">
        <v>80</v>
      </c>
      <c r="F917" s="5" t="s">
        <v>80</v>
      </c>
      <c r="G917" s="5" t="s">
        <v>28</v>
      </c>
      <c r="H917" s="5" t="s">
        <v>29</v>
      </c>
      <c r="I917" s="5" t="s">
        <v>30</v>
      </c>
      <c r="J917" s="5">
        <v>3228</v>
      </c>
      <c r="K917" s="7">
        <v>5800.0612658078398</v>
      </c>
      <c r="L917" s="5">
        <v>2</v>
      </c>
      <c r="M917" s="5">
        <v>0</v>
      </c>
      <c r="N917" s="8">
        <f t="shared" si="0"/>
        <v>11600.12253161568</v>
      </c>
      <c r="O917" s="5">
        <f t="shared" si="1"/>
        <v>6456</v>
      </c>
      <c r="P917" s="5">
        <f t="shared" si="2"/>
        <v>5144.1225316156797</v>
      </c>
      <c r="Q917" s="5" t="s">
        <v>39</v>
      </c>
      <c r="R917" s="5" t="s">
        <v>56</v>
      </c>
      <c r="T917" s="5">
        <v>9</v>
      </c>
      <c r="U917" s="5">
        <v>1</v>
      </c>
      <c r="W917" s="5">
        <f t="shared" si="3"/>
        <v>0</v>
      </c>
    </row>
    <row r="918" spans="1:23" ht="15.75" customHeight="1" x14ac:dyDescent="0.25">
      <c r="A918" s="5" t="s">
        <v>1291</v>
      </c>
      <c r="B918" s="6">
        <v>45210</v>
      </c>
      <c r="C918" s="5" t="s">
        <v>1212</v>
      </c>
      <c r="D918" s="5" t="s">
        <v>74</v>
      </c>
      <c r="E918" s="5" t="s">
        <v>80</v>
      </c>
      <c r="F918" s="5" t="s">
        <v>80</v>
      </c>
      <c r="G918" s="5" t="s">
        <v>97</v>
      </c>
      <c r="H918" s="5" t="s">
        <v>98</v>
      </c>
      <c r="I918" s="5" t="s">
        <v>99</v>
      </c>
      <c r="J918" s="5">
        <v>527</v>
      </c>
      <c r="K918" s="7">
        <v>889.54756346634701</v>
      </c>
      <c r="L918" s="5">
        <v>3</v>
      </c>
      <c r="M918" s="5">
        <v>10</v>
      </c>
      <c r="N918" s="8">
        <f t="shared" si="0"/>
        <v>2401.7784213591367</v>
      </c>
      <c r="O918" s="5">
        <f t="shared" si="1"/>
        <v>1581</v>
      </c>
      <c r="P918" s="5">
        <f t="shared" si="2"/>
        <v>820.7784213591367</v>
      </c>
      <c r="Q918" s="5" t="s">
        <v>31</v>
      </c>
      <c r="R918" s="5" t="s">
        <v>32</v>
      </c>
      <c r="S918" s="6">
        <v>45221</v>
      </c>
      <c r="T918" s="5">
        <v>6</v>
      </c>
      <c r="U918" s="5">
        <v>2</v>
      </c>
      <c r="V918" s="5" t="s">
        <v>33</v>
      </c>
      <c r="W918" s="5">
        <f t="shared" si="3"/>
        <v>0</v>
      </c>
    </row>
    <row r="919" spans="1:23" ht="15.75" customHeight="1" x14ac:dyDescent="0.25">
      <c r="A919" s="5" t="s">
        <v>1292</v>
      </c>
      <c r="B919" s="6">
        <v>45210</v>
      </c>
      <c r="C919" s="5" t="s">
        <v>180</v>
      </c>
      <c r="D919" s="5" t="s">
        <v>138</v>
      </c>
      <c r="E919" s="5" t="s">
        <v>60</v>
      </c>
      <c r="F919" s="5" t="s">
        <v>61</v>
      </c>
      <c r="G919" s="5" t="s">
        <v>106</v>
      </c>
      <c r="H919" s="5" t="s">
        <v>98</v>
      </c>
      <c r="I919" s="5" t="s">
        <v>107</v>
      </c>
      <c r="J919" s="5">
        <v>642</v>
      </c>
      <c r="K919" s="7">
        <v>1011.7847796648326</v>
      </c>
      <c r="L919" s="5">
        <v>4</v>
      </c>
      <c r="M919" s="5">
        <v>15</v>
      </c>
      <c r="N919" s="8">
        <f t="shared" si="0"/>
        <v>3440.0682508604309</v>
      </c>
      <c r="O919" s="5">
        <f t="shared" si="1"/>
        <v>2568</v>
      </c>
      <c r="P919" s="5">
        <f t="shared" si="2"/>
        <v>872.06825086043091</v>
      </c>
      <c r="Q919" s="5" t="s">
        <v>46</v>
      </c>
      <c r="R919" s="5" t="s">
        <v>32</v>
      </c>
      <c r="S919" s="6">
        <v>45223</v>
      </c>
      <c r="T919" s="5">
        <v>8</v>
      </c>
      <c r="U919" s="5">
        <v>3</v>
      </c>
      <c r="V919" s="5" t="s">
        <v>33</v>
      </c>
      <c r="W919" s="5">
        <f t="shared" si="3"/>
        <v>0</v>
      </c>
    </row>
    <row r="920" spans="1:23" ht="15.75" customHeight="1" x14ac:dyDescent="0.25">
      <c r="A920" s="5" t="s">
        <v>1293</v>
      </c>
      <c r="B920" s="6">
        <v>45210</v>
      </c>
      <c r="C920" s="5" t="s">
        <v>485</v>
      </c>
      <c r="D920" s="5" t="s">
        <v>25</v>
      </c>
      <c r="E920" s="5" t="s">
        <v>37</v>
      </c>
      <c r="F920" s="5" t="s">
        <v>38</v>
      </c>
      <c r="G920" s="5" t="s">
        <v>81</v>
      </c>
      <c r="H920" s="5" t="s">
        <v>44</v>
      </c>
      <c r="I920" s="5" t="s">
        <v>82</v>
      </c>
      <c r="J920" s="5">
        <v>1248</v>
      </c>
      <c r="K920" s="7">
        <v>1794.8853150885318</v>
      </c>
      <c r="L920" s="5">
        <v>3</v>
      </c>
      <c r="M920" s="5">
        <v>20</v>
      </c>
      <c r="N920" s="8">
        <f t="shared" si="0"/>
        <v>4307.7247562124767</v>
      </c>
      <c r="O920" s="5">
        <f t="shared" si="1"/>
        <v>3744</v>
      </c>
      <c r="P920" s="5">
        <f t="shared" si="2"/>
        <v>563.72475621247668</v>
      </c>
      <c r="Q920" s="5" t="s">
        <v>83</v>
      </c>
      <c r="R920" s="5" t="s">
        <v>32</v>
      </c>
      <c r="S920" s="6">
        <v>45218</v>
      </c>
      <c r="T920" s="5">
        <v>2</v>
      </c>
      <c r="U920" s="5">
        <v>5</v>
      </c>
      <c r="V920" s="5" t="s">
        <v>33</v>
      </c>
      <c r="W920" s="5">
        <f t="shared" si="3"/>
        <v>0</v>
      </c>
    </row>
    <row r="921" spans="1:23" ht="15.75" customHeight="1" x14ac:dyDescent="0.25">
      <c r="A921" s="5" t="s">
        <v>1294</v>
      </c>
      <c r="B921" s="6">
        <v>45210</v>
      </c>
      <c r="C921" s="5" t="s">
        <v>1295</v>
      </c>
      <c r="D921" s="5" t="s">
        <v>36</v>
      </c>
      <c r="E921" s="5" t="s">
        <v>37</v>
      </c>
      <c r="F921" s="5" t="s">
        <v>38</v>
      </c>
      <c r="G921" s="5" t="s">
        <v>106</v>
      </c>
      <c r="H921" s="5" t="s">
        <v>98</v>
      </c>
      <c r="I921" s="5" t="s">
        <v>107</v>
      </c>
      <c r="J921" s="5">
        <v>938</v>
      </c>
      <c r="K921" s="7">
        <v>1166.2860229246494</v>
      </c>
      <c r="L921" s="5">
        <v>3</v>
      </c>
      <c r="M921" s="5">
        <v>0</v>
      </c>
      <c r="N921" s="8">
        <f t="shared" si="0"/>
        <v>3498.8580687739482</v>
      </c>
      <c r="O921" s="5">
        <f t="shared" si="1"/>
        <v>2814</v>
      </c>
      <c r="P921" s="5">
        <f t="shared" si="2"/>
        <v>684.85806877394816</v>
      </c>
      <c r="Q921" s="5" t="s">
        <v>31</v>
      </c>
      <c r="R921" s="5" t="s">
        <v>56</v>
      </c>
      <c r="T921" s="5">
        <v>7</v>
      </c>
      <c r="U921" s="5">
        <v>3</v>
      </c>
      <c r="W921" s="5">
        <f t="shared" si="3"/>
        <v>0</v>
      </c>
    </row>
    <row r="922" spans="1:23" ht="15.75" customHeight="1" x14ac:dyDescent="0.25">
      <c r="A922" s="5" t="s">
        <v>1296</v>
      </c>
      <c r="B922" s="6">
        <v>45210</v>
      </c>
      <c r="C922" s="5" t="s">
        <v>1297</v>
      </c>
      <c r="D922" s="5" t="s">
        <v>148</v>
      </c>
      <c r="E922" s="5" t="s">
        <v>54</v>
      </c>
      <c r="F922" s="5" t="s">
        <v>55</v>
      </c>
      <c r="G922" s="5" t="s">
        <v>43</v>
      </c>
      <c r="H922" s="5" t="s">
        <v>44</v>
      </c>
      <c r="I922" s="5" t="s">
        <v>45</v>
      </c>
      <c r="J922" s="5">
        <v>310</v>
      </c>
      <c r="K922" s="7">
        <v>551.63652113974592</v>
      </c>
      <c r="L922" s="5">
        <v>1</v>
      </c>
      <c r="M922" s="5">
        <v>5</v>
      </c>
      <c r="N922" s="8">
        <f t="shared" si="0"/>
        <v>524.0546950827586</v>
      </c>
      <c r="O922" s="5">
        <f t="shared" si="1"/>
        <v>310</v>
      </c>
      <c r="P922" s="5">
        <f t="shared" si="2"/>
        <v>214.0546950827586</v>
      </c>
      <c r="Q922" s="5" t="s">
        <v>31</v>
      </c>
      <c r="R922" s="5" t="s">
        <v>32</v>
      </c>
      <c r="S922" s="6">
        <v>45215</v>
      </c>
      <c r="T922" s="5">
        <v>2</v>
      </c>
      <c r="U922" s="5">
        <v>5</v>
      </c>
      <c r="V922" s="5" t="s">
        <v>33</v>
      </c>
      <c r="W922" s="5">
        <f t="shared" si="3"/>
        <v>0</v>
      </c>
    </row>
    <row r="923" spans="1:23" ht="15.75" customHeight="1" x14ac:dyDescent="0.25">
      <c r="A923" s="5" t="s">
        <v>1298</v>
      </c>
      <c r="B923" s="6">
        <v>45211</v>
      </c>
      <c r="C923" s="5" t="s">
        <v>154</v>
      </c>
      <c r="D923" s="5" t="s">
        <v>86</v>
      </c>
      <c r="E923" s="5" t="s">
        <v>49</v>
      </c>
      <c r="F923" s="5" t="s">
        <v>50</v>
      </c>
      <c r="G923" s="5" t="s">
        <v>97</v>
      </c>
      <c r="H923" s="5" t="s">
        <v>98</v>
      </c>
      <c r="I923" s="5" t="s">
        <v>99</v>
      </c>
      <c r="J923" s="5">
        <v>551</v>
      </c>
      <c r="K923" s="7">
        <v>552.90867317670097</v>
      </c>
      <c r="L923" s="5">
        <v>5</v>
      </c>
      <c r="M923" s="5">
        <v>5</v>
      </c>
      <c r="N923" s="8">
        <f t="shared" si="0"/>
        <v>2626.3161975893295</v>
      </c>
      <c r="O923" s="5">
        <f t="shared" si="1"/>
        <v>2755</v>
      </c>
      <c r="P923" s="5">
        <f t="shared" si="2"/>
        <v>-128.68380241067052</v>
      </c>
      <c r="Q923" s="5" t="s">
        <v>31</v>
      </c>
      <c r="R923" s="5" t="s">
        <v>32</v>
      </c>
      <c r="S923" s="6">
        <v>45223</v>
      </c>
      <c r="T923" s="5">
        <v>6</v>
      </c>
      <c r="U923" s="5">
        <v>4</v>
      </c>
      <c r="V923" s="5" t="s">
        <v>89</v>
      </c>
      <c r="W923" s="5">
        <f t="shared" si="3"/>
        <v>1</v>
      </c>
    </row>
    <row r="924" spans="1:23" ht="15.75" customHeight="1" x14ac:dyDescent="0.25">
      <c r="A924" s="5" t="s">
        <v>1299</v>
      </c>
      <c r="B924" s="6">
        <v>45211</v>
      </c>
      <c r="C924" s="5" t="s">
        <v>163</v>
      </c>
      <c r="D924" s="5" t="s">
        <v>86</v>
      </c>
      <c r="E924" s="5" t="s">
        <v>80</v>
      </c>
      <c r="F924" s="5" t="s">
        <v>80</v>
      </c>
      <c r="G924" s="5" t="s">
        <v>75</v>
      </c>
      <c r="H924" s="5" t="s">
        <v>76</v>
      </c>
      <c r="I924" s="5" t="s">
        <v>77</v>
      </c>
      <c r="J924" s="5">
        <v>1565</v>
      </c>
      <c r="K924" s="7">
        <v>1667.9882576875784</v>
      </c>
      <c r="L924" s="5">
        <v>3</v>
      </c>
      <c r="M924" s="5">
        <v>15</v>
      </c>
      <c r="N924" s="8">
        <f t="shared" si="0"/>
        <v>4253.3700571033241</v>
      </c>
      <c r="O924" s="5">
        <f t="shared" si="1"/>
        <v>4695</v>
      </c>
      <c r="P924" s="5">
        <f t="shared" si="2"/>
        <v>-441.62994289667586</v>
      </c>
      <c r="Q924" s="5" t="s">
        <v>46</v>
      </c>
      <c r="R924" s="5" t="s">
        <v>56</v>
      </c>
      <c r="T924" s="5">
        <v>8</v>
      </c>
      <c r="U924" s="5">
        <v>4</v>
      </c>
      <c r="W924" s="5">
        <f t="shared" si="3"/>
        <v>0</v>
      </c>
    </row>
    <row r="925" spans="1:23" ht="15.75" customHeight="1" x14ac:dyDescent="0.25">
      <c r="A925" s="5" t="s">
        <v>1300</v>
      </c>
      <c r="B925" s="6">
        <v>45211</v>
      </c>
      <c r="C925" s="5" t="s">
        <v>166</v>
      </c>
      <c r="D925" s="5" t="s">
        <v>102</v>
      </c>
      <c r="E925" s="5" t="s">
        <v>54</v>
      </c>
      <c r="F925" s="5" t="s">
        <v>55</v>
      </c>
      <c r="G925" s="5" t="s">
        <v>87</v>
      </c>
      <c r="H925" s="5" t="s">
        <v>29</v>
      </c>
      <c r="I925" s="5" t="s">
        <v>88</v>
      </c>
      <c r="J925" s="5">
        <v>45328</v>
      </c>
      <c r="K925" s="7">
        <v>70507.419772586014</v>
      </c>
      <c r="L925" s="5">
        <v>3</v>
      </c>
      <c r="M925" s="5">
        <v>5</v>
      </c>
      <c r="N925" s="8">
        <f t="shared" si="0"/>
        <v>200946.14635187012</v>
      </c>
      <c r="O925" s="5">
        <f t="shared" si="1"/>
        <v>135984</v>
      </c>
      <c r="P925" s="5">
        <f t="shared" si="2"/>
        <v>64962.14635187012</v>
      </c>
      <c r="Q925" s="5" t="s">
        <v>46</v>
      </c>
      <c r="R925" s="5" t="s">
        <v>56</v>
      </c>
      <c r="T925" s="5">
        <v>9</v>
      </c>
      <c r="U925" s="5">
        <v>1</v>
      </c>
      <c r="W925" s="5">
        <f t="shared" si="3"/>
        <v>0</v>
      </c>
    </row>
    <row r="926" spans="1:23" ht="15.75" customHeight="1" x14ac:dyDescent="0.25">
      <c r="A926" s="5" t="s">
        <v>1301</v>
      </c>
      <c r="B926" s="6">
        <v>45211</v>
      </c>
      <c r="C926" s="5" t="s">
        <v>301</v>
      </c>
      <c r="D926" s="5" t="s">
        <v>116</v>
      </c>
      <c r="E926" s="5" t="s">
        <v>69</v>
      </c>
      <c r="F926" s="5" t="s">
        <v>55</v>
      </c>
      <c r="G926" s="5" t="s">
        <v>92</v>
      </c>
      <c r="H926" s="5" t="s">
        <v>44</v>
      </c>
      <c r="I926" s="5" t="s">
        <v>45</v>
      </c>
      <c r="J926" s="5">
        <v>1431</v>
      </c>
      <c r="K926" s="7">
        <v>2267.9227796860991</v>
      </c>
      <c r="L926" s="5">
        <v>4</v>
      </c>
      <c r="M926" s="5">
        <v>10</v>
      </c>
      <c r="N926" s="8">
        <f t="shared" si="0"/>
        <v>8164.5220068699573</v>
      </c>
      <c r="O926" s="5">
        <f t="shared" si="1"/>
        <v>5724</v>
      </c>
      <c r="P926" s="5">
        <f t="shared" si="2"/>
        <v>2440.5220068699573</v>
      </c>
      <c r="Q926" s="5" t="s">
        <v>46</v>
      </c>
      <c r="R926" s="5" t="s">
        <v>56</v>
      </c>
      <c r="T926" s="5">
        <v>8</v>
      </c>
      <c r="U926" s="5">
        <v>2</v>
      </c>
      <c r="W926" s="5">
        <f t="shared" si="3"/>
        <v>0</v>
      </c>
    </row>
    <row r="927" spans="1:23" ht="15.75" customHeight="1" x14ac:dyDescent="0.25">
      <c r="A927" s="5" t="s">
        <v>1302</v>
      </c>
      <c r="B927" s="6">
        <v>45211</v>
      </c>
      <c r="C927" s="5" t="s">
        <v>306</v>
      </c>
      <c r="D927" s="5" t="s">
        <v>116</v>
      </c>
      <c r="E927" s="5" t="s">
        <v>37</v>
      </c>
      <c r="F927" s="5" t="s">
        <v>38</v>
      </c>
      <c r="G927" s="5" t="s">
        <v>81</v>
      </c>
      <c r="H927" s="5" t="s">
        <v>44</v>
      </c>
      <c r="I927" s="5" t="s">
        <v>82</v>
      </c>
      <c r="J927" s="5">
        <v>2765</v>
      </c>
      <c r="K927" s="7">
        <v>3448.4139119024512</v>
      </c>
      <c r="L927" s="5">
        <v>5</v>
      </c>
      <c r="M927" s="5">
        <v>20</v>
      </c>
      <c r="N927" s="8">
        <f t="shared" si="0"/>
        <v>13793.655647609805</v>
      </c>
      <c r="O927" s="5">
        <f t="shared" si="1"/>
        <v>13825</v>
      </c>
      <c r="P927" s="5">
        <f t="shared" si="2"/>
        <v>-31.344352390195127</v>
      </c>
      <c r="Q927" s="5" t="s">
        <v>46</v>
      </c>
      <c r="R927" s="5" t="s">
        <v>32</v>
      </c>
      <c r="S927" s="6">
        <v>45224</v>
      </c>
      <c r="T927" s="5">
        <v>6</v>
      </c>
      <c r="U927" s="5">
        <v>3</v>
      </c>
      <c r="V927" s="5" t="s">
        <v>33</v>
      </c>
      <c r="W927" s="5">
        <f t="shared" si="3"/>
        <v>0</v>
      </c>
    </row>
    <row r="928" spans="1:23" ht="15.75" customHeight="1" x14ac:dyDescent="0.25">
      <c r="A928" s="5" t="s">
        <v>1303</v>
      </c>
      <c r="B928" s="6">
        <v>45212</v>
      </c>
      <c r="C928" s="5" t="s">
        <v>828</v>
      </c>
      <c r="D928" s="5" t="s">
        <v>116</v>
      </c>
      <c r="E928" s="5" t="s">
        <v>37</v>
      </c>
      <c r="F928" s="5" t="s">
        <v>38</v>
      </c>
      <c r="G928" s="5" t="s">
        <v>70</v>
      </c>
      <c r="H928" s="5" t="s">
        <v>44</v>
      </c>
      <c r="I928" s="5" t="s">
        <v>71</v>
      </c>
      <c r="J928" s="5">
        <v>1977</v>
      </c>
      <c r="K928" s="7">
        <v>3471.0446091040189</v>
      </c>
      <c r="L928" s="5">
        <v>3</v>
      </c>
      <c r="M928" s="5">
        <v>5</v>
      </c>
      <c r="N928" s="8">
        <f t="shared" si="0"/>
        <v>9892.4771359464539</v>
      </c>
      <c r="O928" s="5">
        <f t="shared" si="1"/>
        <v>5931</v>
      </c>
      <c r="P928" s="5">
        <f t="shared" si="2"/>
        <v>3961.4771359464539</v>
      </c>
      <c r="Q928" s="5" t="s">
        <v>83</v>
      </c>
      <c r="R928" s="5" t="s">
        <v>32</v>
      </c>
      <c r="S928" s="6">
        <v>45221</v>
      </c>
      <c r="T928" s="5">
        <v>5</v>
      </c>
      <c r="U928" s="5">
        <v>3</v>
      </c>
      <c r="V928" s="5" t="s">
        <v>33</v>
      </c>
      <c r="W928" s="5">
        <f t="shared" si="3"/>
        <v>0</v>
      </c>
    </row>
    <row r="929" spans="1:23" ht="15.75" customHeight="1" x14ac:dyDescent="0.25">
      <c r="A929" s="5" t="s">
        <v>1304</v>
      </c>
      <c r="B929" s="6">
        <v>45212</v>
      </c>
      <c r="C929" s="5" t="s">
        <v>976</v>
      </c>
      <c r="D929" s="5" t="s">
        <v>116</v>
      </c>
      <c r="E929" s="5" t="s">
        <v>54</v>
      </c>
      <c r="F929" s="5" t="s">
        <v>55</v>
      </c>
      <c r="G929" s="5" t="s">
        <v>81</v>
      </c>
      <c r="H929" s="5" t="s">
        <v>44</v>
      </c>
      <c r="I929" s="5" t="s">
        <v>82</v>
      </c>
      <c r="J929" s="5">
        <v>1883</v>
      </c>
      <c r="K929" s="7">
        <v>2773.2620481078684</v>
      </c>
      <c r="L929" s="5">
        <v>1</v>
      </c>
      <c r="M929" s="5">
        <v>5</v>
      </c>
      <c r="N929" s="8">
        <f t="shared" si="0"/>
        <v>2634.5989457024748</v>
      </c>
      <c r="O929" s="5">
        <f t="shared" si="1"/>
        <v>1883</v>
      </c>
      <c r="P929" s="5">
        <f t="shared" si="2"/>
        <v>751.59894570247479</v>
      </c>
      <c r="Q929" s="5" t="s">
        <v>83</v>
      </c>
      <c r="R929" s="5" t="s">
        <v>32</v>
      </c>
      <c r="S929" s="6">
        <v>45217</v>
      </c>
      <c r="T929" s="5">
        <v>2</v>
      </c>
      <c r="U929" s="5">
        <v>5</v>
      </c>
      <c r="V929" s="5" t="s">
        <v>33</v>
      </c>
      <c r="W929" s="5">
        <f t="shared" si="3"/>
        <v>0</v>
      </c>
    </row>
    <row r="930" spans="1:23" ht="15.75" customHeight="1" x14ac:dyDescent="0.25">
      <c r="A930" s="5" t="s">
        <v>1305</v>
      </c>
      <c r="B930" s="6">
        <v>45212</v>
      </c>
      <c r="C930" s="5" t="s">
        <v>972</v>
      </c>
      <c r="D930" s="5" t="s">
        <v>105</v>
      </c>
      <c r="E930" s="5" t="s">
        <v>26</v>
      </c>
      <c r="F930" s="5" t="s">
        <v>27</v>
      </c>
      <c r="G930" s="5" t="s">
        <v>139</v>
      </c>
      <c r="H930" s="5" t="s">
        <v>76</v>
      </c>
      <c r="I930" s="5" t="s">
        <v>140</v>
      </c>
      <c r="J930" s="5">
        <v>35378</v>
      </c>
      <c r="K930" s="7">
        <v>62372.728768147586</v>
      </c>
      <c r="L930" s="5">
        <v>2</v>
      </c>
      <c r="M930" s="5">
        <v>20</v>
      </c>
      <c r="N930" s="8">
        <f t="shared" si="0"/>
        <v>99796.366029036144</v>
      </c>
      <c r="O930" s="5">
        <f t="shared" si="1"/>
        <v>70756</v>
      </c>
      <c r="P930" s="5">
        <f t="shared" si="2"/>
        <v>29040.366029036144</v>
      </c>
      <c r="Q930" s="5" t="s">
        <v>31</v>
      </c>
      <c r="R930" s="5" t="s">
        <v>32</v>
      </c>
      <c r="S930" s="6">
        <v>45220</v>
      </c>
      <c r="T930" s="5">
        <v>4</v>
      </c>
      <c r="U930" s="5">
        <v>4</v>
      </c>
      <c r="V930" s="5" t="s">
        <v>33</v>
      </c>
      <c r="W930" s="5">
        <f t="shared" si="3"/>
        <v>0</v>
      </c>
    </row>
    <row r="931" spans="1:23" ht="15.75" customHeight="1" x14ac:dyDescent="0.25">
      <c r="A931" s="5" t="s">
        <v>1306</v>
      </c>
      <c r="B931" s="6">
        <v>45212</v>
      </c>
      <c r="C931" s="5" t="s">
        <v>259</v>
      </c>
      <c r="D931" s="5" t="s">
        <v>138</v>
      </c>
      <c r="E931" s="5" t="s">
        <v>69</v>
      </c>
      <c r="F931" s="5" t="s">
        <v>55</v>
      </c>
      <c r="G931" s="5" t="s">
        <v>92</v>
      </c>
      <c r="H931" s="5" t="s">
        <v>44</v>
      </c>
      <c r="I931" s="5" t="s">
        <v>45</v>
      </c>
      <c r="J931" s="5">
        <v>989</v>
      </c>
      <c r="K931" s="7">
        <v>1325.0368058961622</v>
      </c>
      <c r="L931" s="5">
        <v>4</v>
      </c>
      <c r="M931" s="5">
        <v>0</v>
      </c>
      <c r="N931" s="8">
        <f t="shared" si="0"/>
        <v>5300.1472235846486</v>
      </c>
      <c r="O931" s="5">
        <f t="shared" si="1"/>
        <v>3956</v>
      </c>
      <c r="P931" s="5">
        <f t="shared" si="2"/>
        <v>1344.1472235846486</v>
      </c>
      <c r="Q931" s="5" t="s">
        <v>83</v>
      </c>
      <c r="R931" s="5" t="s">
        <v>32</v>
      </c>
      <c r="S931" s="6">
        <v>45217</v>
      </c>
      <c r="T931" s="5">
        <v>2</v>
      </c>
      <c r="U931" s="5">
        <v>5</v>
      </c>
      <c r="V931" s="5" t="s">
        <v>33</v>
      </c>
      <c r="W931" s="5">
        <f t="shared" si="3"/>
        <v>0</v>
      </c>
    </row>
    <row r="932" spans="1:23" ht="15.75" customHeight="1" x14ac:dyDescent="0.25">
      <c r="A932" s="5" t="s">
        <v>1307</v>
      </c>
      <c r="B932" s="6">
        <v>45213</v>
      </c>
      <c r="C932" s="5" t="s">
        <v>637</v>
      </c>
      <c r="D932" s="5" t="s">
        <v>86</v>
      </c>
      <c r="E932" s="5" t="s">
        <v>54</v>
      </c>
      <c r="F932" s="5" t="s">
        <v>55</v>
      </c>
      <c r="G932" s="5" t="s">
        <v>87</v>
      </c>
      <c r="H932" s="5" t="s">
        <v>29</v>
      </c>
      <c r="I932" s="5" t="s">
        <v>88</v>
      </c>
      <c r="J932" s="5">
        <v>29232</v>
      </c>
      <c r="K932" s="7">
        <v>41582.452550686918</v>
      </c>
      <c r="L932" s="5">
        <v>5</v>
      </c>
      <c r="M932" s="5">
        <v>5</v>
      </c>
      <c r="N932" s="8">
        <f t="shared" si="0"/>
        <v>197516.64961576284</v>
      </c>
      <c r="O932" s="5">
        <f t="shared" si="1"/>
        <v>146160</v>
      </c>
      <c r="P932" s="5">
        <f t="shared" si="2"/>
        <v>51356.649615762843</v>
      </c>
      <c r="Q932" s="5" t="s">
        <v>31</v>
      </c>
      <c r="R932" s="5" t="s">
        <v>56</v>
      </c>
      <c r="T932" s="5">
        <v>8</v>
      </c>
      <c r="U932" s="5">
        <v>2</v>
      </c>
      <c r="W932" s="5">
        <f t="shared" si="3"/>
        <v>0</v>
      </c>
    </row>
    <row r="933" spans="1:23" ht="15.75" customHeight="1" x14ac:dyDescent="0.25">
      <c r="A933" s="5" t="s">
        <v>1308</v>
      </c>
      <c r="B933" s="6">
        <v>45213</v>
      </c>
      <c r="C933" s="5" t="s">
        <v>485</v>
      </c>
      <c r="D933" s="5" t="s">
        <v>42</v>
      </c>
      <c r="E933" s="5" t="s">
        <v>49</v>
      </c>
      <c r="F933" s="5" t="s">
        <v>50</v>
      </c>
      <c r="G933" s="5" t="s">
        <v>70</v>
      </c>
      <c r="H933" s="5" t="s">
        <v>44</v>
      </c>
      <c r="I933" s="5" t="s">
        <v>71</v>
      </c>
      <c r="J933" s="5">
        <v>1204</v>
      </c>
      <c r="K933" s="7">
        <v>2091.281312798737</v>
      </c>
      <c r="L933" s="5">
        <v>4</v>
      </c>
      <c r="M933" s="5">
        <v>5</v>
      </c>
      <c r="N933" s="8">
        <f t="shared" si="0"/>
        <v>7946.8689886352004</v>
      </c>
      <c r="O933" s="5">
        <f t="shared" si="1"/>
        <v>4816</v>
      </c>
      <c r="P933" s="5">
        <f t="shared" si="2"/>
        <v>3130.8689886352004</v>
      </c>
      <c r="Q933" s="5" t="s">
        <v>46</v>
      </c>
      <c r="R933" s="5" t="s">
        <v>56</v>
      </c>
      <c r="T933" s="5">
        <v>9</v>
      </c>
      <c r="U933" s="5">
        <v>1</v>
      </c>
      <c r="W933" s="5">
        <f t="shared" si="3"/>
        <v>0</v>
      </c>
    </row>
    <row r="934" spans="1:23" ht="15.75" customHeight="1" x14ac:dyDescent="0.25">
      <c r="A934" s="5" t="s">
        <v>1309</v>
      </c>
      <c r="B934" s="6">
        <v>45213</v>
      </c>
      <c r="C934" s="5" t="s">
        <v>413</v>
      </c>
      <c r="D934" s="5" t="s">
        <v>188</v>
      </c>
      <c r="E934" s="5" t="s">
        <v>26</v>
      </c>
      <c r="F934" s="5" t="s">
        <v>27</v>
      </c>
      <c r="G934" s="5" t="s">
        <v>97</v>
      </c>
      <c r="H934" s="5" t="s">
        <v>98</v>
      </c>
      <c r="I934" s="5" t="s">
        <v>99</v>
      </c>
      <c r="J934" s="5">
        <v>583</v>
      </c>
      <c r="K934" s="7">
        <v>907.0528754764357</v>
      </c>
      <c r="L934" s="5">
        <v>4</v>
      </c>
      <c r="M934" s="5">
        <v>0</v>
      </c>
      <c r="N934" s="8">
        <f t="shared" si="0"/>
        <v>3628.2115019057428</v>
      </c>
      <c r="O934" s="5">
        <f t="shared" si="1"/>
        <v>2332</v>
      </c>
      <c r="P934" s="5">
        <f t="shared" si="2"/>
        <v>1296.2115019057428</v>
      </c>
      <c r="Q934" s="5" t="s">
        <v>31</v>
      </c>
      <c r="R934" s="5" t="s">
        <v>32</v>
      </c>
      <c r="S934" s="6">
        <v>45223</v>
      </c>
      <c r="T934" s="5">
        <v>6</v>
      </c>
      <c r="U934" s="5">
        <v>2</v>
      </c>
      <c r="V934" s="5" t="s">
        <v>33</v>
      </c>
      <c r="W934" s="5">
        <f t="shared" si="3"/>
        <v>0</v>
      </c>
    </row>
    <row r="935" spans="1:23" ht="15.75" customHeight="1" x14ac:dyDescent="0.25">
      <c r="A935" s="5" t="s">
        <v>1310</v>
      </c>
      <c r="B935" s="6">
        <v>45215</v>
      </c>
      <c r="C935" s="5" t="s">
        <v>282</v>
      </c>
      <c r="D935" s="5" t="s">
        <v>150</v>
      </c>
      <c r="E935" s="5" t="s">
        <v>69</v>
      </c>
      <c r="F935" s="5" t="s">
        <v>55</v>
      </c>
      <c r="G935" s="5" t="s">
        <v>92</v>
      </c>
      <c r="H935" s="5" t="s">
        <v>44</v>
      </c>
      <c r="I935" s="5" t="s">
        <v>45</v>
      </c>
      <c r="J935" s="5">
        <v>1088</v>
      </c>
      <c r="K935" s="7">
        <v>1127.9924909495207</v>
      </c>
      <c r="L935" s="5">
        <v>3</v>
      </c>
      <c r="M935" s="5">
        <v>5</v>
      </c>
      <c r="N935" s="8">
        <f t="shared" si="0"/>
        <v>3214.778599206134</v>
      </c>
      <c r="O935" s="5">
        <f t="shared" si="1"/>
        <v>3264</v>
      </c>
      <c r="P935" s="5">
        <f t="shared" si="2"/>
        <v>-49.221400793865996</v>
      </c>
      <c r="Q935" s="5" t="s">
        <v>39</v>
      </c>
      <c r="R935" s="5" t="s">
        <v>56</v>
      </c>
      <c r="T935" s="5">
        <v>9</v>
      </c>
      <c r="U935" s="5">
        <v>1</v>
      </c>
      <c r="W935" s="5">
        <f t="shared" si="3"/>
        <v>0</v>
      </c>
    </row>
    <row r="936" spans="1:23" ht="15.75" customHeight="1" x14ac:dyDescent="0.25">
      <c r="A936" s="5" t="s">
        <v>1311</v>
      </c>
      <c r="B936" s="6">
        <v>45215</v>
      </c>
      <c r="C936" s="5" t="s">
        <v>363</v>
      </c>
      <c r="D936" s="5" t="s">
        <v>116</v>
      </c>
      <c r="E936" s="5" t="s">
        <v>60</v>
      </c>
      <c r="F936" s="5" t="s">
        <v>61</v>
      </c>
      <c r="G936" s="5" t="s">
        <v>92</v>
      </c>
      <c r="H936" s="5" t="s">
        <v>44</v>
      </c>
      <c r="I936" s="5" t="s">
        <v>45</v>
      </c>
      <c r="J936" s="5">
        <v>1227</v>
      </c>
      <c r="K936" s="7">
        <v>1249.299550430454</v>
      </c>
      <c r="L936" s="5">
        <v>3</v>
      </c>
      <c r="M936" s="5">
        <v>15</v>
      </c>
      <c r="N936" s="8">
        <f t="shared" si="0"/>
        <v>3185.7138535976578</v>
      </c>
      <c r="O936" s="5">
        <f t="shared" si="1"/>
        <v>3681</v>
      </c>
      <c r="P936" s="5">
        <f t="shared" si="2"/>
        <v>-495.28614640234218</v>
      </c>
      <c r="Q936" s="5" t="s">
        <v>83</v>
      </c>
      <c r="R936" s="5" t="s">
        <v>32</v>
      </c>
      <c r="S936" s="6">
        <v>45226</v>
      </c>
      <c r="T936" s="5">
        <v>6</v>
      </c>
      <c r="U936" s="5">
        <v>4</v>
      </c>
      <c r="V936" s="5" t="s">
        <v>89</v>
      </c>
      <c r="W936" s="5">
        <f t="shared" si="3"/>
        <v>1</v>
      </c>
    </row>
    <row r="937" spans="1:23" ht="15.75" customHeight="1" x14ac:dyDescent="0.25">
      <c r="A937" s="5" t="s">
        <v>1312</v>
      </c>
      <c r="B937" s="6">
        <v>45215</v>
      </c>
      <c r="C937" s="5" t="s">
        <v>539</v>
      </c>
      <c r="D937" s="5" t="s">
        <v>53</v>
      </c>
      <c r="E937" s="5" t="s">
        <v>26</v>
      </c>
      <c r="F937" s="5" t="s">
        <v>27</v>
      </c>
      <c r="G937" s="5" t="s">
        <v>70</v>
      </c>
      <c r="H937" s="5" t="s">
        <v>44</v>
      </c>
      <c r="I937" s="5" t="s">
        <v>71</v>
      </c>
      <c r="J937" s="5">
        <v>1364</v>
      </c>
      <c r="K937" s="7">
        <v>2134.0712674192027</v>
      </c>
      <c r="L937" s="5">
        <v>2</v>
      </c>
      <c r="M937" s="5">
        <v>20</v>
      </c>
      <c r="N937" s="8">
        <f t="shared" si="0"/>
        <v>3414.5140278707245</v>
      </c>
      <c r="O937" s="5">
        <f t="shared" si="1"/>
        <v>2728</v>
      </c>
      <c r="P937" s="5">
        <f t="shared" si="2"/>
        <v>686.51402787072448</v>
      </c>
      <c r="Q937" s="5" t="s">
        <v>31</v>
      </c>
      <c r="R937" s="5" t="s">
        <v>32</v>
      </c>
      <c r="S937" s="6">
        <v>45222</v>
      </c>
      <c r="T937" s="5">
        <v>2</v>
      </c>
      <c r="U937" s="5">
        <v>4</v>
      </c>
      <c r="V937" s="5" t="s">
        <v>33</v>
      </c>
      <c r="W937" s="5">
        <f t="shared" si="3"/>
        <v>0</v>
      </c>
    </row>
    <row r="938" spans="1:23" ht="15.75" customHeight="1" x14ac:dyDescent="0.25">
      <c r="A938" s="5" t="s">
        <v>1313</v>
      </c>
      <c r="B938" s="6">
        <v>45215</v>
      </c>
      <c r="C938" s="5" t="s">
        <v>1314</v>
      </c>
      <c r="D938" s="5" t="s">
        <v>148</v>
      </c>
      <c r="E938" s="5" t="s">
        <v>112</v>
      </c>
      <c r="F938" s="5" t="s">
        <v>113</v>
      </c>
      <c r="G938" s="5" t="s">
        <v>43</v>
      </c>
      <c r="H938" s="5" t="s">
        <v>44</v>
      </c>
      <c r="I938" s="5" t="s">
        <v>45</v>
      </c>
      <c r="J938" s="5">
        <v>334</v>
      </c>
      <c r="K938" s="7">
        <v>387.80563904816643</v>
      </c>
      <c r="L938" s="5">
        <v>3</v>
      </c>
      <c r="M938" s="5">
        <v>5</v>
      </c>
      <c r="N938" s="8">
        <f t="shared" si="0"/>
        <v>1105.2460712872742</v>
      </c>
      <c r="O938" s="5">
        <f t="shared" si="1"/>
        <v>1002</v>
      </c>
      <c r="P938" s="5">
        <f t="shared" si="2"/>
        <v>103.24607128727416</v>
      </c>
      <c r="Q938" s="5" t="s">
        <v>46</v>
      </c>
      <c r="R938" s="5" t="s">
        <v>32</v>
      </c>
      <c r="S938" s="6">
        <v>45224</v>
      </c>
      <c r="T938" s="5">
        <v>4</v>
      </c>
      <c r="U938" s="5">
        <v>2</v>
      </c>
      <c r="V938" s="5" t="s">
        <v>33</v>
      </c>
      <c r="W938" s="5">
        <f t="shared" si="3"/>
        <v>0</v>
      </c>
    </row>
    <row r="939" spans="1:23" ht="15.75" customHeight="1" x14ac:dyDescent="0.25">
      <c r="A939" s="5" t="s">
        <v>1315</v>
      </c>
      <c r="B939" s="6">
        <v>45216</v>
      </c>
      <c r="C939" s="5" t="s">
        <v>789</v>
      </c>
      <c r="D939" s="5" t="s">
        <v>53</v>
      </c>
      <c r="E939" s="5" t="s">
        <v>80</v>
      </c>
      <c r="F939" s="5" t="s">
        <v>80</v>
      </c>
      <c r="G939" s="5" t="s">
        <v>28</v>
      </c>
      <c r="H939" s="5" t="s">
        <v>29</v>
      </c>
      <c r="I939" s="5" t="s">
        <v>30</v>
      </c>
      <c r="J939" s="5">
        <v>4823</v>
      </c>
      <c r="K939" s="7">
        <v>7221.2778227911067</v>
      </c>
      <c r="L939" s="5">
        <v>5</v>
      </c>
      <c r="M939" s="5">
        <v>10</v>
      </c>
      <c r="N939" s="8">
        <f t="shared" si="0"/>
        <v>32495.750202559982</v>
      </c>
      <c r="O939" s="5">
        <f t="shared" si="1"/>
        <v>24115</v>
      </c>
      <c r="P939" s="5">
        <f t="shared" si="2"/>
        <v>8380.7502025599824</v>
      </c>
      <c r="Q939" s="5" t="s">
        <v>31</v>
      </c>
      <c r="R939" s="5" t="s">
        <v>32</v>
      </c>
      <c r="S939" s="6">
        <v>45231</v>
      </c>
      <c r="T939" s="5">
        <v>8</v>
      </c>
      <c r="U939" s="5">
        <v>2</v>
      </c>
      <c r="V939" s="5" t="s">
        <v>33</v>
      </c>
      <c r="W939" s="5">
        <f t="shared" si="3"/>
        <v>0</v>
      </c>
    </row>
    <row r="940" spans="1:23" ht="15.75" customHeight="1" x14ac:dyDescent="0.25">
      <c r="A940" s="5" t="s">
        <v>1316</v>
      </c>
      <c r="B940" s="6">
        <v>45216</v>
      </c>
      <c r="C940" s="5" t="s">
        <v>288</v>
      </c>
      <c r="D940" s="5" t="s">
        <v>86</v>
      </c>
      <c r="E940" s="5" t="s">
        <v>54</v>
      </c>
      <c r="F940" s="5" t="s">
        <v>55</v>
      </c>
      <c r="G940" s="5" t="s">
        <v>87</v>
      </c>
      <c r="H940" s="5" t="s">
        <v>29</v>
      </c>
      <c r="I940" s="5" t="s">
        <v>88</v>
      </c>
      <c r="J940" s="5">
        <v>31846</v>
      </c>
      <c r="K940" s="7">
        <v>39459.841189235769</v>
      </c>
      <c r="L940" s="5">
        <v>1</v>
      </c>
      <c r="M940" s="5">
        <v>10</v>
      </c>
      <c r="N940" s="8">
        <f t="shared" si="0"/>
        <v>35513.857070312195</v>
      </c>
      <c r="O940" s="5">
        <f t="shared" si="1"/>
        <v>31846</v>
      </c>
      <c r="P940" s="5">
        <f t="shared" si="2"/>
        <v>3667.857070312195</v>
      </c>
      <c r="Q940" s="5" t="s">
        <v>31</v>
      </c>
      <c r="R940" s="5" t="s">
        <v>32</v>
      </c>
      <c r="S940" s="6">
        <v>45227</v>
      </c>
      <c r="T940" s="5">
        <v>5</v>
      </c>
      <c r="U940" s="5">
        <v>2</v>
      </c>
      <c r="V940" s="5" t="s">
        <v>33</v>
      </c>
      <c r="W940" s="5">
        <f t="shared" si="3"/>
        <v>0</v>
      </c>
    </row>
    <row r="941" spans="1:23" ht="15.75" customHeight="1" x14ac:dyDescent="0.25">
      <c r="A941" s="5" t="s">
        <v>1317</v>
      </c>
      <c r="B941" s="6">
        <v>45217</v>
      </c>
      <c r="C941" s="5" t="s">
        <v>186</v>
      </c>
      <c r="D941" s="5" t="s">
        <v>135</v>
      </c>
      <c r="E941" s="5" t="s">
        <v>60</v>
      </c>
      <c r="F941" s="5" t="s">
        <v>61</v>
      </c>
      <c r="G941" s="5" t="s">
        <v>43</v>
      </c>
      <c r="H941" s="5" t="s">
        <v>44</v>
      </c>
      <c r="I941" s="5" t="s">
        <v>45</v>
      </c>
      <c r="J941" s="5">
        <v>437</v>
      </c>
      <c r="K941" s="7">
        <v>458.51121940720731</v>
      </c>
      <c r="L941" s="5">
        <v>4</v>
      </c>
      <c r="M941" s="5">
        <v>15</v>
      </c>
      <c r="N941" s="8">
        <f t="shared" si="0"/>
        <v>1558.9381459845049</v>
      </c>
      <c r="O941" s="5">
        <f t="shared" si="1"/>
        <v>1748</v>
      </c>
      <c r="P941" s="5">
        <f t="shared" si="2"/>
        <v>-189.0618540154951</v>
      </c>
      <c r="Q941" s="5" t="s">
        <v>39</v>
      </c>
      <c r="R941" s="5" t="s">
        <v>32</v>
      </c>
      <c r="S941" s="6">
        <v>45223</v>
      </c>
      <c r="T941" s="5">
        <v>3</v>
      </c>
      <c r="U941" s="5">
        <v>4</v>
      </c>
      <c r="V941" s="5" t="s">
        <v>33</v>
      </c>
      <c r="W941" s="5">
        <f t="shared" si="3"/>
        <v>0</v>
      </c>
    </row>
    <row r="942" spans="1:23" ht="15.75" customHeight="1" x14ac:dyDescent="0.25">
      <c r="A942" s="5" t="s">
        <v>1318</v>
      </c>
      <c r="B942" s="6">
        <v>45217</v>
      </c>
      <c r="C942" s="5" t="s">
        <v>425</v>
      </c>
      <c r="D942" s="5" t="s">
        <v>42</v>
      </c>
      <c r="E942" s="5" t="s">
        <v>26</v>
      </c>
      <c r="F942" s="5" t="s">
        <v>27</v>
      </c>
      <c r="G942" s="5" t="s">
        <v>106</v>
      </c>
      <c r="H942" s="5" t="s">
        <v>98</v>
      </c>
      <c r="I942" s="5" t="s">
        <v>107</v>
      </c>
      <c r="J942" s="5">
        <v>541</v>
      </c>
      <c r="K942" s="7">
        <v>699.89042100082725</v>
      </c>
      <c r="L942" s="5">
        <v>1</v>
      </c>
      <c r="M942" s="5">
        <v>5</v>
      </c>
      <c r="N942" s="8">
        <f t="shared" si="0"/>
        <v>664.89589995078586</v>
      </c>
      <c r="O942" s="5">
        <f t="shared" si="1"/>
        <v>541</v>
      </c>
      <c r="P942" s="5">
        <f t="shared" si="2"/>
        <v>123.89589995078586</v>
      </c>
      <c r="Q942" s="5" t="s">
        <v>46</v>
      </c>
      <c r="R942" s="5" t="s">
        <v>56</v>
      </c>
      <c r="T942" s="5">
        <v>9</v>
      </c>
      <c r="U942" s="5">
        <v>1</v>
      </c>
      <c r="W942" s="5">
        <f t="shared" si="3"/>
        <v>0</v>
      </c>
    </row>
    <row r="943" spans="1:23" ht="15.75" customHeight="1" x14ac:dyDescent="0.25">
      <c r="A943" s="5" t="s">
        <v>1319</v>
      </c>
      <c r="B943" s="6">
        <v>45218</v>
      </c>
      <c r="C943" s="5" t="s">
        <v>366</v>
      </c>
      <c r="D943" s="5" t="s">
        <v>102</v>
      </c>
      <c r="E943" s="5" t="s">
        <v>26</v>
      </c>
      <c r="F943" s="5" t="s">
        <v>27</v>
      </c>
      <c r="G943" s="5" t="s">
        <v>124</v>
      </c>
      <c r="H943" s="5" t="s">
        <v>76</v>
      </c>
      <c r="I943" s="5" t="s">
        <v>125</v>
      </c>
      <c r="J943" s="5">
        <v>89097</v>
      </c>
      <c r="K943" s="7">
        <v>99485.771370305054</v>
      </c>
      <c r="L943" s="5">
        <v>5</v>
      </c>
      <c r="M943" s="5">
        <v>0</v>
      </c>
      <c r="N943" s="8">
        <f t="shared" si="0"/>
        <v>497428.85685152526</v>
      </c>
      <c r="O943" s="5">
        <f t="shared" si="1"/>
        <v>445485</v>
      </c>
      <c r="P943" s="5">
        <f t="shared" si="2"/>
        <v>51943.856851525255</v>
      </c>
      <c r="Q943" s="5" t="s">
        <v>83</v>
      </c>
      <c r="R943" s="5" t="s">
        <v>56</v>
      </c>
      <c r="T943" s="5">
        <v>10</v>
      </c>
      <c r="U943" s="5">
        <v>1</v>
      </c>
      <c r="W943" s="5">
        <f t="shared" si="3"/>
        <v>0</v>
      </c>
    </row>
    <row r="944" spans="1:23" ht="15.75" customHeight="1" x14ac:dyDescent="0.25">
      <c r="A944" s="5" t="s">
        <v>1320</v>
      </c>
      <c r="B944" s="6">
        <v>45218</v>
      </c>
      <c r="C944" s="5" t="s">
        <v>976</v>
      </c>
      <c r="D944" s="5" t="s">
        <v>135</v>
      </c>
      <c r="E944" s="5" t="s">
        <v>26</v>
      </c>
      <c r="F944" s="5" t="s">
        <v>27</v>
      </c>
      <c r="G944" s="5" t="s">
        <v>124</v>
      </c>
      <c r="H944" s="5" t="s">
        <v>76</v>
      </c>
      <c r="I944" s="5" t="s">
        <v>125</v>
      </c>
      <c r="J944" s="5">
        <v>82117</v>
      </c>
      <c r="K944" s="7">
        <v>124122.71632452335</v>
      </c>
      <c r="L944" s="5">
        <v>2</v>
      </c>
      <c r="M944" s="5">
        <v>5</v>
      </c>
      <c r="N944" s="8">
        <f t="shared" si="0"/>
        <v>235833.16101659436</v>
      </c>
      <c r="O944" s="5">
        <f t="shared" si="1"/>
        <v>164234</v>
      </c>
      <c r="P944" s="5">
        <f t="shared" si="2"/>
        <v>71599.161016594357</v>
      </c>
      <c r="Q944" s="5" t="s">
        <v>46</v>
      </c>
      <c r="R944" s="5" t="s">
        <v>32</v>
      </c>
      <c r="S944" s="6">
        <v>45226</v>
      </c>
      <c r="T944" s="5">
        <v>4</v>
      </c>
      <c r="U944" s="5">
        <v>2</v>
      </c>
      <c r="V944" s="5" t="s">
        <v>33</v>
      </c>
      <c r="W944" s="5">
        <f t="shared" si="3"/>
        <v>0</v>
      </c>
    </row>
    <row r="945" spans="1:23" ht="15.75" customHeight="1" x14ac:dyDescent="0.25">
      <c r="A945" s="5" t="s">
        <v>1321</v>
      </c>
      <c r="B945" s="6">
        <v>45218</v>
      </c>
      <c r="C945" s="5" t="s">
        <v>210</v>
      </c>
      <c r="D945" s="5" t="s">
        <v>64</v>
      </c>
      <c r="E945" s="5" t="s">
        <v>80</v>
      </c>
      <c r="F945" s="5" t="s">
        <v>80</v>
      </c>
      <c r="G945" s="5" t="s">
        <v>75</v>
      </c>
      <c r="H945" s="5" t="s">
        <v>76</v>
      </c>
      <c r="I945" s="5" t="s">
        <v>77</v>
      </c>
      <c r="J945" s="5">
        <v>1897</v>
      </c>
      <c r="K945" s="7">
        <v>2359.8812766025321</v>
      </c>
      <c r="L945" s="5">
        <v>1</v>
      </c>
      <c r="M945" s="5">
        <v>15</v>
      </c>
      <c r="N945" s="8">
        <f t="shared" si="0"/>
        <v>2005.8990851121523</v>
      </c>
      <c r="O945" s="5">
        <f t="shared" si="1"/>
        <v>1897</v>
      </c>
      <c r="P945" s="5">
        <f t="shared" si="2"/>
        <v>108.89908511215231</v>
      </c>
      <c r="Q945" s="5" t="s">
        <v>83</v>
      </c>
      <c r="R945" s="5" t="s">
        <v>56</v>
      </c>
      <c r="T945" s="5">
        <v>10</v>
      </c>
      <c r="U945" s="5">
        <v>1</v>
      </c>
      <c r="W945" s="5">
        <f t="shared" si="3"/>
        <v>0</v>
      </c>
    </row>
    <row r="946" spans="1:23" ht="15.75" customHeight="1" x14ac:dyDescent="0.25">
      <c r="A946" s="5" t="s">
        <v>1322</v>
      </c>
      <c r="B946" s="6">
        <v>45218</v>
      </c>
      <c r="C946" s="5" t="s">
        <v>759</v>
      </c>
      <c r="D946" s="5" t="s">
        <v>148</v>
      </c>
      <c r="E946" s="5" t="s">
        <v>37</v>
      </c>
      <c r="F946" s="5" t="s">
        <v>38</v>
      </c>
      <c r="G946" s="5" t="s">
        <v>97</v>
      </c>
      <c r="H946" s="5" t="s">
        <v>98</v>
      </c>
      <c r="I946" s="5" t="s">
        <v>99</v>
      </c>
      <c r="J946" s="5">
        <v>520</v>
      </c>
      <c r="K946" s="7">
        <v>724.37254706261172</v>
      </c>
      <c r="L946" s="5">
        <v>2</v>
      </c>
      <c r="M946" s="5">
        <v>20</v>
      </c>
      <c r="N946" s="8">
        <f t="shared" si="0"/>
        <v>1158.9960753001787</v>
      </c>
      <c r="O946" s="5">
        <f t="shared" si="1"/>
        <v>1040</v>
      </c>
      <c r="P946" s="5">
        <f t="shared" si="2"/>
        <v>118.99607530017875</v>
      </c>
      <c r="Q946" s="5" t="s">
        <v>39</v>
      </c>
      <c r="R946" s="5" t="s">
        <v>56</v>
      </c>
      <c r="T946" s="5">
        <v>10</v>
      </c>
      <c r="U946" s="5">
        <v>1</v>
      </c>
      <c r="W946" s="5">
        <f t="shared" si="3"/>
        <v>0</v>
      </c>
    </row>
    <row r="947" spans="1:23" ht="15.75" customHeight="1" x14ac:dyDescent="0.25">
      <c r="A947" s="5" t="s">
        <v>1323</v>
      </c>
      <c r="B947" s="6">
        <v>45218</v>
      </c>
      <c r="C947" s="5" t="s">
        <v>355</v>
      </c>
      <c r="D947" s="5" t="s">
        <v>146</v>
      </c>
      <c r="E947" s="5" t="s">
        <v>37</v>
      </c>
      <c r="F947" s="5" t="s">
        <v>38</v>
      </c>
      <c r="G947" s="5" t="s">
        <v>124</v>
      </c>
      <c r="H947" s="5" t="s">
        <v>76</v>
      </c>
      <c r="I947" s="5" t="s">
        <v>125</v>
      </c>
      <c r="J947" s="5">
        <v>85548</v>
      </c>
      <c r="K947" s="7">
        <v>147812.47414967234</v>
      </c>
      <c r="L947" s="5">
        <v>2</v>
      </c>
      <c r="M947" s="5">
        <v>0</v>
      </c>
      <c r="N947" s="8">
        <f t="shared" si="0"/>
        <v>295624.94829934469</v>
      </c>
      <c r="O947" s="5">
        <f t="shared" si="1"/>
        <v>171096</v>
      </c>
      <c r="P947" s="5">
        <f t="shared" si="2"/>
        <v>124528.94829934469</v>
      </c>
      <c r="Q947" s="5" t="s">
        <v>83</v>
      </c>
      <c r="R947" s="5" t="s">
        <v>32</v>
      </c>
      <c r="S947" s="6">
        <v>45231</v>
      </c>
      <c r="T947" s="5">
        <v>6</v>
      </c>
      <c r="U947" s="5">
        <v>4</v>
      </c>
      <c r="V947" s="5" t="s">
        <v>89</v>
      </c>
      <c r="W947" s="5">
        <f t="shared" si="3"/>
        <v>1</v>
      </c>
    </row>
    <row r="948" spans="1:23" ht="15.75" customHeight="1" x14ac:dyDescent="0.25">
      <c r="A948" s="5" t="s">
        <v>1324</v>
      </c>
      <c r="B948" s="6">
        <v>45218</v>
      </c>
      <c r="C948" s="5" t="s">
        <v>596</v>
      </c>
      <c r="D948" s="5" t="s">
        <v>74</v>
      </c>
      <c r="E948" s="5" t="s">
        <v>26</v>
      </c>
      <c r="F948" s="5" t="s">
        <v>27</v>
      </c>
      <c r="G948" s="5" t="s">
        <v>119</v>
      </c>
      <c r="H948" s="5" t="s">
        <v>76</v>
      </c>
      <c r="I948" s="5" t="s">
        <v>120</v>
      </c>
      <c r="J948" s="5">
        <v>54145</v>
      </c>
      <c r="K948" s="7">
        <v>67489.712695509006</v>
      </c>
      <c r="L948" s="5">
        <v>5</v>
      </c>
      <c r="M948" s="5">
        <v>15</v>
      </c>
      <c r="N948" s="8">
        <f t="shared" si="0"/>
        <v>286831.27895591327</v>
      </c>
      <c r="O948" s="5">
        <f t="shared" si="1"/>
        <v>270725</v>
      </c>
      <c r="P948" s="5">
        <f t="shared" si="2"/>
        <v>16106.278955913265</v>
      </c>
      <c r="Q948" s="5" t="s">
        <v>39</v>
      </c>
      <c r="R948" s="5" t="s">
        <v>56</v>
      </c>
      <c r="T948" s="5">
        <v>7</v>
      </c>
      <c r="U948" s="5">
        <v>3</v>
      </c>
      <c r="W948" s="5">
        <f t="shared" si="3"/>
        <v>0</v>
      </c>
    </row>
    <row r="949" spans="1:23" ht="15.75" customHeight="1" x14ac:dyDescent="0.25">
      <c r="A949" s="5" t="s">
        <v>1325</v>
      </c>
      <c r="B949" s="6">
        <v>45219</v>
      </c>
      <c r="C949" s="5" t="s">
        <v>404</v>
      </c>
      <c r="D949" s="5" t="s">
        <v>150</v>
      </c>
      <c r="E949" s="5" t="s">
        <v>80</v>
      </c>
      <c r="F949" s="5" t="s">
        <v>80</v>
      </c>
      <c r="G949" s="5" t="s">
        <v>139</v>
      </c>
      <c r="H949" s="5" t="s">
        <v>76</v>
      </c>
      <c r="I949" s="5" t="s">
        <v>140</v>
      </c>
      <c r="J949" s="5">
        <v>36245</v>
      </c>
      <c r="K949" s="7">
        <v>56699.000366316133</v>
      </c>
      <c r="L949" s="5">
        <v>2</v>
      </c>
      <c r="M949" s="5">
        <v>10</v>
      </c>
      <c r="N949" s="8">
        <f t="shared" si="0"/>
        <v>102058.20065936905</v>
      </c>
      <c r="O949" s="5">
        <f t="shared" si="1"/>
        <v>72490</v>
      </c>
      <c r="P949" s="5">
        <f t="shared" si="2"/>
        <v>29568.200659369046</v>
      </c>
      <c r="Q949" s="5" t="s">
        <v>83</v>
      </c>
      <c r="R949" s="5" t="s">
        <v>56</v>
      </c>
      <c r="T949" s="5">
        <v>8</v>
      </c>
      <c r="U949" s="5">
        <v>3</v>
      </c>
      <c r="W949" s="5">
        <f t="shared" si="3"/>
        <v>0</v>
      </c>
    </row>
    <row r="950" spans="1:23" ht="15.75" customHeight="1" x14ac:dyDescent="0.25">
      <c r="A950" s="5" t="s">
        <v>1326</v>
      </c>
      <c r="B950" s="6">
        <v>45219</v>
      </c>
      <c r="C950" s="5" t="s">
        <v>890</v>
      </c>
      <c r="D950" s="5" t="s">
        <v>59</v>
      </c>
      <c r="E950" s="5" t="s">
        <v>54</v>
      </c>
      <c r="F950" s="5" t="s">
        <v>55</v>
      </c>
      <c r="G950" s="5" t="s">
        <v>43</v>
      </c>
      <c r="H950" s="5" t="s">
        <v>44</v>
      </c>
      <c r="I950" s="5" t="s">
        <v>45</v>
      </c>
      <c r="J950" s="5">
        <v>277</v>
      </c>
      <c r="K950" s="7">
        <v>278.38092503593384</v>
      </c>
      <c r="L950" s="5">
        <v>5</v>
      </c>
      <c r="M950" s="5">
        <v>15</v>
      </c>
      <c r="N950" s="8">
        <f t="shared" si="0"/>
        <v>1183.1189314027188</v>
      </c>
      <c r="O950" s="5">
        <f t="shared" si="1"/>
        <v>1385</v>
      </c>
      <c r="P950" s="5">
        <f t="shared" si="2"/>
        <v>-201.88106859728123</v>
      </c>
      <c r="Q950" s="5" t="s">
        <v>46</v>
      </c>
      <c r="R950" s="5" t="s">
        <v>32</v>
      </c>
      <c r="S950" s="6">
        <v>45223</v>
      </c>
      <c r="T950" s="5">
        <v>1</v>
      </c>
      <c r="U950" s="5">
        <v>5</v>
      </c>
      <c r="V950" s="5" t="s">
        <v>33</v>
      </c>
      <c r="W950" s="5">
        <f t="shared" si="3"/>
        <v>0</v>
      </c>
    </row>
    <row r="951" spans="1:23" ht="15.75" customHeight="1" x14ac:dyDescent="0.25">
      <c r="A951" s="5" t="s">
        <v>1327</v>
      </c>
      <c r="B951" s="6">
        <v>45219</v>
      </c>
      <c r="C951" s="5" t="s">
        <v>359</v>
      </c>
      <c r="D951" s="5" t="s">
        <v>105</v>
      </c>
      <c r="E951" s="5" t="s">
        <v>26</v>
      </c>
      <c r="F951" s="5" t="s">
        <v>27</v>
      </c>
      <c r="G951" s="5" t="s">
        <v>106</v>
      </c>
      <c r="H951" s="5" t="s">
        <v>98</v>
      </c>
      <c r="I951" s="5" t="s">
        <v>107</v>
      </c>
      <c r="J951" s="5">
        <v>604</v>
      </c>
      <c r="K951" s="7">
        <v>900.24874262165599</v>
      </c>
      <c r="L951" s="5">
        <v>1</v>
      </c>
      <c r="M951" s="5">
        <v>5</v>
      </c>
      <c r="N951" s="8">
        <f t="shared" si="0"/>
        <v>855.23630549057316</v>
      </c>
      <c r="O951" s="5">
        <f t="shared" si="1"/>
        <v>604</v>
      </c>
      <c r="P951" s="5">
        <f t="shared" si="2"/>
        <v>251.23630549057316</v>
      </c>
      <c r="Q951" s="5" t="s">
        <v>46</v>
      </c>
      <c r="R951" s="5" t="s">
        <v>56</v>
      </c>
      <c r="T951" s="5">
        <v>8</v>
      </c>
      <c r="U951" s="5">
        <v>4</v>
      </c>
      <c r="W951" s="5">
        <f t="shared" si="3"/>
        <v>0</v>
      </c>
    </row>
    <row r="952" spans="1:23" ht="15.75" customHeight="1" x14ac:dyDescent="0.25">
      <c r="A952" s="5" t="s">
        <v>1328</v>
      </c>
      <c r="B952" s="6">
        <v>45219</v>
      </c>
      <c r="C952" s="5" t="s">
        <v>1012</v>
      </c>
      <c r="D952" s="5" t="s">
        <v>64</v>
      </c>
      <c r="E952" s="5" t="s">
        <v>49</v>
      </c>
      <c r="F952" s="5" t="s">
        <v>50</v>
      </c>
      <c r="G952" s="5" t="s">
        <v>97</v>
      </c>
      <c r="H952" s="5" t="s">
        <v>98</v>
      </c>
      <c r="I952" s="5" t="s">
        <v>99</v>
      </c>
      <c r="J952" s="5">
        <v>357</v>
      </c>
      <c r="K952" s="7">
        <v>619.53025955040334</v>
      </c>
      <c r="L952" s="5">
        <v>5</v>
      </c>
      <c r="M952" s="5">
        <v>0</v>
      </c>
      <c r="N952" s="8">
        <f t="shared" si="0"/>
        <v>3097.6512977520169</v>
      </c>
      <c r="O952" s="5">
        <f t="shared" si="1"/>
        <v>1785</v>
      </c>
      <c r="P952" s="5">
        <f t="shared" si="2"/>
        <v>1312.6512977520169</v>
      </c>
      <c r="Q952" s="5" t="s">
        <v>31</v>
      </c>
      <c r="R952" s="5" t="s">
        <v>56</v>
      </c>
      <c r="T952" s="5">
        <v>7</v>
      </c>
      <c r="U952" s="5">
        <v>2</v>
      </c>
      <c r="W952" s="5">
        <f t="shared" si="3"/>
        <v>0</v>
      </c>
    </row>
    <row r="953" spans="1:23" ht="15.75" customHeight="1" x14ac:dyDescent="0.25">
      <c r="A953" s="5" t="s">
        <v>1329</v>
      </c>
      <c r="B953" s="6">
        <v>45219</v>
      </c>
      <c r="C953" s="5" t="s">
        <v>48</v>
      </c>
      <c r="D953" s="5" t="s">
        <v>64</v>
      </c>
      <c r="E953" s="5" t="s">
        <v>69</v>
      </c>
      <c r="F953" s="5" t="s">
        <v>55</v>
      </c>
      <c r="G953" s="5" t="s">
        <v>139</v>
      </c>
      <c r="H953" s="5" t="s">
        <v>76</v>
      </c>
      <c r="I953" s="5" t="s">
        <v>140</v>
      </c>
      <c r="J953" s="5">
        <v>46993</v>
      </c>
      <c r="K953" s="7">
        <v>68791.613885360552</v>
      </c>
      <c r="L953" s="5">
        <v>5</v>
      </c>
      <c r="M953" s="5">
        <v>15</v>
      </c>
      <c r="N953" s="8">
        <f t="shared" si="0"/>
        <v>292364.35901278234</v>
      </c>
      <c r="O953" s="5">
        <f t="shared" si="1"/>
        <v>234965</v>
      </c>
      <c r="P953" s="5">
        <f t="shared" si="2"/>
        <v>57399.359012782341</v>
      </c>
      <c r="Q953" s="5" t="s">
        <v>83</v>
      </c>
      <c r="R953" s="5" t="s">
        <v>32</v>
      </c>
      <c r="S953" s="6">
        <v>45228</v>
      </c>
      <c r="T953" s="5">
        <v>6</v>
      </c>
      <c r="U953" s="5">
        <v>3</v>
      </c>
      <c r="V953" s="5" t="s">
        <v>33</v>
      </c>
      <c r="W953" s="5">
        <f t="shared" si="3"/>
        <v>0</v>
      </c>
    </row>
    <row r="954" spans="1:23" ht="15.75" customHeight="1" x14ac:dyDescent="0.25">
      <c r="A954" s="5" t="s">
        <v>1330</v>
      </c>
      <c r="B954" s="6">
        <v>45220</v>
      </c>
      <c r="C954" s="5" t="s">
        <v>555</v>
      </c>
      <c r="D954" s="5" t="s">
        <v>74</v>
      </c>
      <c r="E954" s="5" t="s">
        <v>26</v>
      </c>
      <c r="F954" s="5" t="s">
        <v>27</v>
      </c>
      <c r="G954" s="5" t="s">
        <v>119</v>
      </c>
      <c r="H954" s="5" t="s">
        <v>76</v>
      </c>
      <c r="I954" s="5" t="s">
        <v>120</v>
      </c>
      <c r="J954" s="5">
        <v>64042</v>
      </c>
      <c r="K954" s="7">
        <v>74374.417432902614</v>
      </c>
      <c r="L954" s="5">
        <v>2</v>
      </c>
      <c r="M954" s="5">
        <v>15</v>
      </c>
      <c r="N954" s="8">
        <f t="shared" si="0"/>
        <v>126436.50963593445</v>
      </c>
      <c r="O954" s="5">
        <f t="shared" si="1"/>
        <v>128084</v>
      </c>
      <c r="P954" s="5">
        <f t="shared" si="2"/>
        <v>-1647.4903640655539</v>
      </c>
      <c r="Q954" s="5" t="s">
        <v>39</v>
      </c>
      <c r="R954" s="5" t="s">
        <v>32</v>
      </c>
      <c r="S954" s="6">
        <v>45227</v>
      </c>
      <c r="T954" s="5">
        <v>3</v>
      </c>
      <c r="U954" s="5">
        <v>4</v>
      </c>
      <c r="V954" s="5" t="s">
        <v>33</v>
      </c>
      <c r="W954" s="5">
        <f t="shared" si="3"/>
        <v>0</v>
      </c>
    </row>
    <row r="955" spans="1:23" ht="15.75" customHeight="1" x14ac:dyDescent="0.25">
      <c r="A955" s="5" t="s">
        <v>1331</v>
      </c>
      <c r="B955" s="6">
        <v>45220</v>
      </c>
      <c r="C955" s="5" t="s">
        <v>402</v>
      </c>
      <c r="D955" s="5" t="s">
        <v>184</v>
      </c>
      <c r="E955" s="5" t="s">
        <v>60</v>
      </c>
      <c r="F955" s="5" t="s">
        <v>61</v>
      </c>
      <c r="G955" s="5" t="s">
        <v>139</v>
      </c>
      <c r="H955" s="5" t="s">
        <v>76</v>
      </c>
      <c r="I955" s="5" t="s">
        <v>140</v>
      </c>
      <c r="J955" s="5">
        <v>43980</v>
      </c>
      <c r="K955" s="7">
        <v>57635.95453173745</v>
      </c>
      <c r="L955" s="5">
        <v>4</v>
      </c>
      <c r="M955" s="5">
        <v>10</v>
      </c>
      <c r="N955" s="8">
        <f t="shared" si="0"/>
        <v>207489.43631425482</v>
      </c>
      <c r="O955" s="5">
        <f t="shared" si="1"/>
        <v>175920</v>
      </c>
      <c r="P955" s="5">
        <f t="shared" si="2"/>
        <v>31569.436314254825</v>
      </c>
      <c r="Q955" s="5" t="s">
        <v>31</v>
      </c>
      <c r="R955" s="5" t="s">
        <v>56</v>
      </c>
      <c r="T955" s="5">
        <v>8</v>
      </c>
      <c r="U955" s="5">
        <v>2</v>
      </c>
      <c r="W955" s="5">
        <f t="shared" si="3"/>
        <v>0</v>
      </c>
    </row>
    <row r="956" spans="1:23" ht="15.75" customHeight="1" x14ac:dyDescent="0.25">
      <c r="A956" s="5" t="s">
        <v>1332</v>
      </c>
      <c r="B956" s="6">
        <v>45220</v>
      </c>
      <c r="C956" s="5" t="s">
        <v>1144</v>
      </c>
      <c r="D956" s="5" t="s">
        <v>181</v>
      </c>
      <c r="E956" s="5" t="s">
        <v>54</v>
      </c>
      <c r="F956" s="5" t="s">
        <v>55</v>
      </c>
      <c r="G956" s="5" t="s">
        <v>124</v>
      </c>
      <c r="H956" s="5" t="s">
        <v>76</v>
      </c>
      <c r="I956" s="5" t="s">
        <v>125</v>
      </c>
      <c r="J956" s="5">
        <v>59131</v>
      </c>
      <c r="K956" s="7">
        <v>86742.75831913609</v>
      </c>
      <c r="L956" s="5">
        <v>1</v>
      </c>
      <c r="M956" s="5">
        <v>20</v>
      </c>
      <c r="N956" s="8">
        <f t="shared" si="0"/>
        <v>69394.206655308881</v>
      </c>
      <c r="O956" s="5">
        <f t="shared" si="1"/>
        <v>59131</v>
      </c>
      <c r="P956" s="5">
        <f t="shared" si="2"/>
        <v>10263.206655308881</v>
      </c>
      <c r="Q956" s="5" t="s">
        <v>83</v>
      </c>
      <c r="R956" s="5" t="s">
        <v>32</v>
      </c>
      <c r="S956" s="6">
        <v>45230</v>
      </c>
      <c r="T956" s="5">
        <v>6</v>
      </c>
      <c r="U956" s="5">
        <v>4</v>
      </c>
      <c r="V956" s="5" t="s">
        <v>89</v>
      </c>
      <c r="W956" s="5">
        <f t="shared" si="3"/>
        <v>1</v>
      </c>
    </row>
    <row r="957" spans="1:23" ht="15.75" customHeight="1" x14ac:dyDescent="0.25">
      <c r="A957" s="5" t="s">
        <v>1333</v>
      </c>
      <c r="B957" s="6">
        <v>45221</v>
      </c>
      <c r="C957" s="5" t="s">
        <v>1062</v>
      </c>
      <c r="D957" s="5" t="s">
        <v>53</v>
      </c>
      <c r="E957" s="5" t="s">
        <v>80</v>
      </c>
      <c r="F957" s="5" t="s">
        <v>80</v>
      </c>
      <c r="G957" s="5" t="s">
        <v>28</v>
      </c>
      <c r="H957" s="5" t="s">
        <v>29</v>
      </c>
      <c r="I957" s="5" t="s">
        <v>30</v>
      </c>
      <c r="J957" s="5">
        <v>3316</v>
      </c>
      <c r="K957" s="7">
        <v>5554.1799695723976</v>
      </c>
      <c r="L957" s="5">
        <v>4</v>
      </c>
      <c r="M957" s="5">
        <v>5</v>
      </c>
      <c r="N957" s="8">
        <f t="shared" si="0"/>
        <v>21105.883884375111</v>
      </c>
      <c r="O957" s="5">
        <f t="shared" si="1"/>
        <v>13264</v>
      </c>
      <c r="P957" s="5">
        <f t="shared" si="2"/>
        <v>7841.8838843751109</v>
      </c>
      <c r="Q957" s="5" t="s">
        <v>46</v>
      </c>
      <c r="R957" s="5" t="s">
        <v>32</v>
      </c>
      <c r="S957" s="6">
        <v>45229</v>
      </c>
      <c r="T957" s="5">
        <v>5</v>
      </c>
      <c r="U957" s="5">
        <v>4</v>
      </c>
      <c r="V957" s="5" t="s">
        <v>33</v>
      </c>
      <c r="W957" s="5">
        <f t="shared" si="3"/>
        <v>0</v>
      </c>
    </row>
    <row r="958" spans="1:23" ht="15.75" customHeight="1" x14ac:dyDescent="0.25">
      <c r="A958" s="5" t="s">
        <v>1334</v>
      </c>
      <c r="B958" s="6">
        <v>45221</v>
      </c>
      <c r="C958" s="5" t="s">
        <v>227</v>
      </c>
      <c r="D958" s="5" t="s">
        <v>150</v>
      </c>
      <c r="E958" s="5" t="s">
        <v>60</v>
      </c>
      <c r="F958" s="5" t="s">
        <v>61</v>
      </c>
      <c r="G958" s="5" t="s">
        <v>70</v>
      </c>
      <c r="H958" s="5" t="s">
        <v>44</v>
      </c>
      <c r="I958" s="5" t="s">
        <v>71</v>
      </c>
      <c r="J958" s="5">
        <v>625</v>
      </c>
      <c r="K958" s="7">
        <v>1061.5520179809964</v>
      </c>
      <c r="L958" s="5">
        <v>2</v>
      </c>
      <c r="M958" s="5">
        <v>5</v>
      </c>
      <c r="N958" s="8">
        <f t="shared" si="0"/>
        <v>2016.948834163893</v>
      </c>
      <c r="O958" s="5">
        <f t="shared" si="1"/>
        <v>1250</v>
      </c>
      <c r="P958" s="5">
        <f t="shared" si="2"/>
        <v>766.94883416389303</v>
      </c>
      <c r="Q958" s="5" t="s">
        <v>46</v>
      </c>
      <c r="R958" s="5" t="s">
        <v>32</v>
      </c>
      <c r="S958" s="6">
        <v>45231</v>
      </c>
      <c r="T958" s="5">
        <v>4</v>
      </c>
      <c r="U958" s="5">
        <v>2</v>
      </c>
      <c r="V958" s="5" t="s">
        <v>33</v>
      </c>
      <c r="W958" s="5">
        <f t="shared" si="3"/>
        <v>0</v>
      </c>
    </row>
    <row r="959" spans="1:23" ht="15.75" customHeight="1" x14ac:dyDescent="0.25">
      <c r="A959" s="5" t="s">
        <v>1335</v>
      </c>
      <c r="B959" s="6">
        <v>45222</v>
      </c>
      <c r="C959" s="5" t="s">
        <v>145</v>
      </c>
      <c r="D959" s="5" t="s">
        <v>74</v>
      </c>
      <c r="E959" s="5" t="s">
        <v>80</v>
      </c>
      <c r="F959" s="5" t="s">
        <v>80</v>
      </c>
      <c r="G959" s="5" t="s">
        <v>106</v>
      </c>
      <c r="H959" s="5" t="s">
        <v>98</v>
      </c>
      <c r="I959" s="5" t="s">
        <v>107</v>
      </c>
      <c r="J959" s="5">
        <v>665</v>
      </c>
      <c r="K959" s="7">
        <v>788.81802277240865</v>
      </c>
      <c r="L959" s="5">
        <v>2</v>
      </c>
      <c r="M959" s="5">
        <v>15</v>
      </c>
      <c r="N959" s="8">
        <f t="shared" si="0"/>
        <v>1340.9906387130948</v>
      </c>
      <c r="O959" s="5">
        <f t="shared" si="1"/>
        <v>1330</v>
      </c>
      <c r="P959" s="5">
        <f t="shared" si="2"/>
        <v>10.990638713094768</v>
      </c>
      <c r="Q959" s="5" t="s">
        <v>31</v>
      </c>
      <c r="R959" s="5" t="s">
        <v>32</v>
      </c>
      <c r="S959" s="6">
        <v>45230</v>
      </c>
      <c r="T959" s="5">
        <v>3</v>
      </c>
      <c r="U959" s="5">
        <v>3</v>
      </c>
      <c r="V959" s="5" t="s">
        <v>33</v>
      </c>
      <c r="W959" s="5">
        <f t="shared" si="3"/>
        <v>0</v>
      </c>
    </row>
    <row r="960" spans="1:23" ht="15.75" customHeight="1" x14ac:dyDescent="0.25">
      <c r="A960" s="5" t="s">
        <v>1336</v>
      </c>
      <c r="B960" s="6">
        <v>45222</v>
      </c>
      <c r="C960" s="5" t="s">
        <v>681</v>
      </c>
      <c r="D960" s="5" t="s">
        <v>148</v>
      </c>
      <c r="E960" s="5" t="s">
        <v>80</v>
      </c>
      <c r="F960" s="5" t="s">
        <v>80</v>
      </c>
      <c r="G960" s="5" t="s">
        <v>75</v>
      </c>
      <c r="H960" s="5" t="s">
        <v>76</v>
      </c>
      <c r="I960" s="5" t="s">
        <v>77</v>
      </c>
      <c r="J960" s="5">
        <v>1253</v>
      </c>
      <c r="K960" s="7">
        <v>2099.5254145223475</v>
      </c>
      <c r="L960" s="5">
        <v>5</v>
      </c>
      <c r="M960" s="5">
        <v>20</v>
      </c>
      <c r="N960" s="8">
        <f t="shared" si="0"/>
        <v>8398.1016580893902</v>
      </c>
      <c r="O960" s="5">
        <f t="shared" si="1"/>
        <v>6265</v>
      </c>
      <c r="P960" s="5">
        <f t="shared" si="2"/>
        <v>2133.1016580893902</v>
      </c>
      <c r="Q960" s="5" t="s">
        <v>83</v>
      </c>
      <c r="R960" s="5" t="s">
        <v>56</v>
      </c>
      <c r="T960" s="5">
        <v>9</v>
      </c>
      <c r="U960" s="5">
        <v>1</v>
      </c>
      <c r="W960" s="5">
        <f t="shared" si="3"/>
        <v>0</v>
      </c>
    </row>
    <row r="961" spans="1:23" ht="15.75" customHeight="1" x14ac:dyDescent="0.25">
      <c r="A961" s="5" t="s">
        <v>1337</v>
      </c>
      <c r="B961" s="6">
        <v>45222</v>
      </c>
      <c r="C961" s="5" t="s">
        <v>385</v>
      </c>
      <c r="D961" s="5" t="s">
        <v>36</v>
      </c>
      <c r="E961" s="5" t="s">
        <v>54</v>
      </c>
      <c r="F961" s="5" t="s">
        <v>55</v>
      </c>
      <c r="G961" s="5" t="s">
        <v>28</v>
      </c>
      <c r="H961" s="5" t="s">
        <v>29</v>
      </c>
      <c r="I961" s="5" t="s">
        <v>30</v>
      </c>
      <c r="J961" s="5">
        <v>5762</v>
      </c>
      <c r="K961" s="7">
        <v>9610.2169335736726</v>
      </c>
      <c r="L961" s="5">
        <v>2</v>
      </c>
      <c r="M961" s="5">
        <v>5</v>
      </c>
      <c r="N961" s="8">
        <f t="shared" si="0"/>
        <v>18259.412173789977</v>
      </c>
      <c r="O961" s="5">
        <f t="shared" si="1"/>
        <v>11524</v>
      </c>
      <c r="P961" s="5">
        <f t="shared" si="2"/>
        <v>6735.4121737899768</v>
      </c>
      <c r="Q961" s="5" t="s">
        <v>83</v>
      </c>
      <c r="R961" s="5" t="s">
        <v>56</v>
      </c>
      <c r="T961" s="5">
        <v>9</v>
      </c>
      <c r="U961" s="5">
        <v>1</v>
      </c>
      <c r="W961" s="5">
        <f t="shared" si="3"/>
        <v>0</v>
      </c>
    </row>
    <row r="962" spans="1:23" ht="15.75" customHeight="1" x14ac:dyDescent="0.25">
      <c r="A962" s="5" t="s">
        <v>1338</v>
      </c>
      <c r="B962" s="6">
        <v>45223</v>
      </c>
      <c r="C962" s="5" t="s">
        <v>1131</v>
      </c>
      <c r="D962" s="5" t="s">
        <v>74</v>
      </c>
      <c r="E962" s="5" t="s">
        <v>37</v>
      </c>
      <c r="F962" s="5" t="s">
        <v>38</v>
      </c>
      <c r="G962" s="5" t="s">
        <v>81</v>
      </c>
      <c r="H962" s="5" t="s">
        <v>44</v>
      </c>
      <c r="I962" s="5" t="s">
        <v>82</v>
      </c>
      <c r="J962" s="5">
        <v>2827</v>
      </c>
      <c r="K962" s="7">
        <v>3399.4392513884814</v>
      </c>
      <c r="L962" s="5">
        <v>5</v>
      </c>
      <c r="M962" s="5">
        <v>5</v>
      </c>
      <c r="N962" s="8">
        <f t="shared" si="0"/>
        <v>16147.336444095286</v>
      </c>
      <c r="O962" s="5">
        <f t="shared" si="1"/>
        <v>14135</v>
      </c>
      <c r="P962" s="5">
        <f t="shared" si="2"/>
        <v>2012.3364440952864</v>
      </c>
      <c r="Q962" s="5" t="s">
        <v>39</v>
      </c>
      <c r="R962" s="5" t="s">
        <v>32</v>
      </c>
      <c r="S962" s="6">
        <v>45235</v>
      </c>
      <c r="T962" s="5">
        <v>5</v>
      </c>
      <c r="U962" s="5">
        <v>3</v>
      </c>
      <c r="V962" s="5" t="s">
        <v>33</v>
      </c>
      <c r="W962" s="5">
        <f t="shared" si="3"/>
        <v>0</v>
      </c>
    </row>
    <row r="963" spans="1:23" ht="15.75" customHeight="1" x14ac:dyDescent="0.25">
      <c r="A963" s="5" t="s">
        <v>1339</v>
      </c>
      <c r="B963" s="6">
        <v>45223</v>
      </c>
      <c r="C963" s="5" t="s">
        <v>1259</v>
      </c>
      <c r="D963" s="5" t="s">
        <v>135</v>
      </c>
      <c r="E963" s="5" t="s">
        <v>37</v>
      </c>
      <c r="F963" s="5" t="s">
        <v>38</v>
      </c>
      <c r="G963" s="5" t="s">
        <v>81</v>
      </c>
      <c r="H963" s="5" t="s">
        <v>44</v>
      </c>
      <c r="I963" s="5" t="s">
        <v>82</v>
      </c>
      <c r="J963" s="5">
        <v>1971</v>
      </c>
      <c r="K963" s="7">
        <v>2070.5662886661094</v>
      </c>
      <c r="L963" s="5">
        <v>5</v>
      </c>
      <c r="M963" s="5">
        <v>5</v>
      </c>
      <c r="N963" s="8">
        <f t="shared" si="0"/>
        <v>9835.1898711640188</v>
      </c>
      <c r="O963" s="5">
        <f t="shared" si="1"/>
        <v>9855</v>
      </c>
      <c r="P963" s="5">
        <f t="shared" si="2"/>
        <v>-19.810128835981232</v>
      </c>
      <c r="Q963" s="5" t="s">
        <v>83</v>
      </c>
      <c r="R963" s="5" t="s">
        <v>32</v>
      </c>
      <c r="S963" s="6">
        <v>45232</v>
      </c>
      <c r="T963" s="5">
        <v>6</v>
      </c>
      <c r="U963" s="5">
        <v>2</v>
      </c>
      <c r="V963" s="5" t="s">
        <v>33</v>
      </c>
      <c r="W963" s="5">
        <f t="shared" si="3"/>
        <v>0</v>
      </c>
    </row>
    <row r="964" spans="1:23" ht="15.75" customHeight="1" x14ac:dyDescent="0.25">
      <c r="A964" s="5" t="s">
        <v>1340</v>
      </c>
      <c r="B964" s="6">
        <v>45224</v>
      </c>
      <c r="C964" s="5" t="s">
        <v>445</v>
      </c>
      <c r="D964" s="5" t="s">
        <v>105</v>
      </c>
      <c r="E964" s="5" t="s">
        <v>112</v>
      </c>
      <c r="F964" s="5" t="s">
        <v>113</v>
      </c>
      <c r="G964" s="5" t="s">
        <v>124</v>
      </c>
      <c r="H964" s="5" t="s">
        <v>76</v>
      </c>
      <c r="I964" s="5" t="s">
        <v>125</v>
      </c>
      <c r="J964" s="5">
        <v>83881</v>
      </c>
      <c r="K964" s="7">
        <v>116622.64177692164</v>
      </c>
      <c r="L964" s="5">
        <v>2</v>
      </c>
      <c r="M964" s="5">
        <v>5</v>
      </c>
      <c r="N964" s="8">
        <f t="shared" si="0"/>
        <v>221583.01937615109</v>
      </c>
      <c r="O964" s="5">
        <f t="shared" si="1"/>
        <v>167762</v>
      </c>
      <c r="P964" s="5">
        <f t="shared" si="2"/>
        <v>53821.019376151089</v>
      </c>
      <c r="Q964" s="5" t="s">
        <v>83</v>
      </c>
      <c r="R964" s="5" t="s">
        <v>56</v>
      </c>
      <c r="T964" s="5">
        <v>10</v>
      </c>
      <c r="U964" s="5">
        <v>1</v>
      </c>
      <c r="W964" s="5">
        <f t="shared" si="3"/>
        <v>0</v>
      </c>
    </row>
    <row r="965" spans="1:23" ht="15.75" customHeight="1" x14ac:dyDescent="0.25">
      <c r="A965" s="5" t="s">
        <v>1341</v>
      </c>
      <c r="B965" s="6">
        <v>45225</v>
      </c>
      <c r="C965" s="5" t="s">
        <v>687</v>
      </c>
      <c r="D965" s="5" t="s">
        <v>148</v>
      </c>
      <c r="E965" s="5" t="s">
        <v>49</v>
      </c>
      <c r="F965" s="5" t="s">
        <v>50</v>
      </c>
      <c r="G965" s="5" t="s">
        <v>97</v>
      </c>
      <c r="H965" s="5" t="s">
        <v>98</v>
      </c>
      <c r="I965" s="5" t="s">
        <v>99</v>
      </c>
      <c r="J965" s="5">
        <v>350</v>
      </c>
      <c r="K965" s="7">
        <v>410.11024234079099</v>
      </c>
      <c r="L965" s="5">
        <v>4</v>
      </c>
      <c r="M965" s="5">
        <v>0</v>
      </c>
      <c r="N965" s="8">
        <f t="shared" si="0"/>
        <v>1640.440969363164</v>
      </c>
      <c r="O965" s="5">
        <f t="shared" si="1"/>
        <v>1400</v>
      </c>
      <c r="P965" s="5">
        <f t="shared" si="2"/>
        <v>240.44096936316396</v>
      </c>
      <c r="Q965" s="5" t="s">
        <v>31</v>
      </c>
      <c r="R965" s="5" t="s">
        <v>32</v>
      </c>
      <c r="S965" s="6">
        <v>45236</v>
      </c>
      <c r="T965" s="5">
        <v>6</v>
      </c>
      <c r="U965" s="5">
        <v>2</v>
      </c>
      <c r="V965" s="5" t="s">
        <v>33</v>
      </c>
      <c r="W965" s="5">
        <f t="shared" si="3"/>
        <v>0</v>
      </c>
    </row>
    <row r="966" spans="1:23" ht="15.75" customHeight="1" x14ac:dyDescent="0.25">
      <c r="A966" s="5" t="s">
        <v>1342</v>
      </c>
      <c r="B966" s="6">
        <v>45225</v>
      </c>
      <c r="C966" s="5" t="s">
        <v>334</v>
      </c>
      <c r="D966" s="5" t="s">
        <v>135</v>
      </c>
      <c r="E966" s="5" t="s">
        <v>112</v>
      </c>
      <c r="F966" s="5" t="s">
        <v>113</v>
      </c>
      <c r="G966" s="5" t="s">
        <v>81</v>
      </c>
      <c r="H966" s="5" t="s">
        <v>44</v>
      </c>
      <c r="I966" s="5" t="s">
        <v>82</v>
      </c>
      <c r="J966" s="5">
        <v>1243</v>
      </c>
      <c r="K966" s="7">
        <v>1785.7235968506266</v>
      </c>
      <c r="L966" s="5">
        <v>3</v>
      </c>
      <c r="M966" s="5">
        <v>20</v>
      </c>
      <c r="N966" s="8">
        <f t="shared" si="0"/>
        <v>4285.7366324415043</v>
      </c>
      <c r="O966" s="5">
        <f t="shared" si="1"/>
        <v>3729</v>
      </c>
      <c r="P966" s="5">
        <f t="shared" si="2"/>
        <v>556.7366324415043</v>
      </c>
      <c r="Q966" s="5" t="s">
        <v>31</v>
      </c>
      <c r="R966" s="5" t="s">
        <v>32</v>
      </c>
      <c r="S966" s="6">
        <v>45237</v>
      </c>
      <c r="T966" s="5">
        <v>5</v>
      </c>
      <c r="U966" s="5">
        <v>3</v>
      </c>
      <c r="V966" s="5" t="s">
        <v>33</v>
      </c>
      <c r="W966" s="5">
        <f t="shared" si="3"/>
        <v>0</v>
      </c>
    </row>
    <row r="967" spans="1:23" ht="15.75" customHeight="1" x14ac:dyDescent="0.25">
      <c r="A967" s="5" t="s">
        <v>1343</v>
      </c>
      <c r="B967" s="6">
        <v>45225</v>
      </c>
      <c r="C967" s="5" t="s">
        <v>1344</v>
      </c>
      <c r="D967" s="5" t="s">
        <v>86</v>
      </c>
      <c r="E967" s="5" t="s">
        <v>54</v>
      </c>
      <c r="F967" s="5" t="s">
        <v>55</v>
      </c>
      <c r="G967" s="5" t="s">
        <v>124</v>
      </c>
      <c r="H967" s="5" t="s">
        <v>76</v>
      </c>
      <c r="I967" s="5" t="s">
        <v>125</v>
      </c>
      <c r="J967" s="5">
        <v>63012</v>
      </c>
      <c r="K967" s="7">
        <v>68133.673351134043</v>
      </c>
      <c r="L967" s="5">
        <v>3</v>
      </c>
      <c r="M967" s="5">
        <v>20</v>
      </c>
      <c r="N967" s="8">
        <f t="shared" si="0"/>
        <v>163520.81604272171</v>
      </c>
      <c r="O967" s="5">
        <f t="shared" si="1"/>
        <v>189036</v>
      </c>
      <c r="P967" s="5">
        <f t="shared" si="2"/>
        <v>-25515.183957278292</v>
      </c>
      <c r="Q967" s="5" t="s">
        <v>31</v>
      </c>
      <c r="R967" s="5" t="s">
        <v>32</v>
      </c>
      <c r="S967" s="6">
        <v>45230</v>
      </c>
      <c r="T967" s="5">
        <v>1</v>
      </c>
      <c r="U967" s="5">
        <v>4</v>
      </c>
      <c r="V967" s="5" t="s">
        <v>33</v>
      </c>
      <c r="W967" s="5">
        <f t="shared" si="3"/>
        <v>0</v>
      </c>
    </row>
    <row r="968" spans="1:23" ht="15.75" customHeight="1" x14ac:dyDescent="0.25">
      <c r="A968" s="5" t="s">
        <v>1345</v>
      </c>
      <c r="B968" s="6">
        <v>45225</v>
      </c>
      <c r="C968" s="5" t="s">
        <v>195</v>
      </c>
      <c r="D968" s="5" t="s">
        <v>135</v>
      </c>
      <c r="E968" s="5" t="s">
        <v>26</v>
      </c>
      <c r="F968" s="5" t="s">
        <v>27</v>
      </c>
      <c r="G968" s="5" t="s">
        <v>92</v>
      </c>
      <c r="H968" s="5" t="s">
        <v>44</v>
      </c>
      <c r="I968" s="5" t="s">
        <v>45</v>
      </c>
      <c r="J968" s="5">
        <v>1465</v>
      </c>
      <c r="K968" s="7">
        <v>1955.0980144067928</v>
      </c>
      <c r="L968" s="5">
        <v>4</v>
      </c>
      <c r="M968" s="5">
        <v>15</v>
      </c>
      <c r="N968" s="8">
        <f t="shared" si="0"/>
        <v>6647.3332489830955</v>
      </c>
      <c r="O968" s="5">
        <f t="shared" si="1"/>
        <v>5860</v>
      </c>
      <c r="P968" s="5">
        <f t="shared" si="2"/>
        <v>787.33324898309547</v>
      </c>
      <c r="Q968" s="5" t="s">
        <v>83</v>
      </c>
      <c r="R968" s="5" t="s">
        <v>56</v>
      </c>
      <c r="T968" s="5">
        <v>7</v>
      </c>
      <c r="U968" s="5">
        <v>3</v>
      </c>
      <c r="W968" s="5">
        <f t="shared" si="3"/>
        <v>0</v>
      </c>
    </row>
    <row r="969" spans="1:23" ht="15.75" customHeight="1" x14ac:dyDescent="0.25">
      <c r="A969" s="5" t="s">
        <v>1346</v>
      </c>
      <c r="B969" s="6">
        <v>45226</v>
      </c>
      <c r="C969" s="5" t="s">
        <v>778</v>
      </c>
      <c r="D969" s="5" t="s">
        <v>105</v>
      </c>
      <c r="E969" s="5" t="s">
        <v>60</v>
      </c>
      <c r="F969" s="5" t="s">
        <v>61</v>
      </c>
      <c r="G969" s="5" t="s">
        <v>75</v>
      </c>
      <c r="H969" s="5" t="s">
        <v>76</v>
      </c>
      <c r="I969" s="5" t="s">
        <v>77</v>
      </c>
      <c r="J969" s="5">
        <v>1008</v>
      </c>
      <c r="K969" s="7">
        <v>1021.6332811695901</v>
      </c>
      <c r="L969" s="5">
        <v>4</v>
      </c>
      <c r="M969" s="5">
        <v>15</v>
      </c>
      <c r="N969" s="8">
        <f t="shared" si="0"/>
        <v>3473.5531559766064</v>
      </c>
      <c r="O969" s="5">
        <f t="shared" si="1"/>
        <v>4032</v>
      </c>
      <c r="P969" s="5">
        <f t="shared" si="2"/>
        <v>-558.44684402339362</v>
      </c>
      <c r="Q969" s="5" t="s">
        <v>83</v>
      </c>
      <c r="R969" s="5" t="s">
        <v>56</v>
      </c>
      <c r="T969" s="5">
        <v>9</v>
      </c>
      <c r="U969" s="5">
        <v>1</v>
      </c>
      <c r="W969" s="5">
        <f t="shared" si="3"/>
        <v>0</v>
      </c>
    </row>
    <row r="970" spans="1:23" ht="15.75" customHeight="1" x14ac:dyDescent="0.25">
      <c r="A970" s="5" t="s">
        <v>1347</v>
      </c>
      <c r="B970" s="6">
        <v>45226</v>
      </c>
      <c r="C970" s="5" t="s">
        <v>118</v>
      </c>
      <c r="D970" s="5" t="s">
        <v>184</v>
      </c>
      <c r="E970" s="5" t="s">
        <v>37</v>
      </c>
      <c r="F970" s="5" t="s">
        <v>38</v>
      </c>
      <c r="G970" s="5" t="s">
        <v>75</v>
      </c>
      <c r="H970" s="5" t="s">
        <v>76</v>
      </c>
      <c r="I970" s="5" t="s">
        <v>77</v>
      </c>
      <c r="J970" s="5">
        <v>1202</v>
      </c>
      <c r="K970" s="7">
        <v>2046.0224013520542</v>
      </c>
      <c r="L970" s="5">
        <v>2</v>
      </c>
      <c r="M970" s="5">
        <v>20</v>
      </c>
      <c r="N970" s="8">
        <f t="shared" si="0"/>
        <v>3273.6358421632867</v>
      </c>
      <c r="O970" s="5">
        <f t="shared" si="1"/>
        <v>2404</v>
      </c>
      <c r="P970" s="5">
        <f t="shared" si="2"/>
        <v>869.63584216328672</v>
      </c>
      <c r="Q970" s="5" t="s">
        <v>39</v>
      </c>
      <c r="R970" s="5" t="s">
        <v>32</v>
      </c>
      <c r="S970" s="6">
        <v>45238</v>
      </c>
      <c r="T970" s="5">
        <v>6</v>
      </c>
      <c r="U970" s="5">
        <v>2</v>
      </c>
      <c r="V970" s="5" t="s">
        <v>33</v>
      </c>
      <c r="W970" s="5">
        <f t="shared" si="3"/>
        <v>0</v>
      </c>
    </row>
    <row r="971" spans="1:23" ht="15.75" customHeight="1" x14ac:dyDescent="0.25">
      <c r="A971" s="5" t="s">
        <v>1348</v>
      </c>
      <c r="B971" s="6">
        <v>45226</v>
      </c>
      <c r="C971" s="5" t="s">
        <v>474</v>
      </c>
      <c r="D971" s="5" t="s">
        <v>146</v>
      </c>
      <c r="E971" s="5" t="s">
        <v>37</v>
      </c>
      <c r="F971" s="5" t="s">
        <v>38</v>
      </c>
      <c r="G971" s="5" t="s">
        <v>106</v>
      </c>
      <c r="H971" s="5" t="s">
        <v>98</v>
      </c>
      <c r="I971" s="5" t="s">
        <v>107</v>
      </c>
      <c r="J971" s="5">
        <v>739</v>
      </c>
      <c r="K971" s="7">
        <v>1090.8852200269775</v>
      </c>
      <c r="L971" s="5">
        <v>3</v>
      </c>
      <c r="M971" s="5">
        <v>15</v>
      </c>
      <c r="N971" s="8">
        <f t="shared" si="0"/>
        <v>2781.7573110687927</v>
      </c>
      <c r="O971" s="5">
        <f t="shared" si="1"/>
        <v>2217</v>
      </c>
      <c r="P971" s="5">
        <f t="shared" si="2"/>
        <v>564.75731106879266</v>
      </c>
      <c r="Q971" s="5" t="s">
        <v>39</v>
      </c>
      <c r="R971" s="5" t="s">
        <v>32</v>
      </c>
      <c r="S971" s="6">
        <v>45236</v>
      </c>
      <c r="T971" s="5">
        <v>3</v>
      </c>
      <c r="U971" s="5">
        <v>2</v>
      </c>
      <c r="V971" s="5" t="s">
        <v>33</v>
      </c>
      <c r="W971" s="5">
        <f t="shared" si="3"/>
        <v>0</v>
      </c>
    </row>
    <row r="972" spans="1:23" ht="15.75" customHeight="1" x14ac:dyDescent="0.25">
      <c r="A972" s="5" t="s">
        <v>1349</v>
      </c>
      <c r="B972" s="6">
        <v>45226</v>
      </c>
      <c r="C972" s="5" t="s">
        <v>48</v>
      </c>
      <c r="D972" s="5" t="s">
        <v>86</v>
      </c>
      <c r="E972" s="5" t="s">
        <v>37</v>
      </c>
      <c r="F972" s="5" t="s">
        <v>38</v>
      </c>
      <c r="G972" s="5" t="s">
        <v>139</v>
      </c>
      <c r="H972" s="5" t="s">
        <v>76</v>
      </c>
      <c r="I972" s="5" t="s">
        <v>140</v>
      </c>
      <c r="J972" s="5">
        <v>44216</v>
      </c>
      <c r="K972" s="7">
        <v>76663.264806451043</v>
      </c>
      <c r="L972" s="5">
        <v>1</v>
      </c>
      <c r="M972" s="5">
        <v>0</v>
      </c>
      <c r="N972" s="8">
        <f t="shared" si="0"/>
        <v>76663.264806451043</v>
      </c>
      <c r="O972" s="5">
        <f t="shared" si="1"/>
        <v>44216</v>
      </c>
      <c r="P972" s="5">
        <f t="shared" si="2"/>
        <v>32447.264806451043</v>
      </c>
      <c r="Q972" s="5" t="s">
        <v>39</v>
      </c>
      <c r="R972" s="5" t="s">
        <v>56</v>
      </c>
      <c r="T972" s="5">
        <v>9</v>
      </c>
      <c r="U972" s="5">
        <v>1</v>
      </c>
      <c r="W972" s="5">
        <f t="shared" si="3"/>
        <v>0</v>
      </c>
    </row>
    <row r="973" spans="1:23" ht="15.75" customHeight="1" x14ac:dyDescent="0.25">
      <c r="A973" s="5" t="s">
        <v>1350</v>
      </c>
      <c r="B973" s="6">
        <v>45226</v>
      </c>
      <c r="C973" s="5" t="s">
        <v>988</v>
      </c>
      <c r="D973" s="5" t="s">
        <v>25</v>
      </c>
      <c r="E973" s="5" t="s">
        <v>112</v>
      </c>
      <c r="F973" s="5" t="s">
        <v>113</v>
      </c>
      <c r="G973" s="5" t="s">
        <v>119</v>
      </c>
      <c r="H973" s="5" t="s">
        <v>76</v>
      </c>
      <c r="I973" s="5" t="s">
        <v>120</v>
      </c>
      <c r="J973" s="5">
        <v>59530</v>
      </c>
      <c r="K973" s="7">
        <v>81485.597463193786</v>
      </c>
      <c r="L973" s="5">
        <v>3</v>
      </c>
      <c r="M973" s="5">
        <v>10</v>
      </c>
      <c r="N973" s="8">
        <f t="shared" si="0"/>
        <v>220011.11315062322</v>
      </c>
      <c r="O973" s="5">
        <f t="shared" si="1"/>
        <v>178590</v>
      </c>
      <c r="P973" s="5">
        <f t="shared" si="2"/>
        <v>41421.11315062322</v>
      </c>
      <c r="Q973" s="5" t="s">
        <v>83</v>
      </c>
      <c r="R973" s="5" t="s">
        <v>32</v>
      </c>
      <c r="S973" s="6">
        <v>45235</v>
      </c>
      <c r="T973" s="5">
        <v>4</v>
      </c>
      <c r="U973" s="5">
        <v>2</v>
      </c>
      <c r="V973" s="5" t="s">
        <v>33</v>
      </c>
      <c r="W973" s="5">
        <f t="shared" si="3"/>
        <v>0</v>
      </c>
    </row>
    <row r="974" spans="1:23" ht="15.75" customHeight="1" x14ac:dyDescent="0.25">
      <c r="A974" s="5" t="s">
        <v>1351</v>
      </c>
      <c r="B974" s="6">
        <v>45227</v>
      </c>
      <c r="C974" s="5" t="s">
        <v>276</v>
      </c>
      <c r="D974" s="5" t="s">
        <v>59</v>
      </c>
      <c r="E974" s="5" t="s">
        <v>54</v>
      </c>
      <c r="F974" s="5" t="s">
        <v>55</v>
      </c>
      <c r="G974" s="5" t="s">
        <v>139</v>
      </c>
      <c r="H974" s="5" t="s">
        <v>76</v>
      </c>
      <c r="I974" s="5" t="s">
        <v>140</v>
      </c>
      <c r="J974" s="5">
        <v>30771</v>
      </c>
      <c r="K974" s="7">
        <v>43170.798792992842</v>
      </c>
      <c r="L974" s="5">
        <v>3</v>
      </c>
      <c r="M974" s="5">
        <v>20</v>
      </c>
      <c r="N974" s="8">
        <f t="shared" si="0"/>
        <v>103609.91710318283</v>
      </c>
      <c r="O974" s="5">
        <f t="shared" si="1"/>
        <v>92313</v>
      </c>
      <c r="P974" s="5">
        <f t="shared" si="2"/>
        <v>11296.91710318283</v>
      </c>
      <c r="Q974" s="5" t="s">
        <v>83</v>
      </c>
      <c r="R974" s="5" t="s">
        <v>32</v>
      </c>
      <c r="S974" s="6">
        <v>45235</v>
      </c>
      <c r="T974" s="5">
        <v>4</v>
      </c>
      <c r="U974" s="5">
        <v>3</v>
      </c>
      <c r="V974" s="5" t="s">
        <v>33</v>
      </c>
      <c r="W974" s="5">
        <f t="shared" si="3"/>
        <v>0</v>
      </c>
    </row>
    <row r="975" spans="1:23" ht="15.75" customHeight="1" x14ac:dyDescent="0.25">
      <c r="A975" s="5" t="s">
        <v>1352</v>
      </c>
      <c r="B975" s="6">
        <v>45227</v>
      </c>
      <c r="C975" s="5" t="s">
        <v>552</v>
      </c>
      <c r="D975" s="5" t="s">
        <v>25</v>
      </c>
      <c r="E975" s="5" t="s">
        <v>112</v>
      </c>
      <c r="F975" s="5" t="s">
        <v>113</v>
      </c>
      <c r="G975" s="5" t="s">
        <v>92</v>
      </c>
      <c r="H975" s="5" t="s">
        <v>44</v>
      </c>
      <c r="I975" s="5" t="s">
        <v>45</v>
      </c>
      <c r="J975" s="5">
        <v>968</v>
      </c>
      <c r="K975" s="7">
        <v>1684.8007173107014</v>
      </c>
      <c r="L975" s="5">
        <v>1</v>
      </c>
      <c r="M975" s="5">
        <v>0</v>
      </c>
      <c r="N975" s="8">
        <f t="shared" si="0"/>
        <v>1684.8007173107014</v>
      </c>
      <c r="O975" s="5">
        <f t="shared" si="1"/>
        <v>968</v>
      </c>
      <c r="P975" s="5">
        <f t="shared" si="2"/>
        <v>716.80071731070143</v>
      </c>
      <c r="Q975" s="5" t="s">
        <v>39</v>
      </c>
      <c r="R975" s="5" t="s">
        <v>56</v>
      </c>
      <c r="T975" s="5">
        <v>10</v>
      </c>
      <c r="U975" s="5">
        <v>1</v>
      </c>
      <c r="W975" s="5">
        <f t="shared" si="3"/>
        <v>0</v>
      </c>
    </row>
    <row r="976" spans="1:23" ht="15.75" customHeight="1" x14ac:dyDescent="0.25">
      <c r="A976" s="5" t="s">
        <v>1353</v>
      </c>
      <c r="B976" s="6">
        <v>45227</v>
      </c>
      <c r="C976" s="5" t="s">
        <v>890</v>
      </c>
      <c r="D976" s="5" t="s">
        <v>36</v>
      </c>
      <c r="E976" s="5" t="s">
        <v>60</v>
      </c>
      <c r="F976" s="5" t="s">
        <v>61</v>
      </c>
      <c r="G976" s="5" t="s">
        <v>81</v>
      </c>
      <c r="H976" s="5" t="s">
        <v>44</v>
      </c>
      <c r="I976" s="5" t="s">
        <v>82</v>
      </c>
      <c r="J976" s="5">
        <v>1997</v>
      </c>
      <c r="K976" s="7">
        <v>3238.5834023090192</v>
      </c>
      <c r="L976" s="5">
        <v>2</v>
      </c>
      <c r="M976" s="5">
        <v>5</v>
      </c>
      <c r="N976" s="8">
        <f t="shared" si="0"/>
        <v>6153.3084643871362</v>
      </c>
      <c r="O976" s="5">
        <f t="shared" si="1"/>
        <v>3994</v>
      </c>
      <c r="P976" s="5">
        <f t="shared" si="2"/>
        <v>2159.3084643871362</v>
      </c>
      <c r="Q976" s="5" t="s">
        <v>46</v>
      </c>
      <c r="R976" s="5" t="s">
        <v>56</v>
      </c>
      <c r="T976" s="5">
        <v>7</v>
      </c>
      <c r="U976" s="5">
        <v>4</v>
      </c>
      <c r="W976" s="5">
        <f t="shared" si="3"/>
        <v>0</v>
      </c>
    </row>
    <row r="977" spans="1:23" ht="15.75" customHeight="1" x14ac:dyDescent="0.25">
      <c r="A977" s="5" t="s">
        <v>1354</v>
      </c>
      <c r="B977" s="6">
        <v>45228</v>
      </c>
      <c r="C977" s="5" t="s">
        <v>52</v>
      </c>
      <c r="D977" s="5" t="s">
        <v>116</v>
      </c>
      <c r="E977" s="5" t="s">
        <v>37</v>
      </c>
      <c r="F977" s="5" t="s">
        <v>38</v>
      </c>
      <c r="G977" s="5" t="s">
        <v>87</v>
      </c>
      <c r="H977" s="5" t="s">
        <v>29</v>
      </c>
      <c r="I977" s="5" t="s">
        <v>88</v>
      </c>
      <c r="J977" s="5">
        <v>25356</v>
      </c>
      <c r="K977" s="7">
        <v>45201.717456076069</v>
      </c>
      <c r="L977" s="5">
        <v>1</v>
      </c>
      <c r="M977" s="5">
        <v>10</v>
      </c>
      <c r="N977" s="8">
        <f t="shared" si="0"/>
        <v>40681.545710468461</v>
      </c>
      <c r="O977" s="5">
        <f t="shared" si="1"/>
        <v>25356</v>
      </c>
      <c r="P977" s="5">
        <f t="shared" si="2"/>
        <v>15325.545710468461</v>
      </c>
      <c r="Q977" s="5" t="s">
        <v>31</v>
      </c>
      <c r="R977" s="5" t="s">
        <v>32</v>
      </c>
      <c r="S977" s="6">
        <v>45239</v>
      </c>
      <c r="T977" s="5">
        <v>8</v>
      </c>
      <c r="U977" s="5">
        <v>2</v>
      </c>
      <c r="V977" s="5" t="s">
        <v>33</v>
      </c>
      <c r="W977" s="5">
        <f t="shared" si="3"/>
        <v>0</v>
      </c>
    </row>
    <row r="978" spans="1:23" ht="15.75" customHeight="1" x14ac:dyDescent="0.25">
      <c r="A978" s="5" t="s">
        <v>1355</v>
      </c>
      <c r="B978" s="6">
        <v>45228</v>
      </c>
      <c r="C978" s="5" t="s">
        <v>445</v>
      </c>
      <c r="D978" s="5" t="s">
        <v>105</v>
      </c>
      <c r="E978" s="5" t="s">
        <v>37</v>
      </c>
      <c r="F978" s="5" t="s">
        <v>38</v>
      </c>
      <c r="G978" s="5" t="s">
        <v>70</v>
      </c>
      <c r="H978" s="5" t="s">
        <v>44</v>
      </c>
      <c r="I978" s="5" t="s">
        <v>71</v>
      </c>
      <c r="J978" s="5">
        <v>964</v>
      </c>
      <c r="K978" s="7">
        <v>1473.2806529653676</v>
      </c>
      <c r="L978" s="5">
        <v>2</v>
      </c>
      <c r="M978" s="5">
        <v>15</v>
      </c>
      <c r="N978" s="8">
        <f t="shared" si="0"/>
        <v>2504.5771100411248</v>
      </c>
      <c r="O978" s="5">
        <f t="shared" si="1"/>
        <v>1928</v>
      </c>
      <c r="P978" s="5">
        <f t="shared" si="2"/>
        <v>576.5771100411248</v>
      </c>
      <c r="Q978" s="5" t="s">
        <v>39</v>
      </c>
      <c r="R978" s="5" t="s">
        <v>32</v>
      </c>
      <c r="S978" s="6">
        <v>45237</v>
      </c>
      <c r="T978" s="5">
        <v>4</v>
      </c>
      <c r="U978" s="5">
        <v>4</v>
      </c>
      <c r="V978" s="5" t="s">
        <v>33</v>
      </c>
      <c r="W978" s="5">
        <f t="shared" si="3"/>
        <v>0</v>
      </c>
    </row>
    <row r="979" spans="1:23" ht="15.75" customHeight="1" x14ac:dyDescent="0.25">
      <c r="A979" s="5" t="s">
        <v>1356</v>
      </c>
      <c r="B979" s="6">
        <v>45228</v>
      </c>
      <c r="C979" s="5" t="s">
        <v>659</v>
      </c>
      <c r="D979" s="5" t="s">
        <v>102</v>
      </c>
      <c r="E979" s="5" t="s">
        <v>112</v>
      </c>
      <c r="F979" s="5" t="s">
        <v>113</v>
      </c>
      <c r="G979" s="5" t="s">
        <v>43</v>
      </c>
      <c r="H979" s="5" t="s">
        <v>44</v>
      </c>
      <c r="I979" s="5" t="s">
        <v>45</v>
      </c>
      <c r="J979" s="5">
        <v>489</v>
      </c>
      <c r="K979" s="7">
        <v>494.60821665388676</v>
      </c>
      <c r="L979" s="5">
        <v>2</v>
      </c>
      <c r="M979" s="5">
        <v>10</v>
      </c>
      <c r="N979" s="8">
        <f t="shared" si="0"/>
        <v>890.29478997699619</v>
      </c>
      <c r="O979" s="5">
        <f t="shared" si="1"/>
        <v>978</v>
      </c>
      <c r="P979" s="5">
        <f t="shared" si="2"/>
        <v>-87.705210023003815</v>
      </c>
      <c r="Q979" s="5" t="s">
        <v>46</v>
      </c>
      <c r="R979" s="5" t="s">
        <v>32</v>
      </c>
      <c r="S979" s="6">
        <v>45240</v>
      </c>
      <c r="T979" s="5">
        <v>7</v>
      </c>
      <c r="U979" s="5">
        <v>2</v>
      </c>
      <c r="V979" s="5" t="s">
        <v>33</v>
      </c>
      <c r="W979" s="5">
        <f t="shared" si="3"/>
        <v>0</v>
      </c>
    </row>
    <row r="980" spans="1:23" ht="15.75" customHeight="1" x14ac:dyDescent="0.25">
      <c r="A980" s="5" t="s">
        <v>1357</v>
      </c>
      <c r="B980" s="6">
        <v>45229</v>
      </c>
      <c r="C980" s="5" t="s">
        <v>555</v>
      </c>
      <c r="D980" s="5" t="s">
        <v>64</v>
      </c>
      <c r="E980" s="5" t="s">
        <v>54</v>
      </c>
      <c r="F980" s="5" t="s">
        <v>55</v>
      </c>
      <c r="G980" s="5" t="s">
        <v>92</v>
      </c>
      <c r="H980" s="5" t="s">
        <v>44</v>
      </c>
      <c r="I980" s="5" t="s">
        <v>45</v>
      </c>
      <c r="J980" s="5">
        <v>997</v>
      </c>
      <c r="K980" s="7">
        <v>1784.031374473333</v>
      </c>
      <c r="L980" s="5">
        <v>5</v>
      </c>
      <c r="M980" s="5">
        <v>15</v>
      </c>
      <c r="N980" s="8">
        <f t="shared" si="0"/>
        <v>7582.1333415116642</v>
      </c>
      <c r="O980" s="5">
        <f t="shared" si="1"/>
        <v>4985</v>
      </c>
      <c r="P980" s="5">
        <f t="shared" si="2"/>
        <v>2597.1333415116642</v>
      </c>
      <c r="Q980" s="5" t="s">
        <v>46</v>
      </c>
      <c r="R980" s="5" t="s">
        <v>32</v>
      </c>
      <c r="S980" s="6">
        <v>45237</v>
      </c>
      <c r="T980" s="5">
        <v>2</v>
      </c>
      <c r="U980" s="5">
        <v>4</v>
      </c>
      <c r="V980" s="5" t="s">
        <v>33</v>
      </c>
      <c r="W980" s="5">
        <f t="shared" si="3"/>
        <v>0</v>
      </c>
    </row>
    <row r="981" spans="1:23" ht="15.75" customHeight="1" x14ac:dyDescent="0.25">
      <c r="A981" s="5" t="s">
        <v>1358</v>
      </c>
      <c r="B981" s="6">
        <v>45229</v>
      </c>
      <c r="C981" s="5" t="s">
        <v>1189</v>
      </c>
      <c r="D981" s="5" t="s">
        <v>184</v>
      </c>
      <c r="E981" s="5" t="s">
        <v>112</v>
      </c>
      <c r="F981" s="5" t="s">
        <v>113</v>
      </c>
      <c r="G981" s="5" t="s">
        <v>139</v>
      </c>
      <c r="H981" s="5" t="s">
        <v>76</v>
      </c>
      <c r="I981" s="5" t="s">
        <v>140</v>
      </c>
      <c r="J981" s="5">
        <v>46652</v>
      </c>
      <c r="K981" s="7">
        <v>46938.450068615959</v>
      </c>
      <c r="L981" s="5">
        <v>5</v>
      </c>
      <c r="M981" s="5">
        <v>10</v>
      </c>
      <c r="N981" s="8">
        <f t="shared" si="0"/>
        <v>211223.02530877182</v>
      </c>
      <c r="O981" s="5">
        <f t="shared" si="1"/>
        <v>233260</v>
      </c>
      <c r="P981" s="5">
        <f t="shared" si="2"/>
        <v>-22036.974691228184</v>
      </c>
      <c r="Q981" s="5" t="s">
        <v>83</v>
      </c>
      <c r="R981" s="5" t="s">
        <v>56</v>
      </c>
      <c r="T981" s="5">
        <v>8</v>
      </c>
      <c r="U981" s="5">
        <v>4</v>
      </c>
      <c r="W981" s="5">
        <f t="shared" si="3"/>
        <v>0</v>
      </c>
    </row>
    <row r="982" spans="1:23" ht="15.75" customHeight="1" x14ac:dyDescent="0.25">
      <c r="A982" s="5" t="s">
        <v>1359</v>
      </c>
      <c r="B982" s="6">
        <v>45230</v>
      </c>
      <c r="C982" s="5" t="s">
        <v>24</v>
      </c>
      <c r="D982" s="5" t="s">
        <v>25</v>
      </c>
      <c r="E982" s="5" t="s">
        <v>80</v>
      </c>
      <c r="F982" s="5" t="s">
        <v>80</v>
      </c>
      <c r="G982" s="5" t="s">
        <v>28</v>
      </c>
      <c r="H982" s="5" t="s">
        <v>29</v>
      </c>
      <c r="I982" s="5" t="s">
        <v>30</v>
      </c>
      <c r="J982" s="5">
        <v>6595</v>
      </c>
      <c r="K982" s="7">
        <v>9489.4527682526514</v>
      </c>
      <c r="L982" s="5">
        <v>2</v>
      </c>
      <c r="M982" s="5">
        <v>10</v>
      </c>
      <c r="N982" s="8">
        <f t="shared" si="0"/>
        <v>17081.014982854773</v>
      </c>
      <c r="O982" s="5">
        <f t="shared" si="1"/>
        <v>13190</v>
      </c>
      <c r="P982" s="5">
        <f t="shared" si="2"/>
        <v>3891.0149828547728</v>
      </c>
      <c r="Q982" s="5" t="s">
        <v>31</v>
      </c>
      <c r="R982" s="5" t="s">
        <v>32</v>
      </c>
      <c r="S982" s="6">
        <v>45234</v>
      </c>
      <c r="T982" s="5">
        <v>1</v>
      </c>
      <c r="U982" s="5">
        <v>4</v>
      </c>
      <c r="V982" s="5" t="s">
        <v>33</v>
      </c>
      <c r="W982" s="5">
        <f t="shared" si="3"/>
        <v>0</v>
      </c>
    </row>
    <row r="983" spans="1:23" ht="15.75" customHeight="1" x14ac:dyDescent="0.25">
      <c r="A983" s="5" t="s">
        <v>1360</v>
      </c>
      <c r="B983" s="6">
        <v>45230</v>
      </c>
      <c r="C983" s="5" t="s">
        <v>359</v>
      </c>
      <c r="D983" s="5" t="s">
        <v>102</v>
      </c>
      <c r="E983" s="5" t="s">
        <v>54</v>
      </c>
      <c r="F983" s="5" t="s">
        <v>55</v>
      </c>
      <c r="G983" s="5" t="s">
        <v>81</v>
      </c>
      <c r="H983" s="5" t="s">
        <v>44</v>
      </c>
      <c r="I983" s="5" t="s">
        <v>82</v>
      </c>
      <c r="J983" s="5">
        <v>2262</v>
      </c>
      <c r="K983" s="7">
        <v>3264.4834826820502</v>
      </c>
      <c r="L983" s="5">
        <v>1</v>
      </c>
      <c r="M983" s="5">
        <v>20</v>
      </c>
      <c r="N983" s="8">
        <f t="shared" si="0"/>
        <v>2611.5867861456404</v>
      </c>
      <c r="O983" s="5">
        <f t="shared" si="1"/>
        <v>2262</v>
      </c>
      <c r="P983" s="5">
        <f t="shared" si="2"/>
        <v>349.58678614564042</v>
      </c>
      <c r="Q983" s="5" t="s">
        <v>31</v>
      </c>
      <c r="R983" s="5" t="s">
        <v>32</v>
      </c>
      <c r="S983" s="6">
        <v>45238</v>
      </c>
      <c r="T983" s="5">
        <v>4</v>
      </c>
      <c r="U983" s="5">
        <v>4</v>
      </c>
      <c r="V983" s="5" t="s">
        <v>33</v>
      </c>
      <c r="W983" s="5">
        <f t="shared" si="3"/>
        <v>0</v>
      </c>
    </row>
    <row r="984" spans="1:23" ht="15.75" customHeight="1" x14ac:dyDescent="0.25">
      <c r="A984" s="5" t="s">
        <v>1361</v>
      </c>
      <c r="B984" s="6">
        <v>45230</v>
      </c>
      <c r="C984" s="5" t="s">
        <v>793</v>
      </c>
      <c r="D984" s="5" t="s">
        <v>208</v>
      </c>
      <c r="E984" s="5" t="s">
        <v>26</v>
      </c>
      <c r="F984" s="5" t="s">
        <v>27</v>
      </c>
      <c r="G984" s="5" t="s">
        <v>139</v>
      </c>
      <c r="H984" s="5" t="s">
        <v>76</v>
      </c>
      <c r="I984" s="5" t="s">
        <v>140</v>
      </c>
      <c r="J984" s="5">
        <v>45781</v>
      </c>
      <c r="K984" s="7">
        <v>78208.975555949568</v>
      </c>
      <c r="L984" s="5">
        <v>4</v>
      </c>
      <c r="M984" s="5">
        <v>10</v>
      </c>
      <c r="N984" s="8">
        <f t="shared" si="0"/>
        <v>281552.31200141844</v>
      </c>
      <c r="O984" s="5">
        <f t="shared" si="1"/>
        <v>183124</v>
      </c>
      <c r="P984" s="5">
        <f t="shared" si="2"/>
        <v>98428.312001418439</v>
      </c>
      <c r="Q984" s="5" t="s">
        <v>31</v>
      </c>
      <c r="R984" s="5" t="s">
        <v>32</v>
      </c>
      <c r="S984" s="6">
        <v>45238</v>
      </c>
      <c r="T984" s="5">
        <v>4</v>
      </c>
      <c r="U984" s="5">
        <v>2</v>
      </c>
      <c r="V984" s="5" t="s">
        <v>33</v>
      </c>
      <c r="W984" s="5">
        <f t="shared" si="3"/>
        <v>0</v>
      </c>
    </row>
    <row r="985" spans="1:23" ht="15.75" customHeight="1" x14ac:dyDescent="0.25">
      <c r="A985" s="5" t="s">
        <v>1362</v>
      </c>
      <c r="B985" s="6">
        <v>45231</v>
      </c>
      <c r="C985" s="5" t="s">
        <v>778</v>
      </c>
      <c r="D985" s="5" t="s">
        <v>150</v>
      </c>
      <c r="E985" s="5" t="s">
        <v>80</v>
      </c>
      <c r="F985" s="5" t="s">
        <v>80</v>
      </c>
      <c r="G985" s="5" t="s">
        <v>139</v>
      </c>
      <c r="H985" s="5" t="s">
        <v>76</v>
      </c>
      <c r="I985" s="5" t="s">
        <v>140</v>
      </c>
      <c r="J985" s="5">
        <v>38750</v>
      </c>
      <c r="K985" s="7">
        <v>54542.821084247618</v>
      </c>
      <c r="L985" s="5">
        <v>2</v>
      </c>
      <c r="M985" s="5">
        <v>0</v>
      </c>
      <c r="N985" s="8">
        <f t="shared" si="0"/>
        <v>109085.64216849524</v>
      </c>
      <c r="O985" s="5">
        <f t="shared" si="1"/>
        <v>77500</v>
      </c>
      <c r="P985" s="5">
        <f t="shared" si="2"/>
        <v>31585.642168495237</v>
      </c>
      <c r="Q985" s="5" t="s">
        <v>39</v>
      </c>
      <c r="R985" s="5" t="s">
        <v>56</v>
      </c>
      <c r="T985" s="5">
        <v>9</v>
      </c>
      <c r="U985" s="5">
        <v>1</v>
      </c>
      <c r="W985" s="5">
        <f t="shared" si="3"/>
        <v>0</v>
      </c>
    </row>
    <row r="986" spans="1:23" ht="15.75" customHeight="1" x14ac:dyDescent="0.25">
      <c r="A986" s="5" t="s">
        <v>1363</v>
      </c>
      <c r="B986" s="6">
        <v>45231</v>
      </c>
      <c r="C986" s="5" t="s">
        <v>555</v>
      </c>
      <c r="D986" s="5" t="s">
        <v>25</v>
      </c>
      <c r="E986" s="5" t="s">
        <v>69</v>
      </c>
      <c r="F986" s="5" t="s">
        <v>55</v>
      </c>
      <c r="G986" s="5" t="s">
        <v>81</v>
      </c>
      <c r="H986" s="5" t="s">
        <v>44</v>
      </c>
      <c r="I986" s="5" t="s">
        <v>82</v>
      </c>
      <c r="J986" s="5">
        <v>961</v>
      </c>
      <c r="K986" s="7">
        <v>1378.6513021594028</v>
      </c>
      <c r="L986" s="5">
        <v>3</v>
      </c>
      <c r="M986" s="5">
        <v>15</v>
      </c>
      <c r="N986" s="8">
        <f t="shared" si="0"/>
        <v>3515.5608205064768</v>
      </c>
      <c r="O986" s="5">
        <f t="shared" si="1"/>
        <v>2883</v>
      </c>
      <c r="P986" s="5">
        <f t="shared" si="2"/>
        <v>632.56082050647683</v>
      </c>
      <c r="Q986" s="5" t="s">
        <v>83</v>
      </c>
      <c r="R986" s="5" t="s">
        <v>32</v>
      </c>
      <c r="S986" s="6">
        <v>45241</v>
      </c>
      <c r="T986" s="5">
        <v>6</v>
      </c>
      <c r="U986" s="5">
        <v>2</v>
      </c>
      <c r="V986" s="5" t="s">
        <v>33</v>
      </c>
      <c r="W986" s="5">
        <f t="shared" si="3"/>
        <v>0</v>
      </c>
    </row>
    <row r="987" spans="1:23" ht="15.75" customHeight="1" x14ac:dyDescent="0.25">
      <c r="A987" s="5" t="s">
        <v>1364</v>
      </c>
      <c r="B987" s="6">
        <v>45232</v>
      </c>
      <c r="C987" s="5" t="s">
        <v>539</v>
      </c>
      <c r="D987" s="5" t="s">
        <v>42</v>
      </c>
      <c r="E987" s="5" t="s">
        <v>112</v>
      </c>
      <c r="F987" s="5" t="s">
        <v>113</v>
      </c>
      <c r="G987" s="5" t="s">
        <v>75</v>
      </c>
      <c r="H987" s="5" t="s">
        <v>76</v>
      </c>
      <c r="I987" s="5" t="s">
        <v>77</v>
      </c>
      <c r="J987" s="5">
        <v>532</v>
      </c>
      <c r="K987" s="7">
        <v>533.48423690328718</v>
      </c>
      <c r="L987" s="5">
        <v>3</v>
      </c>
      <c r="M987" s="5">
        <v>10</v>
      </c>
      <c r="N987" s="8">
        <f t="shared" si="0"/>
        <v>1440.4074396388755</v>
      </c>
      <c r="O987" s="5">
        <f t="shared" si="1"/>
        <v>1596</v>
      </c>
      <c r="P987" s="5">
        <f t="shared" si="2"/>
        <v>-155.59256036112447</v>
      </c>
      <c r="Q987" s="5" t="s">
        <v>83</v>
      </c>
      <c r="R987" s="5" t="s">
        <v>32</v>
      </c>
      <c r="S987" s="6">
        <v>45236</v>
      </c>
      <c r="T987" s="5">
        <v>1</v>
      </c>
      <c r="U987" s="5">
        <v>4</v>
      </c>
      <c r="V987" s="5" t="s">
        <v>33</v>
      </c>
      <c r="W987" s="5">
        <f t="shared" si="3"/>
        <v>0</v>
      </c>
    </row>
    <row r="988" spans="1:23" ht="15.75" customHeight="1" x14ac:dyDescent="0.25">
      <c r="A988" s="5" t="s">
        <v>1365</v>
      </c>
      <c r="B988" s="6">
        <v>45232</v>
      </c>
      <c r="C988" s="5" t="s">
        <v>466</v>
      </c>
      <c r="D988" s="5" t="s">
        <v>188</v>
      </c>
      <c r="E988" s="5" t="s">
        <v>80</v>
      </c>
      <c r="F988" s="5" t="s">
        <v>80</v>
      </c>
      <c r="G988" s="5" t="s">
        <v>70</v>
      </c>
      <c r="H988" s="5" t="s">
        <v>44</v>
      </c>
      <c r="I988" s="5" t="s">
        <v>71</v>
      </c>
      <c r="J988" s="5">
        <v>1118</v>
      </c>
      <c r="K988" s="7">
        <v>1968.9589478393827</v>
      </c>
      <c r="L988" s="5">
        <v>5</v>
      </c>
      <c r="M988" s="5">
        <v>5</v>
      </c>
      <c r="N988" s="8">
        <f t="shared" si="0"/>
        <v>9352.555002237068</v>
      </c>
      <c r="O988" s="5">
        <f t="shared" si="1"/>
        <v>5590</v>
      </c>
      <c r="P988" s="5">
        <f t="shared" si="2"/>
        <v>3762.555002237068</v>
      </c>
      <c r="Q988" s="5" t="s">
        <v>39</v>
      </c>
      <c r="R988" s="5" t="s">
        <v>32</v>
      </c>
      <c r="S988" s="6">
        <v>45240</v>
      </c>
      <c r="T988" s="5">
        <v>1</v>
      </c>
      <c r="U988" s="5">
        <v>4</v>
      </c>
      <c r="V988" s="5" t="s">
        <v>33</v>
      </c>
      <c r="W988" s="5">
        <f t="shared" si="3"/>
        <v>0</v>
      </c>
    </row>
    <row r="989" spans="1:23" ht="15.75" customHeight="1" x14ac:dyDescent="0.25">
      <c r="A989" s="5" t="s">
        <v>1366</v>
      </c>
      <c r="B989" s="6">
        <v>45232</v>
      </c>
      <c r="C989" s="5" t="s">
        <v>248</v>
      </c>
      <c r="D989" s="5" t="s">
        <v>59</v>
      </c>
      <c r="E989" s="5" t="s">
        <v>80</v>
      </c>
      <c r="F989" s="5" t="s">
        <v>80</v>
      </c>
      <c r="G989" s="5" t="s">
        <v>70</v>
      </c>
      <c r="H989" s="5" t="s">
        <v>44</v>
      </c>
      <c r="I989" s="5" t="s">
        <v>71</v>
      </c>
      <c r="J989" s="5">
        <v>1037</v>
      </c>
      <c r="K989" s="7">
        <v>1717.7781518421484</v>
      </c>
      <c r="L989" s="5">
        <v>4</v>
      </c>
      <c r="M989" s="5">
        <v>0</v>
      </c>
      <c r="N989" s="8">
        <f t="shared" si="0"/>
        <v>6871.1126073685937</v>
      </c>
      <c r="O989" s="5">
        <f t="shared" si="1"/>
        <v>4148</v>
      </c>
      <c r="P989" s="5">
        <f t="shared" si="2"/>
        <v>2723.1126073685937</v>
      </c>
      <c r="Q989" s="5" t="s">
        <v>39</v>
      </c>
      <c r="R989" s="5" t="s">
        <v>32</v>
      </c>
      <c r="S989" s="6">
        <v>45242</v>
      </c>
      <c r="T989" s="5">
        <v>7</v>
      </c>
      <c r="U989" s="5">
        <v>4</v>
      </c>
      <c r="V989" s="5" t="s">
        <v>89</v>
      </c>
      <c r="W989" s="5">
        <f t="shared" si="3"/>
        <v>1</v>
      </c>
    </row>
    <row r="990" spans="1:23" ht="15.75" customHeight="1" x14ac:dyDescent="0.25">
      <c r="A990" s="5" t="s">
        <v>1367</v>
      </c>
      <c r="B990" s="6">
        <v>45232</v>
      </c>
      <c r="C990" s="5" t="s">
        <v>152</v>
      </c>
      <c r="D990" s="5" t="s">
        <v>36</v>
      </c>
      <c r="E990" s="5" t="s">
        <v>26</v>
      </c>
      <c r="F990" s="5" t="s">
        <v>27</v>
      </c>
      <c r="G990" s="5" t="s">
        <v>87</v>
      </c>
      <c r="H990" s="5" t="s">
        <v>29</v>
      </c>
      <c r="I990" s="5" t="s">
        <v>88</v>
      </c>
      <c r="J990" s="5">
        <v>38904</v>
      </c>
      <c r="K990" s="7">
        <v>66234.869085234226</v>
      </c>
      <c r="L990" s="5">
        <v>4</v>
      </c>
      <c r="M990" s="5">
        <v>20</v>
      </c>
      <c r="N990" s="8">
        <f t="shared" si="0"/>
        <v>211951.58107274954</v>
      </c>
      <c r="O990" s="5">
        <f t="shared" si="1"/>
        <v>155616</v>
      </c>
      <c r="P990" s="5">
        <f t="shared" si="2"/>
        <v>56335.581072749541</v>
      </c>
      <c r="Q990" s="5" t="s">
        <v>39</v>
      </c>
      <c r="R990" s="5" t="s">
        <v>32</v>
      </c>
      <c r="S990" s="6">
        <v>45239</v>
      </c>
      <c r="T990" s="5">
        <v>4</v>
      </c>
      <c r="U990" s="5">
        <v>4</v>
      </c>
      <c r="V990" s="5" t="s">
        <v>33</v>
      </c>
      <c r="W990" s="5">
        <f t="shared" si="3"/>
        <v>0</v>
      </c>
    </row>
    <row r="991" spans="1:23" ht="15.75" customHeight="1" x14ac:dyDescent="0.25">
      <c r="A991" s="5" t="s">
        <v>1368</v>
      </c>
      <c r="B991" s="6">
        <v>45232</v>
      </c>
      <c r="C991" s="5" t="s">
        <v>137</v>
      </c>
      <c r="D991" s="5" t="s">
        <v>36</v>
      </c>
      <c r="E991" s="5" t="s">
        <v>26</v>
      </c>
      <c r="F991" s="5" t="s">
        <v>27</v>
      </c>
      <c r="G991" s="5" t="s">
        <v>119</v>
      </c>
      <c r="H991" s="5" t="s">
        <v>76</v>
      </c>
      <c r="I991" s="5" t="s">
        <v>120</v>
      </c>
      <c r="J991" s="5">
        <v>37269</v>
      </c>
      <c r="K991" s="7">
        <v>51381.800761412982</v>
      </c>
      <c r="L991" s="5">
        <v>1</v>
      </c>
      <c r="M991" s="5">
        <v>15</v>
      </c>
      <c r="N991" s="8">
        <f t="shared" si="0"/>
        <v>43674.530647201034</v>
      </c>
      <c r="O991" s="5">
        <f t="shared" si="1"/>
        <v>37269</v>
      </c>
      <c r="P991" s="5">
        <f t="shared" si="2"/>
        <v>6405.5306472010343</v>
      </c>
      <c r="Q991" s="5" t="s">
        <v>31</v>
      </c>
      <c r="R991" s="5" t="s">
        <v>56</v>
      </c>
      <c r="T991" s="5">
        <v>8</v>
      </c>
      <c r="U991" s="5">
        <v>2</v>
      </c>
      <c r="W991" s="5">
        <f t="shared" si="3"/>
        <v>0</v>
      </c>
    </row>
    <row r="992" spans="1:23" ht="15.75" customHeight="1" x14ac:dyDescent="0.25">
      <c r="A992" s="5" t="s">
        <v>1369</v>
      </c>
      <c r="B992" s="6">
        <v>45233</v>
      </c>
      <c r="C992" s="5" t="s">
        <v>487</v>
      </c>
      <c r="D992" s="5" t="s">
        <v>36</v>
      </c>
      <c r="E992" s="5" t="s">
        <v>37</v>
      </c>
      <c r="F992" s="5" t="s">
        <v>38</v>
      </c>
      <c r="G992" s="5" t="s">
        <v>75</v>
      </c>
      <c r="H992" s="5" t="s">
        <v>76</v>
      </c>
      <c r="I992" s="5" t="s">
        <v>77</v>
      </c>
      <c r="J992" s="5">
        <v>734</v>
      </c>
      <c r="K992" s="7">
        <v>1136.5724424262185</v>
      </c>
      <c r="L992" s="5">
        <v>3</v>
      </c>
      <c r="M992" s="5">
        <v>5</v>
      </c>
      <c r="N992" s="8">
        <f t="shared" si="0"/>
        <v>3239.2314609147224</v>
      </c>
      <c r="O992" s="5">
        <f t="shared" si="1"/>
        <v>2202</v>
      </c>
      <c r="P992" s="5">
        <f t="shared" si="2"/>
        <v>1037.2314609147224</v>
      </c>
      <c r="Q992" s="5" t="s">
        <v>46</v>
      </c>
      <c r="R992" s="5" t="s">
        <v>32</v>
      </c>
      <c r="S992" s="6">
        <v>45245</v>
      </c>
      <c r="T992" s="5">
        <v>6</v>
      </c>
      <c r="U992" s="5">
        <v>2</v>
      </c>
      <c r="V992" s="5" t="s">
        <v>33</v>
      </c>
      <c r="W992" s="5">
        <f t="shared" si="3"/>
        <v>0</v>
      </c>
    </row>
    <row r="993" spans="1:23" ht="15.75" customHeight="1" x14ac:dyDescent="0.25">
      <c r="A993" s="5" t="s">
        <v>1370</v>
      </c>
      <c r="B993" s="6">
        <v>45233</v>
      </c>
      <c r="C993" s="5" t="s">
        <v>355</v>
      </c>
      <c r="D993" s="5" t="s">
        <v>184</v>
      </c>
      <c r="E993" s="5" t="s">
        <v>112</v>
      </c>
      <c r="F993" s="5" t="s">
        <v>113</v>
      </c>
      <c r="G993" s="5" t="s">
        <v>139</v>
      </c>
      <c r="H993" s="5" t="s">
        <v>76</v>
      </c>
      <c r="I993" s="5" t="s">
        <v>140</v>
      </c>
      <c r="J993" s="5">
        <v>48319</v>
      </c>
      <c r="K993" s="7">
        <v>64780.343628475239</v>
      </c>
      <c r="L993" s="5">
        <v>1</v>
      </c>
      <c r="M993" s="5">
        <v>0</v>
      </c>
      <c r="N993" s="8">
        <f t="shared" si="0"/>
        <v>64780.343628475239</v>
      </c>
      <c r="O993" s="5">
        <f t="shared" si="1"/>
        <v>48319</v>
      </c>
      <c r="P993" s="5">
        <f t="shared" si="2"/>
        <v>16461.343628475239</v>
      </c>
      <c r="Q993" s="5" t="s">
        <v>46</v>
      </c>
      <c r="R993" s="5" t="s">
        <v>32</v>
      </c>
      <c r="S993" s="6">
        <v>45242</v>
      </c>
      <c r="T993" s="5">
        <v>6</v>
      </c>
      <c r="U993" s="5">
        <v>4</v>
      </c>
      <c r="V993" s="5" t="s">
        <v>89</v>
      </c>
      <c r="W993" s="5">
        <f t="shared" si="3"/>
        <v>1</v>
      </c>
    </row>
    <row r="994" spans="1:23" ht="15.75" customHeight="1" x14ac:dyDescent="0.25">
      <c r="A994" s="5" t="s">
        <v>1371</v>
      </c>
      <c r="B994" s="6">
        <v>45233</v>
      </c>
      <c r="C994" s="5" t="s">
        <v>85</v>
      </c>
      <c r="D994" s="5" t="s">
        <v>59</v>
      </c>
      <c r="E994" s="5" t="s">
        <v>69</v>
      </c>
      <c r="F994" s="5" t="s">
        <v>55</v>
      </c>
      <c r="G994" s="5" t="s">
        <v>75</v>
      </c>
      <c r="H994" s="5" t="s">
        <v>76</v>
      </c>
      <c r="I994" s="5" t="s">
        <v>77</v>
      </c>
      <c r="J994" s="5">
        <v>909</v>
      </c>
      <c r="K994" s="7">
        <v>1443.745478981919</v>
      </c>
      <c r="L994" s="5">
        <v>1</v>
      </c>
      <c r="M994" s="5">
        <v>5</v>
      </c>
      <c r="N994" s="8">
        <f t="shared" si="0"/>
        <v>1371.558205032823</v>
      </c>
      <c r="O994" s="5">
        <f t="shared" si="1"/>
        <v>909</v>
      </c>
      <c r="P994" s="5">
        <f t="shared" si="2"/>
        <v>462.55820503282303</v>
      </c>
      <c r="Q994" s="5" t="s">
        <v>39</v>
      </c>
      <c r="R994" s="5" t="s">
        <v>56</v>
      </c>
      <c r="T994" s="5">
        <v>10</v>
      </c>
      <c r="U994" s="5">
        <v>1</v>
      </c>
      <c r="W994" s="5">
        <f t="shared" si="3"/>
        <v>0</v>
      </c>
    </row>
    <row r="995" spans="1:23" ht="15.75" customHeight="1" x14ac:dyDescent="0.25">
      <c r="A995" s="5" t="s">
        <v>1372</v>
      </c>
      <c r="B995" s="6">
        <v>45233</v>
      </c>
      <c r="C995" s="5" t="s">
        <v>252</v>
      </c>
      <c r="D995" s="5" t="s">
        <v>42</v>
      </c>
      <c r="E995" s="5" t="s">
        <v>54</v>
      </c>
      <c r="F995" s="5" t="s">
        <v>55</v>
      </c>
      <c r="G995" s="5" t="s">
        <v>43</v>
      </c>
      <c r="H995" s="5" t="s">
        <v>44</v>
      </c>
      <c r="I995" s="5" t="s">
        <v>45</v>
      </c>
      <c r="J995" s="5">
        <v>300</v>
      </c>
      <c r="K995" s="7">
        <v>443.25790841900465</v>
      </c>
      <c r="L995" s="5">
        <v>2</v>
      </c>
      <c r="M995" s="5">
        <v>20</v>
      </c>
      <c r="N995" s="8">
        <f t="shared" si="0"/>
        <v>709.21265347040753</v>
      </c>
      <c r="O995" s="5">
        <f t="shared" si="1"/>
        <v>600</v>
      </c>
      <c r="P995" s="5">
        <f t="shared" si="2"/>
        <v>109.21265347040753</v>
      </c>
      <c r="Q995" s="5" t="s">
        <v>31</v>
      </c>
      <c r="R995" s="5" t="s">
        <v>32</v>
      </c>
      <c r="S995" s="6">
        <v>45240</v>
      </c>
      <c r="T995" s="5">
        <v>2</v>
      </c>
      <c r="U995" s="5">
        <v>4</v>
      </c>
      <c r="V995" s="5" t="s">
        <v>33</v>
      </c>
      <c r="W995" s="5">
        <f t="shared" si="3"/>
        <v>0</v>
      </c>
    </row>
    <row r="996" spans="1:23" ht="15.75" customHeight="1" x14ac:dyDescent="0.25">
      <c r="A996" s="5" t="s">
        <v>1373</v>
      </c>
      <c r="B996" s="6">
        <v>45234</v>
      </c>
      <c r="C996" s="5" t="s">
        <v>1374</v>
      </c>
      <c r="D996" s="5" t="s">
        <v>116</v>
      </c>
      <c r="E996" s="5" t="s">
        <v>60</v>
      </c>
      <c r="F996" s="5" t="s">
        <v>61</v>
      </c>
      <c r="G996" s="5" t="s">
        <v>119</v>
      </c>
      <c r="H996" s="5" t="s">
        <v>76</v>
      </c>
      <c r="I996" s="5" t="s">
        <v>120</v>
      </c>
      <c r="J996" s="5">
        <v>35794</v>
      </c>
      <c r="K996" s="7">
        <v>46398.38452800591</v>
      </c>
      <c r="L996" s="5">
        <v>2</v>
      </c>
      <c r="M996" s="5">
        <v>0</v>
      </c>
      <c r="N996" s="8">
        <f t="shared" si="0"/>
        <v>92796.769056011821</v>
      </c>
      <c r="O996" s="5">
        <f t="shared" si="1"/>
        <v>71588</v>
      </c>
      <c r="P996" s="5">
        <f t="shared" si="2"/>
        <v>21208.769056011821</v>
      </c>
      <c r="Q996" s="5" t="s">
        <v>39</v>
      </c>
      <c r="R996" s="5" t="s">
        <v>32</v>
      </c>
      <c r="S996" s="6">
        <v>45243</v>
      </c>
      <c r="T996" s="5">
        <v>5</v>
      </c>
      <c r="U996" s="5">
        <v>3</v>
      </c>
      <c r="V996" s="5" t="s">
        <v>33</v>
      </c>
      <c r="W996" s="5">
        <f t="shared" si="3"/>
        <v>0</v>
      </c>
    </row>
    <row r="997" spans="1:23" ht="15.75" customHeight="1" x14ac:dyDescent="0.25">
      <c r="A997" s="5" t="s">
        <v>1375</v>
      </c>
      <c r="B997" s="6">
        <v>45234</v>
      </c>
      <c r="C997" s="5" t="s">
        <v>1376</v>
      </c>
      <c r="D997" s="5" t="s">
        <v>74</v>
      </c>
      <c r="E997" s="5" t="s">
        <v>80</v>
      </c>
      <c r="F997" s="5" t="s">
        <v>80</v>
      </c>
      <c r="G997" s="5" t="s">
        <v>139</v>
      </c>
      <c r="H997" s="5" t="s">
        <v>76</v>
      </c>
      <c r="I997" s="5" t="s">
        <v>140</v>
      </c>
      <c r="J997" s="5">
        <v>32219</v>
      </c>
      <c r="K997" s="7">
        <v>43988.751099569599</v>
      </c>
      <c r="L997" s="5">
        <v>4</v>
      </c>
      <c r="M997" s="5">
        <v>0</v>
      </c>
      <c r="N997" s="8">
        <f t="shared" si="0"/>
        <v>175955.0043982784</v>
      </c>
      <c r="O997" s="5">
        <f t="shared" si="1"/>
        <v>128876</v>
      </c>
      <c r="P997" s="5">
        <f t="shared" si="2"/>
        <v>47079.004398278397</v>
      </c>
      <c r="Q997" s="5" t="s">
        <v>31</v>
      </c>
      <c r="R997" s="5" t="s">
        <v>56</v>
      </c>
      <c r="T997" s="5">
        <v>10</v>
      </c>
      <c r="U997" s="5">
        <v>1</v>
      </c>
      <c r="W997" s="5">
        <f t="shared" si="3"/>
        <v>0</v>
      </c>
    </row>
    <row r="998" spans="1:23" ht="15.75" customHeight="1" x14ac:dyDescent="0.25">
      <c r="A998" s="5" t="s">
        <v>1377</v>
      </c>
      <c r="B998" s="6">
        <v>45234</v>
      </c>
      <c r="C998" s="5" t="s">
        <v>413</v>
      </c>
      <c r="D998" s="5" t="s">
        <v>105</v>
      </c>
      <c r="E998" s="5" t="s">
        <v>112</v>
      </c>
      <c r="F998" s="5" t="s">
        <v>113</v>
      </c>
      <c r="G998" s="5" t="s">
        <v>87</v>
      </c>
      <c r="H998" s="5" t="s">
        <v>29</v>
      </c>
      <c r="I998" s="5" t="s">
        <v>88</v>
      </c>
      <c r="J998" s="5">
        <v>58498</v>
      </c>
      <c r="K998" s="7">
        <v>99635.866840046059</v>
      </c>
      <c r="L998" s="5">
        <v>1</v>
      </c>
      <c r="M998" s="5">
        <v>5</v>
      </c>
      <c r="N998" s="8">
        <f t="shared" si="0"/>
        <v>94654.073498043756</v>
      </c>
      <c r="O998" s="5">
        <f t="shared" si="1"/>
        <v>58498</v>
      </c>
      <c r="P998" s="5">
        <f t="shared" si="2"/>
        <v>36156.073498043756</v>
      </c>
      <c r="Q998" s="5" t="s">
        <v>39</v>
      </c>
      <c r="R998" s="5" t="s">
        <v>56</v>
      </c>
      <c r="T998" s="5">
        <v>8</v>
      </c>
      <c r="U998" s="5">
        <v>4</v>
      </c>
      <c r="W998" s="5">
        <f t="shared" si="3"/>
        <v>0</v>
      </c>
    </row>
    <row r="999" spans="1:23" ht="15.75" customHeight="1" x14ac:dyDescent="0.25">
      <c r="A999" s="5" t="s">
        <v>1378</v>
      </c>
      <c r="B999" s="6">
        <v>45235</v>
      </c>
      <c r="C999" s="5" t="s">
        <v>250</v>
      </c>
      <c r="D999" s="5" t="s">
        <v>116</v>
      </c>
      <c r="E999" s="5" t="s">
        <v>69</v>
      </c>
      <c r="F999" s="5" t="s">
        <v>55</v>
      </c>
      <c r="G999" s="5" t="s">
        <v>43</v>
      </c>
      <c r="H999" s="5" t="s">
        <v>44</v>
      </c>
      <c r="I999" s="5" t="s">
        <v>45</v>
      </c>
      <c r="J999" s="5">
        <v>404</v>
      </c>
      <c r="K999" s="7">
        <v>479.87665216836302</v>
      </c>
      <c r="L999" s="5">
        <v>1</v>
      </c>
      <c r="M999" s="5">
        <v>20</v>
      </c>
      <c r="N999" s="8">
        <f t="shared" si="0"/>
        <v>383.90132173469044</v>
      </c>
      <c r="O999" s="5">
        <f t="shared" si="1"/>
        <v>404</v>
      </c>
      <c r="P999" s="5">
        <f t="shared" si="2"/>
        <v>-20.098678265309559</v>
      </c>
      <c r="Q999" s="5" t="s">
        <v>31</v>
      </c>
      <c r="R999" s="5" t="s">
        <v>56</v>
      </c>
      <c r="T999" s="5">
        <v>8</v>
      </c>
      <c r="U999" s="5">
        <v>2</v>
      </c>
      <c r="W999" s="5">
        <f t="shared" si="3"/>
        <v>0</v>
      </c>
    </row>
    <row r="1000" spans="1:23" ht="15.75" customHeight="1" x14ac:dyDescent="0.25">
      <c r="A1000" s="5" t="s">
        <v>1379</v>
      </c>
      <c r="B1000" s="6">
        <v>45235</v>
      </c>
      <c r="C1000" s="5" t="s">
        <v>237</v>
      </c>
      <c r="D1000" s="5" t="s">
        <v>25</v>
      </c>
      <c r="E1000" s="5" t="s">
        <v>80</v>
      </c>
      <c r="F1000" s="5" t="s">
        <v>80</v>
      </c>
      <c r="G1000" s="5" t="s">
        <v>70</v>
      </c>
      <c r="H1000" s="5" t="s">
        <v>44</v>
      </c>
      <c r="I1000" s="5" t="s">
        <v>71</v>
      </c>
      <c r="J1000" s="5">
        <v>960</v>
      </c>
      <c r="K1000" s="7">
        <v>1603.6431049543539</v>
      </c>
      <c r="L1000" s="5">
        <v>3</v>
      </c>
      <c r="M1000" s="5">
        <v>5</v>
      </c>
      <c r="N1000" s="8">
        <f t="shared" si="0"/>
        <v>4570.3828491199092</v>
      </c>
      <c r="O1000" s="5">
        <f t="shared" si="1"/>
        <v>2880</v>
      </c>
      <c r="P1000" s="5">
        <f t="shared" si="2"/>
        <v>1690.3828491199092</v>
      </c>
      <c r="Q1000" s="5" t="s">
        <v>83</v>
      </c>
      <c r="R1000" s="5" t="s">
        <v>32</v>
      </c>
      <c r="S1000" s="6">
        <v>45243</v>
      </c>
      <c r="T1000" s="5">
        <v>3</v>
      </c>
      <c r="U1000" s="5">
        <v>4</v>
      </c>
      <c r="V1000" s="5" t="s">
        <v>33</v>
      </c>
      <c r="W1000" s="5">
        <f t="shared" si="3"/>
        <v>0</v>
      </c>
    </row>
    <row r="1001" spans="1:23" ht="15.75" customHeight="1" x14ac:dyDescent="0.25">
      <c r="A1001" s="5" t="s">
        <v>1380</v>
      </c>
      <c r="B1001" s="6">
        <v>45235</v>
      </c>
      <c r="C1001" s="5" t="s">
        <v>1152</v>
      </c>
      <c r="D1001" s="5" t="s">
        <v>116</v>
      </c>
      <c r="E1001" s="5" t="s">
        <v>69</v>
      </c>
      <c r="F1001" s="5" t="s">
        <v>55</v>
      </c>
      <c r="G1001" s="5" t="s">
        <v>139</v>
      </c>
      <c r="H1001" s="5" t="s">
        <v>76</v>
      </c>
      <c r="I1001" s="5" t="s">
        <v>140</v>
      </c>
      <c r="J1001" s="5">
        <v>46598</v>
      </c>
      <c r="K1001" s="7">
        <v>55765.935425969321</v>
      </c>
      <c r="L1001" s="5">
        <v>3</v>
      </c>
      <c r="M1001" s="5">
        <v>5</v>
      </c>
      <c r="N1001" s="8">
        <f t="shared" si="0"/>
        <v>158932.91596401256</v>
      </c>
      <c r="O1001" s="5">
        <f t="shared" si="1"/>
        <v>139794</v>
      </c>
      <c r="P1001" s="5">
        <f t="shared" si="2"/>
        <v>19138.915964012558</v>
      </c>
      <c r="Q1001" s="5" t="s">
        <v>31</v>
      </c>
      <c r="R1001" s="5" t="s">
        <v>32</v>
      </c>
      <c r="S1001" s="6">
        <v>45245</v>
      </c>
      <c r="T1001" s="5">
        <v>6</v>
      </c>
      <c r="U1001" s="5">
        <v>2</v>
      </c>
      <c r="V1001" s="5" t="s">
        <v>33</v>
      </c>
      <c r="W1001" s="5">
        <f t="shared" si="3"/>
        <v>0</v>
      </c>
    </row>
    <row r="1002" spans="1:23" ht="15.75" customHeight="1" x14ac:dyDescent="0.25">
      <c r="A1002" s="5" t="s">
        <v>1381</v>
      </c>
      <c r="B1002" s="6">
        <v>45236</v>
      </c>
      <c r="C1002" s="5" t="s">
        <v>156</v>
      </c>
      <c r="D1002" s="5" t="s">
        <v>116</v>
      </c>
      <c r="E1002" s="5" t="s">
        <v>49</v>
      </c>
      <c r="F1002" s="5" t="s">
        <v>50</v>
      </c>
      <c r="G1002" s="5" t="s">
        <v>70</v>
      </c>
      <c r="H1002" s="5" t="s">
        <v>44</v>
      </c>
      <c r="I1002" s="5" t="s">
        <v>71</v>
      </c>
      <c r="J1002" s="5">
        <v>1017</v>
      </c>
      <c r="K1002" s="7">
        <v>1601.2958785261512</v>
      </c>
      <c r="L1002" s="5">
        <v>3</v>
      </c>
      <c r="M1002" s="5">
        <v>15</v>
      </c>
      <c r="N1002" s="8">
        <f t="shared" si="0"/>
        <v>4083.3044902416859</v>
      </c>
      <c r="O1002" s="5">
        <f t="shared" si="1"/>
        <v>3051</v>
      </c>
      <c r="P1002" s="5">
        <f t="shared" si="2"/>
        <v>1032.3044902416859</v>
      </c>
      <c r="Q1002" s="5" t="s">
        <v>83</v>
      </c>
      <c r="R1002" s="5" t="s">
        <v>56</v>
      </c>
      <c r="T1002" s="5">
        <v>10</v>
      </c>
      <c r="U1002" s="5">
        <v>1</v>
      </c>
      <c r="W1002" s="5">
        <f t="shared" si="3"/>
        <v>0</v>
      </c>
    </row>
    <row r="1003" spans="1:23" ht="15.75" customHeight="1" x14ac:dyDescent="0.25">
      <c r="A1003" s="5" t="s">
        <v>1382</v>
      </c>
      <c r="B1003" s="6">
        <v>45236</v>
      </c>
      <c r="C1003" s="5" t="s">
        <v>532</v>
      </c>
      <c r="D1003" s="5" t="s">
        <v>135</v>
      </c>
      <c r="E1003" s="5" t="s">
        <v>60</v>
      </c>
      <c r="F1003" s="5" t="s">
        <v>61</v>
      </c>
      <c r="G1003" s="5" t="s">
        <v>124</v>
      </c>
      <c r="H1003" s="5" t="s">
        <v>76</v>
      </c>
      <c r="I1003" s="5" t="s">
        <v>125</v>
      </c>
      <c r="J1003" s="5">
        <v>82922</v>
      </c>
      <c r="K1003" s="7">
        <v>108878.15782182578</v>
      </c>
      <c r="L1003" s="5">
        <v>3</v>
      </c>
      <c r="M1003" s="5">
        <v>0</v>
      </c>
      <c r="N1003" s="8">
        <f t="shared" si="0"/>
        <v>326634.47346547735</v>
      </c>
      <c r="O1003" s="5">
        <f t="shared" si="1"/>
        <v>248766</v>
      </c>
      <c r="P1003" s="5">
        <f t="shared" si="2"/>
        <v>77868.473465477349</v>
      </c>
      <c r="Q1003" s="5" t="s">
        <v>46</v>
      </c>
      <c r="R1003" s="5" t="s">
        <v>56</v>
      </c>
      <c r="T1003" s="5">
        <v>8</v>
      </c>
      <c r="U1003" s="5">
        <v>4</v>
      </c>
      <c r="W1003" s="5">
        <f t="shared" si="3"/>
        <v>0</v>
      </c>
    </row>
    <row r="1004" spans="1:23" ht="15.75" customHeight="1" x14ac:dyDescent="0.25">
      <c r="A1004" s="5" t="s">
        <v>1383</v>
      </c>
      <c r="B1004" s="6">
        <v>45236</v>
      </c>
      <c r="C1004" s="5" t="s">
        <v>1189</v>
      </c>
      <c r="D1004" s="5" t="s">
        <v>74</v>
      </c>
      <c r="E1004" s="5" t="s">
        <v>37</v>
      </c>
      <c r="F1004" s="5" t="s">
        <v>38</v>
      </c>
      <c r="G1004" s="5" t="s">
        <v>43</v>
      </c>
      <c r="H1004" s="5" t="s">
        <v>44</v>
      </c>
      <c r="I1004" s="5" t="s">
        <v>45</v>
      </c>
      <c r="J1004" s="5">
        <v>454</v>
      </c>
      <c r="K1004" s="7">
        <v>732.0528401965812</v>
      </c>
      <c r="L1004" s="5">
        <v>3</v>
      </c>
      <c r="M1004" s="5">
        <v>5</v>
      </c>
      <c r="N1004" s="8">
        <f t="shared" si="0"/>
        <v>2086.3505945602565</v>
      </c>
      <c r="O1004" s="5">
        <f t="shared" si="1"/>
        <v>1362</v>
      </c>
      <c r="P1004" s="5">
        <f t="shared" si="2"/>
        <v>724.35059456025647</v>
      </c>
      <c r="Q1004" s="5" t="s">
        <v>83</v>
      </c>
      <c r="R1004" s="5" t="s">
        <v>32</v>
      </c>
      <c r="S1004" s="6">
        <v>45244</v>
      </c>
      <c r="T1004" s="5">
        <v>2</v>
      </c>
      <c r="U1004" s="5">
        <v>5</v>
      </c>
      <c r="V1004" s="5" t="s">
        <v>33</v>
      </c>
      <c r="W1004" s="5">
        <f t="shared" si="3"/>
        <v>0</v>
      </c>
    </row>
    <row r="1005" spans="1:23" ht="15.75" customHeight="1" x14ac:dyDescent="0.25">
      <c r="A1005" s="5" t="s">
        <v>1384</v>
      </c>
      <c r="B1005" s="6">
        <v>45237</v>
      </c>
      <c r="C1005" s="5" t="s">
        <v>659</v>
      </c>
      <c r="D1005" s="5" t="s">
        <v>105</v>
      </c>
      <c r="E1005" s="5" t="s">
        <v>112</v>
      </c>
      <c r="F1005" s="5" t="s">
        <v>113</v>
      </c>
      <c r="G1005" s="5" t="s">
        <v>28</v>
      </c>
      <c r="H1005" s="5" t="s">
        <v>29</v>
      </c>
      <c r="I1005" s="5" t="s">
        <v>30</v>
      </c>
      <c r="J1005" s="5">
        <v>4959</v>
      </c>
      <c r="K1005" s="7">
        <v>5214.6769250869283</v>
      </c>
      <c r="L1005" s="5">
        <v>3</v>
      </c>
      <c r="M1005" s="5">
        <v>5</v>
      </c>
      <c r="N1005" s="8">
        <f t="shared" si="0"/>
        <v>14861.829236497744</v>
      </c>
      <c r="O1005" s="5">
        <f t="shared" si="1"/>
        <v>14877</v>
      </c>
      <c r="P1005" s="5">
        <f t="shared" si="2"/>
        <v>-15.170763502255795</v>
      </c>
      <c r="Q1005" s="5" t="s">
        <v>83</v>
      </c>
      <c r="R1005" s="5" t="s">
        <v>56</v>
      </c>
      <c r="T1005" s="5">
        <v>7</v>
      </c>
      <c r="U1005" s="5">
        <v>3</v>
      </c>
      <c r="W1005" s="5">
        <f t="shared" si="3"/>
        <v>0</v>
      </c>
    </row>
    <row r="1006" spans="1:23" ht="15.75" customHeight="1" x14ac:dyDescent="0.25">
      <c r="A1006" s="5" t="s">
        <v>1385</v>
      </c>
      <c r="B1006" s="6">
        <v>45237</v>
      </c>
      <c r="C1006" s="5" t="s">
        <v>687</v>
      </c>
      <c r="D1006" s="5" t="s">
        <v>25</v>
      </c>
      <c r="E1006" s="5" t="s">
        <v>80</v>
      </c>
      <c r="F1006" s="5" t="s">
        <v>80</v>
      </c>
      <c r="G1006" s="5" t="s">
        <v>87</v>
      </c>
      <c r="H1006" s="5" t="s">
        <v>29</v>
      </c>
      <c r="I1006" s="5" t="s">
        <v>88</v>
      </c>
      <c r="J1006" s="5">
        <v>51539</v>
      </c>
      <c r="K1006" s="7">
        <v>90945.214015188089</v>
      </c>
      <c r="L1006" s="5">
        <v>3</v>
      </c>
      <c r="M1006" s="5">
        <v>10</v>
      </c>
      <c r="N1006" s="8">
        <f t="shared" si="0"/>
        <v>245552.07784100782</v>
      </c>
      <c r="O1006" s="5">
        <f t="shared" si="1"/>
        <v>154617</v>
      </c>
      <c r="P1006" s="5">
        <f t="shared" si="2"/>
        <v>90935.07784100782</v>
      </c>
      <c r="Q1006" s="5" t="s">
        <v>39</v>
      </c>
      <c r="R1006" s="5" t="s">
        <v>56</v>
      </c>
      <c r="T1006" s="5">
        <v>10</v>
      </c>
      <c r="U1006" s="5">
        <v>1</v>
      </c>
      <c r="W1006" s="5">
        <f t="shared" si="3"/>
        <v>0</v>
      </c>
    </row>
    <row r="1007" spans="1:23" ht="15.75" customHeight="1" x14ac:dyDescent="0.25">
      <c r="A1007" s="5" t="s">
        <v>1386</v>
      </c>
      <c r="B1007" s="6">
        <v>45237</v>
      </c>
      <c r="C1007" s="5" t="s">
        <v>225</v>
      </c>
      <c r="D1007" s="5" t="s">
        <v>138</v>
      </c>
      <c r="E1007" s="5" t="s">
        <v>80</v>
      </c>
      <c r="F1007" s="5" t="s">
        <v>80</v>
      </c>
      <c r="G1007" s="5" t="s">
        <v>81</v>
      </c>
      <c r="H1007" s="5" t="s">
        <v>44</v>
      </c>
      <c r="I1007" s="5" t="s">
        <v>82</v>
      </c>
      <c r="J1007" s="5">
        <v>1081</v>
      </c>
      <c r="K1007" s="7">
        <v>1112.1045252192835</v>
      </c>
      <c r="L1007" s="5">
        <v>4</v>
      </c>
      <c r="M1007" s="5">
        <v>5</v>
      </c>
      <c r="N1007" s="8">
        <f t="shared" si="0"/>
        <v>4225.9971958332771</v>
      </c>
      <c r="O1007" s="5">
        <f t="shared" si="1"/>
        <v>4324</v>
      </c>
      <c r="P1007" s="5">
        <f t="shared" si="2"/>
        <v>-98.002804166722854</v>
      </c>
      <c r="Q1007" s="5" t="s">
        <v>39</v>
      </c>
      <c r="R1007" s="5" t="s">
        <v>32</v>
      </c>
      <c r="S1007" s="6">
        <v>45245</v>
      </c>
      <c r="T1007" s="5">
        <v>1</v>
      </c>
      <c r="U1007" s="5">
        <v>5</v>
      </c>
      <c r="V1007" s="5" t="s">
        <v>33</v>
      </c>
      <c r="W1007" s="5">
        <f t="shared" si="3"/>
        <v>0</v>
      </c>
    </row>
    <row r="1008" spans="1:23" ht="15.75" customHeight="1" x14ac:dyDescent="0.25">
      <c r="A1008" s="5" t="s">
        <v>1387</v>
      </c>
      <c r="B1008" s="6">
        <v>45237</v>
      </c>
      <c r="C1008" s="5" t="s">
        <v>506</v>
      </c>
      <c r="D1008" s="5" t="s">
        <v>181</v>
      </c>
      <c r="E1008" s="5" t="s">
        <v>54</v>
      </c>
      <c r="F1008" s="5" t="s">
        <v>55</v>
      </c>
      <c r="G1008" s="5" t="s">
        <v>97</v>
      </c>
      <c r="H1008" s="5" t="s">
        <v>98</v>
      </c>
      <c r="I1008" s="5" t="s">
        <v>99</v>
      </c>
      <c r="J1008" s="5">
        <v>541</v>
      </c>
      <c r="K1008" s="7">
        <v>725.60926557999426</v>
      </c>
      <c r="L1008" s="5">
        <v>4</v>
      </c>
      <c r="M1008" s="5">
        <v>15</v>
      </c>
      <c r="N1008" s="8">
        <f t="shared" si="0"/>
        <v>2467.0715029719804</v>
      </c>
      <c r="O1008" s="5">
        <f t="shared" si="1"/>
        <v>2164</v>
      </c>
      <c r="P1008" s="5">
        <f t="shared" si="2"/>
        <v>303.07150297198041</v>
      </c>
      <c r="Q1008" s="5" t="s">
        <v>39</v>
      </c>
      <c r="R1008" s="5" t="s">
        <v>32</v>
      </c>
      <c r="S1008" s="6">
        <v>45243</v>
      </c>
      <c r="T1008" s="5">
        <v>1</v>
      </c>
      <c r="U1008" s="5">
        <v>5</v>
      </c>
      <c r="V1008" s="5" t="s">
        <v>33</v>
      </c>
      <c r="W1008" s="5">
        <f t="shared" si="3"/>
        <v>0</v>
      </c>
    </row>
    <row r="1009" spans="1:23" ht="15.75" customHeight="1" x14ac:dyDescent="0.25">
      <c r="A1009" s="5" t="s">
        <v>1388</v>
      </c>
      <c r="B1009" s="6">
        <v>45237</v>
      </c>
      <c r="C1009" s="5" t="s">
        <v>161</v>
      </c>
      <c r="D1009" s="5" t="s">
        <v>105</v>
      </c>
      <c r="E1009" s="5" t="s">
        <v>112</v>
      </c>
      <c r="F1009" s="5" t="s">
        <v>113</v>
      </c>
      <c r="G1009" s="5" t="s">
        <v>81</v>
      </c>
      <c r="H1009" s="5" t="s">
        <v>44</v>
      </c>
      <c r="I1009" s="5" t="s">
        <v>82</v>
      </c>
      <c r="J1009" s="5">
        <v>1968</v>
      </c>
      <c r="K1009" s="7">
        <v>2350.74691925872</v>
      </c>
      <c r="L1009" s="5">
        <v>5</v>
      </c>
      <c r="M1009" s="5">
        <v>20</v>
      </c>
      <c r="N1009" s="8">
        <f t="shared" si="0"/>
        <v>9402.9876770348801</v>
      </c>
      <c r="O1009" s="5">
        <f t="shared" si="1"/>
        <v>9840</v>
      </c>
      <c r="P1009" s="5">
        <f t="shared" si="2"/>
        <v>-437.01232296511989</v>
      </c>
      <c r="Q1009" s="5" t="s">
        <v>39</v>
      </c>
      <c r="R1009" s="5" t="s">
        <v>56</v>
      </c>
      <c r="T1009" s="5">
        <v>9</v>
      </c>
      <c r="U1009" s="5">
        <v>1</v>
      </c>
      <c r="W1009" s="5">
        <f t="shared" si="3"/>
        <v>0</v>
      </c>
    </row>
    <row r="1010" spans="1:23" ht="15.75" customHeight="1" x14ac:dyDescent="0.25">
      <c r="A1010" s="5" t="s">
        <v>1389</v>
      </c>
      <c r="B1010" s="6">
        <v>45238</v>
      </c>
      <c r="C1010" s="5" t="s">
        <v>413</v>
      </c>
      <c r="D1010" s="5" t="s">
        <v>150</v>
      </c>
      <c r="E1010" s="5" t="s">
        <v>80</v>
      </c>
      <c r="F1010" s="5" t="s">
        <v>80</v>
      </c>
      <c r="G1010" s="5" t="s">
        <v>28</v>
      </c>
      <c r="H1010" s="5" t="s">
        <v>29</v>
      </c>
      <c r="I1010" s="5" t="s">
        <v>30</v>
      </c>
      <c r="J1010" s="5">
        <v>4663</v>
      </c>
      <c r="K1010" s="7">
        <v>7606.4764557459921</v>
      </c>
      <c r="L1010" s="5">
        <v>5</v>
      </c>
      <c r="M1010" s="5">
        <v>5</v>
      </c>
      <c r="N1010" s="8">
        <f t="shared" si="0"/>
        <v>36130.763164793461</v>
      </c>
      <c r="O1010" s="5">
        <f t="shared" si="1"/>
        <v>23315</v>
      </c>
      <c r="P1010" s="5">
        <f t="shared" si="2"/>
        <v>12815.763164793461</v>
      </c>
      <c r="Q1010" s="5" t="s">
        <v>39</v>
      </c>
      <c r="R1010" s="5" t="s">
        <v>32</v>
      </c>
      <c r="S1010" s="6">
        <v>45251</v>
      </c>
      <c r="T1010" s="5">
        <v>6</v>
      </c>
      <c r="U1010" s="5">
        <v>3</v>
      </c>
      <c r="V1010" s="5" t="s">
        <v>33</v>
      </c>
      <c r="W1010" s="5">
        <f t="shared" si="3"/>
        <v>0</v>
      </c>
    </row>
    <row r="1011" spans="1:23" ht="15.75" customHeight="1" x14ac:dyDescent="0.25">
      <c r="A1011" s="5" t="s">
        <v>1390</v>
      </c>
      <c r="B1011" s="6">
        <v>45238</v>
      </c>
      <c r="C1011" s="5" t="s">
        <v>542</v>
      </c>
      <c r="D1011" s="5" t="s">
        <v>184</v>
      </c>
      <c r="E1011" s="5" t="s">
        <v>80</v>
      </c>
      <c r="F1011" s="5" t="s">
        <v>80</v>
      </c>
      <c r="G1011" s="5" t="s">
        <v>119</v>
      </c>
      <c r="H1011" s="5" t="s">
        <v>76</v>
      </c>
      <c r="I1011" s="5" t="s">
        <v>120</v>
      </c>
      <c r="J1011" s="5">
        <v>77801</v>
      </c>
      <c r="K1011" s="7">
        <v>116217.89096922673</v>
      </c>
      <c r="L1011" s="5">
        <v>1</v>
      </c>
      <c r="M1011" s="5">
        <v>0</v>
      </c>
      <c r="N1011" s="8">
        <f t="shared" si="0"/>
        <v>116217.89096922673</v>
      </c>
      <c r="O1011" s="5">
        <f t="shared" si="1"/>
        <v>77801</v>
      </c>
      <c r="P1011" s="5">
        <f t="shared" si="2"/>
        <v>38416.890969226733</v>
      </c>
      <c r="Q1011" s="5" t="s">
        <v>39</v>
      </c>
      <c r="R1011" s="5" t="s">
        <v>56</v>
      </c>
      <c r="T1011" s="5">
        <v>9</v>
      </c>
      <c r="U1011" s="5">
        <v>1</v>
      </c>
      <c r="W1011" s="5">
        <f t="shared" si="3"/>
        <v>0</v>
      </c>
    </row>
    <row r="1012" spans="1:23" ht="15.75" customHeight="1" x14ac:dyDescent="0.25">
      <c r="A1012" s="5" t="s">
        <v>1391</v>
      </c>
      <c r="B1012" s="6">
        <v>45238</v>
      </c>
      <c r="C1012" s="5" t="s">
        <v>301</v>
      </c>
      <c r="D1012" s="5" t="s">
        <v>74</v>
      </c>
      <c r="E1012" s="5" t="s">
        <v>37</v>
      </c>
      <c r="F1012" s="5" t="s">
        <v>38</v>
      </c>
      <c r="G1012" s="5" t="s">
        <v>124</v>
      </c>
      <c r="H1012" s="5" t="s">
        <v>76</v>
      </c>
      <c r="I1012" s="5" t="s">
        <v>125</v>
      </c>
      <c r="J1012" s="5">
        <v>78536</v>
      </c>
      <c r="K1012" s="7">
        <v>96207.08514104264</v>
      </c>
      <c r="L1012" s="5">
        <v>5</v>
      </c>
      <c r="M1012" s="5">
        <v>0</v>
      </c>
      <c r="N1012" s="8">
        <f t="shared" si="0"/>
        <v>481035.42570521322</v>
      </c>
      <c r="O1012" s="5">
        <f t="shared" si="1"/>
        <v>392680</v>
      </c>
      <c r="P1012" s="5">
        <f t="shared" si="2"/>
        <v>88355.425705213216</v>
      </c>
      <c r="Q1012" s="5" t="s">
        <v>83</v>
      </c>
      <c r="R1012" s="5" t="s">
        <v>32</v>
      </c>
      <c r="S1012" s="6">
        <v>45251</v>
      </c>
      <c r="T1012" s="5">
        <v>6</v>
      </c>
      <c r="U1012" s="5">
        <v>2</v>
      </c>
      <c r="V1012" s="5" t="s">
        <v>33</v>
      </c>
      <c r="W1012" s="5">
        <f t="shared" si="3"/>
        <v>0</v>
      </c>
    </row>
    <row r="1013" spans="1:23" ht="15.75" customHeight="1" x14ac:dyDescent="0.25">
      <c r="A1013" s="5" t="s">
        <v>1392</v>
      </c>
      <c r="B1013" s="6">
        <v>45239</v>
      </c>
      <c r="C1013" s="5" t="s">
        <v>624</v>
      </c>
      <c r="D1013" s="5" t="s">
        <v>105</v>
      </c>
      <c r="E1013" s="5" t="s">
        <v>69</v>
      </c>
      <c r="F1013" s="5" t="s">
        <v>55</v>
      </c>
      <c r="G1013" s="5" t="s">
        <v>70</v>
      </c>
      <c r="H1013" s="5" t="s">
        <v>44</v>
      </c>
      <c r="I1013" s="5" t="s">
        <v>71</v>
      </c>
      <c r="J1013" s="5">
        <v>512</v>
      </c>
      <c r="K1013" s="7">
        <v>613.2226663516127</v>
      </c>
      <c r="L1013" s="5">
        <v>3</v>
      </c>
      <c r="M1013" s="5">
        <v>5</v>
      </c>
      <c r="N1013" s="8">
        <f t="shared" si="0"/>
        <v>1747.6845991020962</v>
      </c>
      <c r="O1013" s="5">
        <f t="shared" si="1"/>
        <v>1536</v>
      </c>
      <c r="P1013" s="5">
        <f t="shared" si="2"/>
        <v>211.68459910209617</v>
      </c>
      <c r="Q1013" s="5" t="s">
        <v>46</v>
      </c>
      <c r="R1013" s="5" t="s">
        <v>56</v>
      </c>
      <c r="T1013" s="5">
        <v>7</v>
      </c>
      <c r="U1013" s="5">
        <v>2</v>
      </c>
      <c r="W1013" s="5">
        <f t="shared" si="3"/>
        <v>0</v>
      </c>
    </row>
    <row r="1014" spans="1:23" ht="15.75" customHeight="1" x14ac:dyDescent="0.25">
      <c r="A1014" s="5" t="s">
        <v>1393</v>
      </c>
      <c r="B1014" s="6">
        <v>45239</v>
      </c>
      <c r="C1014" s="5" t="s">
        <v>584</v>
      </c>
      <c r="D1014" s="5" t="s">
        <v>36</v>
      </c>
      <c r="E1014" s="5" t="s">
        <v>37</v>
      </c>
      <c r="F1014" s="5" t="s">
        <v>38</v>
      </c>
      <c r="G1014" s="5" t="s">
        <v>28</v>
      </c>
      <c r="H1014" s="5" t="s">
        <v>29</v>
      </c>
      <c r="I1014" s="5" t="s">
        <v>30</v>
      </c>
      <c r="J1014" s="5">
        <v>6184</v>
      </c>
      <c r="K1014" s="7">
        <v>10939.642070221465</v>
      </c>
      <c r="L1014" s="5">
        <v>3</v>
      </c>
      <c r="M1014" s="5">
        <v>5</v>
      </c>
      <c r="N1014" s="8">
        <f t="shared" si="0"/>
        <v>31177.979900131173</v>
      </c>
      <c r="O1014" s="5">
        <f t="shared" si="1"/>
        <v>18552</v>
      </c>
      <c r="P1014" s="5">
        <f t="shared" si="2"/>
        <v>12625.979900131173</v>
      </c>
      <c r="Q1014" s="5" t="s">
        <v>46</v>
      </c>
      <c r="R1014" s="5" t="s">
        <v>56</v>
      </c>
      <c r="T1014" s="5">
        <v>9</v>
      </c>
      <c r="U1014" s="5">
        <v>1</v>
      </c>
      <c r="W1014" s="5">
        <f t="shared" si="3"/>
        <v>0</v>
      </c>
    </row>
    <row r="1015" spans="1:23" ht="15.75" customHeight="1" x14ac:dyDescent="0.25">
      <c r="A1015" s="5" t="s">
        <v>1394</v>
      </c>
      <c r="B1015" s="6">
        <v>45239</v>
      </c>
      <c r="C1015" s="5" t="s">
        <v>259</v>
      </c>
      <c r="D1015" s="5" t="s">
        <v>208</v>
      </c>
      <c r="E1015" s="5" t="s">
        <v>80</v>
      </c>
      <c r="F1015" s="5" t="s">
        <v>80</v>
      </c>
      <c r="G1015" s="5" t="s">
        <v>92</v>
      </c>
      <c r="H1015" s="5" t="s">
        <v>44</v>
      </c>
      <c r="I1015" s="5" t="s">
        <v>45</v>
      </c>
      <c r="J1015" s="5">
        <v>1001</v>
      </c>
      <c r="K1015" s="7">
        <v>1746.9885776744293</v>
      </c>
      <c r="L1015" s="5">
        <v>4</v>
      </c>
      <c r="M1015" s="5">
        <v>20</v>
      </c>
      <c r="N1015" s="8">
        <f t="shared" si="0"/>
        <v>5590.3634485581742</v>
      </c>
      <c r="O1015" s="5">
        <f t="shared" si="1"/>
        <v>4004</v>
      </c>
      <c r="P1015" s="5">
        <f t="shared" si="2"/>
        <v>1586.3634485581742</v>
      </c>
      <c r="Q1015" s="5" t="s">
        <v>46</v>
      </c>
      <c r="R1015" s="5" t="s">
        <v>56</v>
      </c>
      <c r="T1015" s="5">
        <v>7</v>
      </c>
      <c r="U1015" s="5">
        <v>2</v>
      </c>
      <c r="W1015" s="5">
        <f t="shared" si="3"/>
        <v>0</v>
      </c>
    </row>
    <row r="1016" spans="1:23" ht="15.75" customHeight="1" x14ac:dyDescent="0.25">
      <c r="A1016" s="5" t="s">
        <v>1395</v>
      </c>
      <c r="B1016" s="6">
        <v>45239</v>
      </c>
      <c r="C1016" s="5" t="s">
        <v>1084</v>
      </c>
      <c r="D1016" s="5" t="s">
        <v>188</v>
      </c>
      <c r="E1016" s="5" t="s">
        <v>60</v>
      </c>
      <c r="F1016" s="5" t="s">
        <v>61</v>
      </c>
      <c r="G1016" s="5" t="s">
        <v>87</v>
      </c>
      <c r="H1016" s="5" t="s">
        <v>29</v>
      </c>
      <c r="I1016" s="5" t="s">
        <v>88</v>
      </c>
      <c r="J1016" s="5">
        <v>38171</v>
      </c>
      <c r="K1016" s="7">
        <v>46067.821707930583</v>
      </c>
      <c r="L1016" s="5">
        <v>1</v>
      </c>
      <c r="M1016" s="5">
        <v>5</v>
      </c>
      <c r="N1016" s="8">
        <f t="shared" si="0"/>
        <v>43764.430622534055</v>
      </c>
      <c r="O1016" s="5">
        <f t="shared" si="1"/>
        <v>38171</v>
      </c>
      <c r="P1016" s="5">
        <f t="shared" si="2"/>
        <v>5593.4306225340551</v>
      </c>
      <c r="Q1016" s="5" t="s">
        <v>31</v>
      </c>
      <c r="R1016" s="5" t="s">
        <v>56</v>
      </c>
      <c r="T1016" s="5">
        <v>9</v>
      </c>
      <c r="U1016" s="5">
        <v>1</v>
      </c>
      <c r="W1016" s="5">
        <f t="shared" si="3"/>
        <v>0</v>
      </c>
    </row>
    <row r="1017" spans="1:23" ht="15.75" customHeight="1" x14ac:dyDescent="0.25">
      <c r="A1017" s="5" t="s">
        <v>1396</v>
      </c>
      <c r="B1017" s="6">
        <v>45239</v>
      </c>
      <c r="C1017" s="5" t="s">
        <v>309</v>
      </c>
      <c r="D1017" s="5" t="s">
        <v>135</v>
      </c>
      <c r="E1017" s="5" t="s">
        <v>80</v>
      </c>
      <c r="F1017" s="5" t="s">
        <v>80</v>
      </c>
      <c r="G1017" s="5" t="s">
        <v>75</v>
      </c>
      <c r="H1017" s="5" t="s">
        <v>76</v>
      </c>
      <c r="I1017" s="5" t="s">
        <v>77</v>
      </c>
      <c r="J1017" s="5">
        <v>1257</v>
      </c>
      <c r="K1017" s="7">
        <v>2170.5148008299011</v>
      </c>
      <c r="L1017" s="5">
        <v>5</v>
      </c>
      <c r="M1017" s="5">
        <v>5</v>
      </c>
      <c r="N1017" s="8">
        <f t="shared" si="0"/>
        <v>10309.94530394203</v>
      </c>
      <c r="O1017" s="5">
        <f t="shared" si="1"/>
        <v>6285</v>
      </c>
      <c r="P1017" s="5">
        <f t="shared" si="2"/>
        <v>4024.9453039420296</v>
      </c>
      <c r="Q1017" s="5" t="s">
        <v>39</v>
      </c>
      <c r="R1017" s="5" t="s">
        <v>32</v>
      </c>
      <c r="S1017" s="6">
        <v>45247</v>
      </c>
      <c r="T1017" s="5">
        <v>4</v>
      </c>
      <c r="U1017" s="5">
        <v>3</v>
      </c>
      <c r="V1017" s="5" t="s">
        <v>33</v>
      </c>
      <c r="W1017" s="5">
        <f t="shared" si="3"/>
        <v>0</v>
      </c>
    </row>
    <row r="1018" spans="1:23" ht="15.75" customHeight="1" x14ac:dyDescent="0.25">
      <c r="A1018" s="5" t="s">
        <v>1397</v>
      </c>
      <c r="B1018" s="6">
        <v>45239</v>
      </c>
      <c r="C1018" s="5" t="s">
        <v>649</v>
      </c>
      <c r="D1018" s="5" t="s">
        <v>116</v>
      </c>
      <c r="E1018" s="5" t="s">
        <v>112</v>
      </c>
      <c r="F1018" s="5" t="s">
        <v>113</v>
      </c>
      <c r="G1018" s="5" t="s">
        <v>43</v>
      </c>
      <c r="H1018" s="5" t="s">
        <v>44</v>
      </c>
      <c r="I1018" s="5" t="s">
        <v>45</v>
      </c>
      <c r="J1018" s="5">
        <v>744</v>
      </c>
      <c r="K1018" s="7">
        <v>1240.207199936651</v>
      </c>
      <c r="L1018" s="5">
        <v>5</v>
      </c>
      <c r="M1018" s="5">
        <v>5</v>
      </c>
      <c r="N1018" s="8">
        <f t="shared" si="0"/>
        <v>5890.9841996990917</v>
      </c>
      <c r="O1018" s="5">
        <f t="shared" si="1"/>
        <v>3720</v>
      </c>
      <c r="P1018" s="5">
        <f t="shared" si="2"/>
        <v>2170.9841996990917</v>
      </c>
      <c r="Q1018" s="5" t="s">
        <v>83</v>
      </c>
      <c r="R1018" s="5" t="s">
        <v>32</v>
      </c>
      <c r="S1018" s="6">
        <v>45249</v>
      </c>
      <c r="T1018" s="5">
        <v>5</v>
      </c>
      <c r="U1018" s="5">
        <v>3</v>
      </c>
      <c r="V1018" s="5" t="s">
        <v>33</v>
      </c>
      <c r="W1018" s="5">
        <f t="shared" si="3"/>
        <v>0</v>
      </c>
    </row>
    <row r="1019" spans="1:23" ht="15.75" customHeight="1" x14ac:dyDescent="0.25">
      <c r="A1019" s="5" t="s">
        <v>1398</v>
      </c>
      <c r="B1019" s="6">
        <v>45240</v>
      </c>
      <c r="C1019" s="5" t="s">
        <v>63</v>
      </c>
      <c r="D1019" s="5" t="s">
        <v>86</v>
      </c>
      <c r="E1019" s="5" t="s">
        <v>26</v>
      </c>
      <c r="F1019" s="5" t="s">
        <v>27</v>
      </c>
      <c r="G1019" s="5" t="s">
        <v>81</v>
      </c>
      <c r="H1019" s="5" t="s">
        <v>44</v>
      </c>
      <c r="I1019" s="5" t="s">
        <v>82</v>
      </c>
      <c r="J1019" s="5">
        <v>1725</v>
      </c>
      <c r="K1019" s="7">
        <v>2648.2232024181453</v>
      </c>
      <c r="L1019" s="5">
        <v>5</v>
      </c>
      <c r="M1019" s="5">
        <v>5</v>
      </c>
      <c r="N1019" s="8">
        <f t="shared" si="0"/>
        <v>12579.060211486189</v>
      </c>
      <c r="O1019" s="5">
        <f t="shared" si="1"/>
        <v>8625</v>
      </c>
      <c r="P1019" s="5">
        <f t="shared" si="2"/>
        <v>3954.0602114861886</v>
      </c>
      <c r="Q1019" s="5" t="s">
        <v>46</v>
      </c>
      <c r="R1019" s="5" t="s">
        <v>32</v>
      </c>
      <c r="S1019" s="6">
        <v>45251</v>
      </c>
      <c r="T1019" s="5">
        <v>6</v>
      </c>
      <c r="U1019" s="5">
        <v>2</v>
      </c>
      <c r="V1019" s="5" t="s">
        <v>33</v>
      </c>
      <c r="W1019" s="5">
        <f t="shared" si="3"/>
        <v>0</v>
      </c>
    </row>
    <row r="1020" spans="1:23" ht="15.75" customHeight="1" x14ac:dyDescent="0.25">
      <c r="A1020" s="5" t="s">
        <v>1399</v>
      </c>
      <c r="B1020" s="6">
        <v>45240</v>
      </c>
      <c r="C1020" s="5" t="s">
        <v>225</v>
      </c>
      <c r="D1020" s="5" t="s">
        <v>102</v>
      </c>
      <c r="E1020" s="5" t="s">
        <v>80</v>
      </c>
      <c r="F1020" s="5" t="s">
        <v>80</v>
      </c>
      <c r="G1020" s="5" t="s">
        <v>70</v>
      </c>
      <c r="H1020" s="5" t="s">
        <v>44</v>
      </c>
      <c r="I1020" s="5" t="s">
        <v>71</v>
      </c>
      <c r="J1020" s="5">
        <v>624</v>
      </c>
      <c r="K1020" s="7">
        <v>671.8515455420511</v>
      </c>
      <c r="L1020" s="5">
        <v>3</v>
      </c>
      <c r="M1020" s="5">
        <v>15</v>
      </c>
      <c r="N1020" s="8">
        <f t="shared" si="0"/>
        <v>1713.2214411322302</v>
      </c>
      <c r="O1020" s="5">
        <f t="shared" si="1"/>
        <v>1872</v>
      </c>
      <c r="P1020" s="5">
        <f t="shared" si="2"/>
        <v>-158.77855886776979</v>
      </c>
      <c r="Q1020" s="5" t="s">
        <v>31</v>
      </c>
      <c r="R1020" s="5" t="s">
        <v>32</v>
      </c>
      <c r="S1020" s="6">
        <v>45248</v>
      </c>
      <c r="T1020" s="5">
        <v>1</v>
      </c>
      <c r="U1020" s="5">
        <v>4</v>
      </c>
      <c r="V1020" s="5" t="s">
        <v>33</v>
      </c>
      <c r="W1020" s="5">
        <f t="shared" si="3"/>
        <v>0</v>
      </c>
    </row>
    <row r="1021" spans="1:23" ht="15.75" customHeight="1" x14ac:dyDescent="0.25">
      <c r="A1021" s="5" t="s">
        <v>1400</v>
      </c>
      <c r="B1021" s="6">
        <v>45241</v>
      </c>
      <c r="C1021" s="5" t="s">
        <v>383</v>
      </c>
      <c r="D1021" s="5" t="s">
        <v>150</v>
      </c>
      <c r="E1021" s="5" t="s">
        <v>60</v>
      </c>
      <c r="F1021" s="5" t="s">
        <v>61</v>
      </c>
      <c r="G1021" s="5" t="s">
        <v>70</v>
      </c>
      <c r="H1021" s="5" t="s">
        <v>44</v>
      </c>
      <c r="I1021" s="5" t="s">
        <v>71</v>
      </c>
      <c r="J1021" s="5">
        <v>838</v>
      </c>
      <c r="K1021" s="7">
        <v>1472.2521184131185</v>
      </c>
      <c r="L1021" s="5">
        <v>1</v>
      </c>
      <c r="M1021" s="5">
        <v>0</v>
      </c>
      <c r="N1021" s="8">
        <f t="shared" si="0"/>
        <v>1472.2521184131185</v>
      </c>
      <c r="O1021" s="5">
        <f t="shared" si="1"/>
        <v>838</v>
      </c>
      <c r="P1021" s="5">
        <f t="shared" si="2"/>
        <v>634.25211841311852</v>
      </c>
      <c r="Q1021" s="5" t="s">
        <v>39</v>
      </c>
      <c r="R1021" s="5" t="s">
        <v>56</v>
      </c>
      <c r="T1021" s="5">
        <v>9</v>
      </c>
      <c r="U1021" s="5">
        <v>1</v>
      </c>
      <c r="W1021" s="5">
        <f t="shared" si="3"/>
        <v>0</v>
      </c>
    </row>
    <row r="1022" spans="1:23" ht="15.75" customHeight="1" x14ac:dyDescent="0.25">
      <c r="A1022" s="5" t="s">
        <v>1401</v>
      </c>
      <c r="B1022" s="6">
        <v>45241</v>
      </c>
      <c r="C1022" s="5" t="s">
        <v>1127</v>
      </c>
      <c r="D1022" s="5" t="s">
        <v>74</v>
      </c>
      <c r="E1022" s="5" t="s">
        <v>49</v>
      </c>
      <c r="F1022" s="5" t="s">
        <v>50</v>
      </c>
      <c r="G1022" s="5" t="s">
        <v>124</v>
      </c>
      <c r="H1022" s="5" t="s">
        <v>76</v>
      </c>
      <c r="I1022" s="5" t="s">
        <v>125</v>
      </c>
      <c r="J1022" s="5">
        <v>63004</v>
      </c>
      <c r="K1022" s="7">
        <v>65356.912306704558</v>
      </c>
      <c r="L1022" s="5">
        <v>4</v>
      </c>
      <c r="M1022" s="5">
        <v>15</v>
      </c>
      <c r="N1022" s="8">
        <f t="shared" si="0"/>
        <v>222213.50184279549</v>
      </c>
      <c r="O1022" s="5">
        <f t="shared" si="1"/>
        <v>252016</v>
      </c>
      <c r="P1022" s="5">
        <f t="shared" si="2"/>
        <v>-29802.498157204507</v>
      </c>
      <c r="Q1022" s="5" t="s">
        <v>83</v>
      </c>
      <c r="R1022" s="5" t="s">
        <v>32</v>
      </c>
      <c r="S1022" s="6">
        <v>45251</v>
      </c>
      <c r="T1022" s="5">
        <v>6</v>
      </c>
      <c r="U1022" s="5">
        <v>2</v>
      </c>
      <c r="V1022" s="5" t="s">
        <v>33</v>
      </c>
      <c r="W1022" s="5">
        <f t="shared" si="3"/>
        <v>0</v>
      </c>
    </row>
    <row r="1023" spans="1:23" ht="15.75" customHeight="1" x14ac:dyDescent="0.25">
      <c r="A1023" s="5" t="s">
        <v>1402</v>
      </c>
      <c r="B1023" s="6">
        <v>45241</v>
      </c>
      <c r="C1023" s="5" t="s">
        <v>584</v>
      </c>
      <c r="D1023" s="5" t="s">
        <v>105</v>
      </c>
      <c r="E1023" s="5" t="s">
        <v>80</v>
      </c>
      <c r="F1023" s="5" t="s">
        <v>80</v>
      </c>
      <c r="G1023" s="5" t="s">
        <v>119</v>
      </c>
      <c r="H1023" s="5" t="s">
        <v>76</v>
      </c>
      <c r="I1023" s="5" t="s">
        <v>120</v>
      </c>
      <c r="J1023" s="5">
        <v>44457</v>
      </c>
      <c r="K1023" s="7">
        <v>58467.210083323916</v>
      </c>
      <c r="L1023" s="5">
        <v>4</v>
      </c>
      <c r="M1023" s="5">
        <v>15</v>
      </c>
      <c r="N1023" s="8">
        <f t="shared" si="0"/>
        <v>198788.51428330131</v>
      </c>
      <c r="O1023" s="5">
        <f t="shared" si="1"/>
        <v>177828</v>
      </c>
      <c r="P1023" s="5">
        <f t="shared" si="2"/>
        <v>20960.514283301309</v>
      </c>
      <c r="Q1023" s="5" t="s">
        <v>46</v>
      </c>
      <c r="R1023" s="5" t="s">
        <v>56</v>
      </c>
      <c r="T1023" s="5">
        <v>10</v>
      </c>
      <c r="U1023" s="5">
        <v>1</v>
      </c>
      <c r="W1023" s="5">
        <f t="shared" si="3"/>
        <v>0</v>
      </c>
    </row>
    <row r="1024" spans="1:23" ht="15.75" customHeight="1" x14ac:dyDescent="0.25">
      <c r="A1024" s="5" t="s">
        <v>1403</v>
      </c>
      <c r="B1024" s="6">
        <v>45242</v>
      </c>
      <c r="C1024" s="5" t="s">
        <v>94</v>
      </c>
      <c r="D1024" s="5" t="s">
        <v>105</v>
      </c>
      <c r="E1024" s="5" t="s">
        <v>80</v>
      </c>
      <c r="F1024" s="5" t="s">
        <v>80</v>
      </c>
      <c r="G1024" s="5" t="s">
        <v>75</v>
      </c>
      <c r="H1024" s="5" t="s">
        <v>76</v>
      </c>
      <c r="I1024" s="5" t="s">
        <v>77</v>
      </c>
      <c r="J1024" s="5">
        <v>655</v>
      </c>
      <c r="K1024" s="7">
        <v>990.74608859777038</v>
      </c>
      <c r="L1024" s="5">
        <v>3</v>
      </c>
      <c r="M1024" s="5">
        <v>20</v>
      </c>
      <c r="N1024" s="8">
        <f t="shared" si="0"/>
        <v>2377.7906126346493</v>
      </c>
      <c r="O1024" s="5">
        <f t="shared" si="1"/>
        <v>1965</v>
      </c>
      <c r="P1024" s="5">
        <f t="shared" si="2"/>
        <v>412.79061263464928</v>
      </c>
      <c r="Q1024" s="5" t="s">
        <v>39</v>
      </c>
      <c r="R1024" s="5" t="s">
        <v>32</v>
      </c>
      <c r="S1024" s="6">
        <v>45252</v>
      </c>
      <c r="T1024" s="5">
        <v>4</v>
      </c>
      <c r="U1024" s="5">
        <v>2</v>
      </c>
      <c r="V1024" s="5" t="s">
        <v>33</v>
      </c>
      <c r="W1024" s="5">
        <f t="shared" si="3"/>
        <v>0</v>
      </c>
    </row>
    <row r="1025" spans="1:23" ht="15.75" customHeight="1" x14ac:dyDescent="0.25">
      <c r="A1025" s="5" t="s">
        <v>1404</v>
      </c>
      <c r="B1025" s="6">
        <v>45242</v>
      </c>
      <c r="C1025" s="5" t="s">
        <v>539</v>
      </c>
      <c r="D1025" s="5" t="s">
        <v>64</v>
      </c>
      <c r="E1025" s="5" t="s">
        <v>54</v>
      </c>
      <c r="F1025" s="5" t="s">
        <v>55</v>
      </c>
      <c r="G1025" s="5" t="s">
        <v>139</v>
      </c>
      <c r="H1025" s="5" t="s">
        <v>76</v>
      </c>
      <c r="I1025" s="5" t="s">
        <v>140</v>
      </c>
      <c r="J1025" s="5">
        <v>41515</v>
      </c>
      <c r="K1025" s="7">
        <v>45119.603997045015</v>
      </c>
      <c r="L1025" s="5">
        <v>2</v>
      </c>
      <c r="M1025" s="5">
        <v>10</v>
      </c>
      <c r="N1025" s="8">
        <f t="shared" si="0"/>
        <v>81215.287194681034</v>
      </c>
      <c r="O1025" s="5">
        <f t="shared" si="1"/>
        <v>83030</v>
      </c>
      <c r="P1025" s="5">
        <f t="shared" si="2"/>
        <v>-1814.7128053189663</v>
      </c>
      <c r="Q1025" s="5" t="s">
        <v>31</v>
      </c>
      <c r="R1025" s="5" t="s">
        <v>56</v>
      </c>
      <c r="T1025" s="5">
        <v>9</v>
      </c>
      <c r="U1025" s="5">
        <v>1</v>
      </c>
      <c r="W1025" s="5">
        <f t="shared" si="3"/>
        <v>0</v>
      </c>
    </row>
    <row r="1026" spans="1:23" ht="15.75" customHeight="1" x14ac:dyDescent="0.25">
      <c r="A1026" s="5" t="s">
        <v>1405</v>
      </c>
      <c r="B1026" s="6">
        <v>45242</v>
      </c>
      <c r="C1026" s="5" t="s">
        <v>408</v>
      </c>
      <c r="D1026" s="5" t="s">
        <v>146</v>
      </c>
      <c r="E1026" s="5" t="s">
        <v>112</v>
      </c>
      <c r="F1026" s="5" t="s">
        <v>113</v>
      </c>
      <c r="G1026" s="5" t="s">
        <v>81</v>
      </c>
      <c r="H1026" s="5" t="s">
        <v>44</v>
      </c>
      <c r="I1026" s="5" t="s">
        <v>82</v>
      </c>
      <c r="J1026" s="5">
        <v>2880</v>
      </c>
      <c r="K1026" s="7">
        <v>3499.585730863259</v>
      </c>
      <c r="L1026" s="5">
        <v>2</v>
      </c>
      <c r="M1026" s="5">
        <v>0</v>
      </c>
      <c r="N1026" s="8">
        <f t="shared" si="0"/>
        <v>6999.1714617265179</v>
      </c>
      <c r="O1026" s="5">
        <f t="shared" si="1"/>
        <v>5760</v>
      </c>
      <c r="P1026" s="5">
        <f t="shared" si="2"/>
        <v>1239.1714617265179</v>
      </c>
      <c r="Q1026" s="5" t="s">
        <v>39</v>
      </c>
      <c r="R1026" s="5" t="s">
        <v>32</v>
      </c>
      <c r="S1026" s="6">
        <v>45251</v>
      </c>
      <c r="T1026" s="5">
        <v>4</v>
      </c>
      <c r="U1026" s="5">
        <v>4</v>
      </c>
      <c r="V1026" s="5" t="s">
        <v>33</v>
      </c>
      <c r="W1026" s="5">
        <f t="shared" si="3"/>
        <v>0</v>
      </c>
    </row>
    <row r="1027" spans="1:23" ht="15.75" customHeight="1" x14ac:dyDescent="0.25">
      <c r="A1027" s="5" t="s">
        <v>1406</v>
      </c>
      <c r="B1027" s="6">
        <v>45242</v>
      </c>
      <c r="C1027" s="5" t="s">
        <v>292</v>
      </c>
      <c r="D1027" s="5" t="s">
        <v>148</v>
      </c>
      <c r="E1027" s="5" t="s">
        <v>37</v>
      </c>
      <c r="F1027" s="5" t="s">
        <v>38</v>
      </c>
      <c r="G1027" s="5" t="s">
        <v>81</v>
      </c>
      <c r="H1027" s="5" t="s">
        <v>44</v>
      </c>
      <c r="I1027" s="5" t="s">
        <v>82</v>
      </c>
      <c r="J1027" s="5">
        <v>2287</v>
      </c>
      <c r="K1027" s="7">
        <v>4006.3328878782763</v>
      </c>
      <c r="L1027" s="5">
        <v>3</v>
      </c>
      <c r="M1027" s="5">
        <v>10</v>
      </c>
      <c r="N1027" s="8">
        <f t="shared" si="0"/>
        <v>10817.098797271346</v>
      </c>
      <c r="O1027" s="5">
        <f t="shared" si="1"/>
        <v>6861</v>
      </c>
      <c r="P1027" s="5">
        <f t="shared" si="2"/>
        <v>3956.0987972713465</v>
      </c>
      <c r="Q1027" s="5" t="s">
        <v>39</v>
      </c>
      <c r="R1027" s="5" t="s">
        <v>56</v>
      </c>
      <c r="T1027" s="5">
        <v>7</v>
      </c>
      <c r="U1027" s="5">
        <v>3</v>
      </c>
      <c r="W1027" s="5">
        <f t="shared" si="3"/>
        <v>0</v>
      </c>
    </row>
    <row r="1028" spans="1:23" ht="15.75" customHeight="1" x14ac:dyDescent="0.25">
      <c r="A1028" s="5" t="s">
        <v>1407</v>
      </c>
      <c r="B1028" s="6">
        <v>45243</v>
      </c>
      <c r="C1028" s="5" t="s">
        <v>263</v>
      </c>
      <c r="D1028" s="5" t="s">
        <v>36</v>
      </c>
      <c r="E1028" s="5" t="s">
        <v>49</v>
      </c>
      <c r="F1028" s="5" t="s">
        <v>50</v>
      </c>
      <c r="G1028" s="5" t="s">
        <v>106</v>
      </c>
      <c r="H1028" s="5" t="s">
        <v>98</v>
      </c>
      <c r="I1028" s="5" t="s">
        <v>107</v>
      </c>
      <c r="J1028" s="5">
        <v>865</v>
      </c>
      <c r="K1028" s="7">
        <v>1274.5705825455479</v>
      </c>
      <c r="L1028" s="5">
        <v>4</v>
      </c>
      <c r="M1028" s="5">
        <v>10</v>
      </c>
      <c r="N1028" s="8">
        <f t="shared" si="0"/>
        <v>4588.4540971639726</v>
      </c>
      <c r="O1028" s="5">
        <f t="shared" si="1"/>
        <v>3460</v>
      </c>
      <c r="P1028" s="5">
        <f t="shared" si="2"/>
        <v>1128.4540971639726</v>
      </c>
      <c r="Q1028" s="5" t="s">
        <v>31</v>
      </c>
      <c r="R1028" s="5" t="s">
        <v>32</v>
      </c>
      <c r="S1028" s="6">
        <v>45252</v>
      </c>
      <c r="T1028" s="5">
        <v>2</v>
      </c>
      <c r="U1028" s="5">
        <v>5</v>
      </c>
      <c r="V1028" s="5" t="s">
        <v>33</v>
      </c>
      <c r="W1028" s="5">
        <f t="shared" si="3"/>
        <v>0</v>
      </c>
    </row>
    <row r="1029" spans="1:23" ht="15.75" customHeight="1" x14ac:dyDescent="0.25">
      <c r="A1029" s="5" t="s">
        <v>1408</v>
      </c>
      <c r="B1029" s="6">
        <v>45243</v>
      </c>
      <c r="C1029" s="5" t="s">
        <v>180</v>
      </c>
      <c r="D1029" s="5" t="s">
        <v>135</v>
      </c>
      <c r="E1029" s="5" t="s">
        <v>80</v>
      </c>
      <c r="F1029" s="5" t="s">
        <v>80</v>
      </c>
      <c r="G1029" s="5" t="s">
        <v>70</v>
      </c>
      <c r="H1029" s="5" t="s">
        <v>44</v>
      </c>
      <c r="I1029" s="5" t="s">
        <v>71</v>
      </c>
      <c r="J1029" s="5">
        <v>1853</v>
      </c>
      <c r="K1029" s="7">
        <v>2974.8430044373467</v>
      </c>
      <c r="L1029" s="5">
        <v>2</v>
      </c>
      <c r="M1029" s="5">
        <v>15</v>
      </c>
      <c r="N1029" s="8">
        <f t="shared" si="0"/>
        <v>5057.2331075434895</v>
      </c>
      <c r="O1029" s="5">
        <f t="shared" si="1"/>
        <v>3706</v>
      </c>
      <c r="P1029" s="5">
        <f t="shared" si="2"/>
        <v>1351.2331075434895</v>
      </c>
      <c r="Q1029" s="5" t="s">
        <v>83</v>
      </c>
      <c r="R1029" s="5" t="s">
        <v>32</v>
      </c>
      <c r="S1029" s="6">
        <v>45255</v>
      </c>
      <c r="T1029" s="5">
        <v>5</v>
      </c>
      <c r="U1029" s="5">
        <v>3</v>
      </c>
      <c r="V1029" s="5" t="s">
        <v>33</v>
      </c>
      <c r="W1029" s="5">
        <f t="shared" si="3"/>
        <v>0</v>
      </c>
    </row>
    <row r="1030" spans="1:23" ht="15.75" customHeight="1" x14ac:dyDescent="0.25">
      <c r="A1030" s="5" t="s">
        <v>1409</v>
      </c>
      <c r="B1030" s="6">
        <v>45243</v>
      </c>
      <c r="C1030" s="5" t="s">
        <v>1410</v>
      </c>
      <c r="D1030" s="5" t="s">
        <v>181</v>
      </c>
      <c r="E1030" s="5" t="s">
        <v>60</v>
      </c>
      <c r="F1030" s="5" t="s">
        <v>61</v>
      </c>
      <c r="G1030" s="5" t="s">
        <v>81</v>
      </c>
      <c r="H1030" s="5" t="s">
        <v>44</v>
      </c>
      <c r="I1030" s="5" t="s">
        <v>82</v>
      </c>
      <c r="J1030" s="5">
        <v>2758</v>
      </c>
      <c r="K1030" s="7">
        <v>4953.8342212107109</v>
      </c>
      <c r="L1030" s="5">
        <v>2</v>
      </c>
      <c r="M1030" s="5">
        <v>0</v>
      </c>
      <c r="N1030" s="8">
        <f t="shared" si="0"/>
        <v>9907.6684424214218</v>
      </c>
      <c r="O1030" s="5">
        <f t="shared" si="1"/>
        <v>5516</v>
      </c>
      <c r="P1030" s="5">
        <f t="shared" si="2"/>
        <v>4391.6684424214218</v>
      </c>
      <c r="Q1030" s="5" t="s">
        <v>83</v>
      </c>
      <c r="R1030" s="5" t="s">
        <v>56</v>
      </c>
      <c r="T1030" s="5">
        <v>9</v>
      </c>
      <c r="U1030" s="5">
        <v>1</v>
      </c>
      <c r="W1030" s="5">
        <f t="shared" si="3"/>
        <v>0</v>
      </c>
    </row>
    <row r="1031" spans="1:23" ht="15.75" customHeight="1" x14ac:dyDescent="0.25">
      <c r="A1031" s="5" t="s">
        <v>1411</v>
      </c>
      <c r="B1031" s="6">
        <v>45243</v>
      </c>
      <c r="C1031" s="5" t="s">
        <v>687</v>
      </c>
      <c r="D1031" s="5" t="s">
        <v>74</v>
      </c>
      <c r="E1031" s="5" t="s">
        <v>69</v>
      </c>
      <c r="F1031" s="5" t="s">
        <v>55</v>
      </c>
      <c r="G1031" s="5" t="s">
        <v>43</v>
      </c>
      <c r="H1031" s="5" t="s">
        <v>44</v>
      </c>
      <c r="I1031" s="5" t="s">
        <v>45</v>
      </c>
      <c r="J1031" s="5">
        <v>703</v>
      </c>
      <c r="K1031" s="7">
        <v>814.0533196680168</v>
      </c>
      <c r="L1031" s="5">
        <v>3</v>
      </c>
      <c r="M1031" s="5">
        <v>0</v>
      </c>
      <c r="N1031" s="8">
        <f t="shared" si="0"/>
        <v>2442.1599590040505</v>
      </c>
      <c r="O1031" s="5">
        <f t="shared" si="1"/>
        <v>2109</v>
      </c>
      <c r="P1031" s="5">
        <f t="shared" si="2"/>
        <v>333.15995900405051</v>
      </c>
      <c r="Q1031" s="5" t="s">
        <v>46</v>
      </c>
      <c r="R1031" s="5" t="s">
        <v>32</v>
      </c>
      <c r="S1031" s="6">
        <v>45251</v>
      </c>
      <c r="T1031" s="5">
        <v>2</v>
      </c>
      <c r="U1031" s="5">
        <v>5</v>
      </c>
      <c r="V1031" s="5" t="s">
        <v>33</v>
      </c>
      <c r="W1031" s="5">
        <f t="shared" si="3"/>
        <v>0</v>
      </c>
    </row>
    <row r="1032" spans="1:23" ht="15.75" customHeight="1" x14ac:dyDescent="0.25">
      <c r="A1032" s="5" t="s">
        <v>1412</v>
      </c>
      <c r="B1032" s="6">
        <v>45243</v>
      </c>
      <c r="C1032" s="5" t="s">
        <v>425</v>
      </c>
      <c r="D1032" s="5" t="s">
        <v>53</v>
      </c>
      <c r="E1032" s="5" t="s">
        <v>37</v>
      </c>
      <c r="F1032" s="5" t="s">
        <v>38</v>
      </c>
      <c r="G1032" s="5" t="s">
        <v>124</v>
      </c>
      <c r="H1032" s="5" t="s">
        <v>76</v>
      </c>
      <c r="I1032" s="5" t="s">
        <v>125</v>
      </c>
      <c r="J1032" s="5">
        <v>54690</v>
      </c>
      <c r="K1032" s="7">
        <v>87781.732084106756</v>
      </c>
      <c r="L1032" s="5">
        <v>2</v>
      </c>
      <c r="M1032" s="5">
        <v>5</v>
      </c>
      <c r="N1032" s="8">
        <f t="shared" si="0"/>
        <v>166785.29095980283</v>
      </c>
      <c r="O1032" s="5">
        <f t="shared" si="1"/>
        <v>109380</v>
      </c>
      <c r="P1032" s="5">
        <f t="shared" si="2"/>
        <v>57405.290959802835</v>
      </c>
      <c r="Q1032" s="5" t="s">
        <v>83</v>
      </c>
      <c r="R1032" s="5" t="s">
        <v>56</v>
      </c>
      <c r="T1032" s="5">
        <v>8</v>
      </c>
      <c r="U1032" s="5">
        <v>2</v>
      </c>
      <c r="W1032" s="5">
        <f t="shared" si="3"/>
        <v>0</v>
      </c>
    </row>
    <row r="1033" spans="1:23" ht="15.75" customHeight="1" x14ac:dyDescent="0.25">
      <c r="A1033" s="5" t="s">
        <v>1413</v>
      </c>
      <c r="B1033" s="6">
        <v>45244</v>
      </c>
      <c r="C1033" s="5" t="s">
        <v>225</v>
      </c>
      <c r="D1033" s="5" t="s">
        <v>59</v>
      </c>
      <c r="E1033" s="5" t="s">
        <v>49</v>
      </c>
      <c r="F1033" s="5" t="s">
        <v>50</v>
      </c>
      <c r="G1033" s="5" t="s">
        <v>81</v>
      </c>
      <c r="H1033" s="5" t="s">
        <v>44</v>
      </c>
      <c r="I1033" s="5" t="s">
        <v>82</v>
      </c>
      <c r="J1033" s="5">
        <v>2614</v>
      </c>
      <c r="K1033" s="7">
        <v>3605.5005456192407</v>
      </c>
      <c r="L1033" s="5">
        <v>5</v>
      </c>
      <c r="M1033" s="5">
        <v>0</v>
      </c>
      <c r="N1033" s="8">
        <f t="shared" si="0"/>
        <v>18027.502728096202</v>
      </c>
      <c r="O1033" s="5">
        <f t="shared" si="1"/>
        <v>13070</v>
      </c>
      <c r="P1033" s="5">
        <f t="shared" si="2"/>
        <v>4957.5027280962022</v>
      </c>
      <c r="Q1033" s="5" t="s">
        <v>39</v>
      </c>
      <c r="R1033" s="5" t="s">
        <v>56</v>
      </c>
      <c r="T1033" s="5">
        <v>10</v>
      </c>
      <c r="U1033" s="5">
        <v>1</v>
      </c>
      <c r="W1033" s="5">
        <f t="shared" si="3"/>
        <v>0</v>
      </c>
    </row>
    <row r="1034" spans="1:23" ht="15.75" customHeight="1" x14ac:dyDescent="0.25">
      <c r="A1034" s="5" t="s">
        <v>1414</v>
      </c>
      <c r="B1034" s="6">
        <v>45244</v>
      </c>
      <c r="C1034" s="5" t="s">
        <v>225</v>
      </c>
      <c r="D1034" s="5" t="s">
        <v>42</v>
      </c>
      <c r="E1034" s="5" t="s">
        <v>26</v>
      </c>
      <c r="F1034" s="5" t="s">
        <v>27</v>
      </c>
      <c r="G1034" s="5" t="s">
        <v>119</v>
      </c>
      <c r="H1034" s="5" t="s">
        <v>76</v>
      </c>
      <c r="I1034" s="5" t="s">
        <v>120</v>
      </c>
      <c r="J1034" s="5">
        <v>75344</v>
      </c>
      <c r="K1034" s="7">
        <v>96296.0918263028</v>
      </c>
      <c r="L1034" s="5">
        <v>4</v>
      </c>
      <c r="M1034" s="5">
        <v>15</v>
      </c>
      <c r="N1034" s="8">
        <f t="shared" si="0"/>
        <v>327406.71220942953</v>
      </c>
      <c r="O1034" s="5">
        <f t="shared" si="1"/>
        <v>301376</v>
      </c>
      <c r="P1034" s="5">
        <f t="shared" si="2"/>
        <v>26030.712209429534</v>
      </c>
      <c r="Q1034" s="5" t="s">
        <v>46</v>
      </c>
      <c r="R1034" s="5" t="s">
        <v>32</v>
      </c>
      <c r="S1034" s="6">
        <v>45248</v>
      </c>
      <c r="T1034" s="5">
        <v>1</v>
      </c>
      <c r="U1034" s="5">
        <v>5</v>
      </c>
      <c r="V1034" s="5" t="s">
        <v>33</v>
      </c>
      <c r="W1034" s="5">
        <f t="shared" si="3"/>
        <v>0</v>
      </c>
    </row>
    <row r="1035" spans="1:23" ht="15.75" customHeight="1" x14ac:dyDescent="0.25">
      <c r="A1035" s="5" t="s">
        <v>1415</v>
      </c>
      <c r="B1035" s="6">
        <v>45245</v>
      </c>
      <c r="C1035" s="5" t="s">
        <v>1129</v>
      </c>
      <c r="D1035" s="5" t="s">
        <v>138</v>
      </c>
      <c r="E1035" s="5" t="s">
        <v>60</v>
      </c>
      <c r="F1035" s="5" t="s">
        <v>61</v>
      </c>
      <c r="G1035" s="5" t="s">
        <v>28</v>
      </c>
      <c r="H1035" s="5" t="s">
        <v>29</v>
      </c>
      <c r="I1035" s="5" t="s">
        <v>30</v>
      </c>
      <c r="J1035" s="5">
        <v>5702</v>
      </c>
      <c r="K1035" s="7">
        <v>5976.5702466487028</v>
      </c>
      <c r="L1035" s="5">
        <v>1</v>
      </c>
      <c r="M1035" s="5">
        <v>15</v>
      </c>
      <c r="N1035" s="8">
        <f t="shared" si="0"/>
        <v>5080.0847096513971</v>
      </c>
      <c r="O1035" s="5">
        <f t="shared" si="1"/>
        <v>5702</v>
      </c>
      <c r="P1035" s="5">
        <f t="shared" si="2"/>
        <v>-621.91529034860287</v>
      </c>
      <c r="Q1035" s="5" t="s">
        <v>31</v>
      </c>
      <c r="R1035" s="5" t="s">
        <v>56</v>
      </c>
      <c r="T1035" s="5">
        <v>8</v>
      </c>
      <c r="U1035" s="5">
        <v>4</v>
      </c>
      <c r="W1035" s="5">
        <f t="shared" si="3"/>
        <v>0</v>
      </c>
    </row>
    <row r="1036" spans="1:23" ht="15.75" customHeight="1" x14ac:dyDescent="0.25">
      <c r="A1036" s="5" t="s">
        <v>1416</v>
      </c>
      <c r="B1036" s="6">
        <v>45245</v>
      </c>
      <c r="C1036" s="5" t="s">
        <v>672</v>
      </c>
      <c r="D1036" s="5" t="s">
        <v>116</v>
      </c>
      <c r="E1036" s="5" t="s">
        <v>26</v>
      </c>
      <c r="F1036" s="5" t="s">
        <v>27</v>
      </c>
      <c r="G1036" s="5" t="s">
        <v>92</v>
      </c>
      <c r="H1036" s="5" t="s">
        <v>44</v>
      </c>
      <c r="I1036" s="5" t="s">
        <v>45</v>
      </c>
      <c r="J1036" s="5">
        <v>1323</v>
      </c>
      <c r="K1036" s="7">
        <v>1891.2131761871456</v>
      </c>
      <c r="L1036" s="5">
        <v>3</v>
      </c>
      <c r="M1036" s="5">
        <v>10</v>
      </c>
      <c r="N1036" s="8">
        <f t="shared" si="0"/>
        <v>5106.2755757052928</v>
      </c>
      <c r="O1036" s="5">
        <f t="shared" si="1"/>
        <v>3969</v>
      </c>
      <c r="P1036" s="5">
        <f t="shared" si="2"/>
        <v>1137.2755757052928</v>
      </c>
      <c r="Q1036" s="5" t="s">
        <v>46</v>
      </c>
      <c r="R1036" s="5" t="s">
        <v>32</v>
      </c>
      <c r="S1036" s="6">
        <v>45252</v>
      </c>
      <c r="T1036" s="5">
        <v>2</v>
      </c>
      <c r="U1036" s="5">
        <v>5</v>
      </c>
      <c r="V1036" s="5" t="s">
        <v>33</v>
      </c>
      <c r="W1036" s="5">
        <f t="shared" si="3"/>
        <v>0</v>
      </c>
    </row>
    <row r="1037" spans="1:23" ht="15.75" customHeight="1" x14ac:dyDescent="0.25">
      <c r="A1037" s="5" t="s">
        <v>1417</v>
      </c>
      <c r="B1037" s="6">
        <v>45245</v>
      </c>
      <c r="C1037" s="5" t="s">
        <v>294</v>
      </c>
      <c r="D1037" s="5" t="s">
        <v>116</v>
      </c>
      <c r="E1037" s="5" t="s">
        <v>37</v>
      </c>
      <c r="F1037" s="5" t="s">
        <v>38</v>
      </c>
      <c r="G1037" s="5" t="s">
        <v>43</v>
      </c>
      <c r="H1037" s="5" t="s">
        <v>44</v>
      </c>
      <c r="I1037" s="5" t="s">
        <v>45</v>
      </c>
      <c r="J1037" s="5">
        <v>305</v>
      </c>
      <c r="K1037" s="7">
        <v>387.05163942811834</v>
      </c>
      <c r="L1037" s="5">
        <v>1</v>
      </c>
      <c r="M1037" s="5">
        <v>15</v>
      </c>
      <c r="N1037" s="8">
        <f t="shared" si="0"/>
        <v>328.99389351390056</v>
      </c>
      <c r="O1037" s="5">
        <f t="shared" si="1"/>
        <v>305</v>
      </c>
      <c r="P1037" s="5">
        <f t="shared" si="2"/>
        <v>23.993893513900559</v>
      </c>
      <c r="Q1037" s="5" t="s">
        <v>46</v>
      </c>
      <c r="R1037" s="5" t="s">
        <v>56</v>
      </c>
      <c r="T1037" s="5">
        <v>8</v>
      </c>
      <c r="U1037" s="5">
        <v>3</v>
      </c>
      <c r="W1037" s="5">
        <f t="shared" si="3"/>
        <v>0</v>
      </c>
    </row>
    <row r="1038" spans="1:23" ht="15.75" customHeight="1" x14ac:dyDescent="0.25">
      <c r="A1038" s="5" t="s">
        <v>1418</v>
      </c>
      <c r="B1038" s="6">
        <v>45246</v>
      </c>
      <c r="C1038" s="5" t="s">
        <v>649</v>
      </c>
      <c r="D1038" s="5" t="s">
        <v>53</v>
      </c>
      <c r="E1038" s="5" t="s">
        <v>60</v>
      </c>
      <c r="F1038" s="5" t="s">
        <v>61</v>
      </c>
      <c r="G1038" s="5" t="s">
        <v>87</v>
      </c>
      <c r="H1038" s="5" t="s">
        <v>29</v>
      </c>
      <c r="I1038" s="5" t="s">
        <v>88</v>
      </c>
      <c r="J1038" s="5">
        <v>55373</v>
      </c>
      <c r="K1038" s="7">
        <v>71232.283741756444</v>
      </c>
      <c r="L1038" s="5">
        <v>3</v>
      </c>
      <c r="M1038" s="5">
        <v>10</v>
      </c>
      <c r="N1038" s="8">
        <f t="shared" si="0"/>
        <v>192327.1661027424</v>
      </c>
      <c r="O1038" s="5">
        <f t="shared" si="1"/>
        <v>166119</v>
      </c>
      <c r="P1038" s="5">
        <f t="shared" si="2"/>
        <v>26208.166102742398</v>
      </c>
      <c r="Q1038" s="5" t="s">
        <v>31</v>
      </c>
      <c r="R1038" s="5" t="s">
        <v>32</v>
      </c>
      <c r="S1038" s="6">
        <v>45258</v>
      </c>
      <c r="T1038" s="5">
        <v>5</v>
      </c>
      <c r="U1038" s="5">
        <v>2</v>
      </c>
      <c r="V1038" s="5" t="s">
        <v>33</v>
      </c>
      <c r="W1038" s="5">
        <f t="shared" si="3"/>
        <v>0</v>
      </c>
    </row>
    <row r="1039" spans="1:23" ht="15.75" customHeight="1" x14ac:dyDescent="0.25">
      <c r="A1039" s="5" t="s">
        <v>1419</v>
      </c>
      <c r="B1039" s="6">
        <v>45246</v>
      </c>
      <c r="C1039" s="5" t="s">
        <v>534</v>
      </c>
      <c r="D1039" s="5" t="s">
        <v>181</v>
      </c>
      <c r="E1039" s="5" t="s">
        <v>49</v>
      </c>
      <c r="F1039" s="5" t="s">
        <v>50</v>
      </c>
      <c r="G1039" s="5" t="s">
        <v>75</v>
      </c>
      <c r="H1039" s="5" t="s">
        <v>76</v>
      </c>
      <c r="I1039" s="5" t="s">
        <v>77</v>
      </c>
      <c r="J1039" s="5">
        <v>653</v>
      </c>
      <c r="K1039" s="7">
        <v>1096.3521632785671</v>
      </c>
      <c r="L1039" s="5">
        <v>1</v>
      </c>
      <c r="M1039" s="5">
        <v>5</v>
      </c>
      <c r="N1039" s="8">
        <f t="shared" si="0"/>
        <v>1041.5345551146388</v>
      </c>
      <c r="O1039" s="5">
        <f t="shared" si="1"/>
        <v>653</v>
      </c>
      <c r="P1039" s="5">
        <f t="shared" si="2"/>
        <v>388.53455511463881</v>
      </c>
      <c r="Q1039" s="5" t="s">
        <v>39</v>
      </c>
      <c r="R1039" s="5" t="s">
        <v>32</v>
      </c>
      <c r="S1039" s="6">
        <v>45256</v>
      </c>
      <c r="T1039" s="5">
        <v>3</v>
      </c>
      <c r="U1039" s="5">
        <v>3</v>
      </c>
      <c r="V1039" s="5" t="s">
        <v>33</v>
      </c>
      <c r="W1039" s="5">
        <f t="shared" si="3"/>
        <v>0</v>
      </c>
    </row>
    <row r="1040" spans="1:23" ht="15.75" customHeight="1" x14ac:dyDescent="0.25">
      <c r="A1040" s="5" t="s">
        <v>1420</v>
      </c>
      <c r="B1040" s="6">
        <v>45246</v>
      </c>
      <c r="C1040" s="5" t="s">
        <v>687</v>
      </c>
      <c r="D1040" s="5" t="s">
        <v>102</v>
      </c>
      <c r="E1040" s="5" t="s">
        <v>37</v>
      </c>
      <c r="F1040" s="5" t="s">
        <v>38</v>
      </c>
      <c r="G1040" s="5" t="s">
        <v>139</v>
      </c>
      <c r="H1040" s="5" t="s">
        <v>76</v>
      </c>
      <c r="I1040" s="5" t="s">
        <v>140</v>
      </c>
      <c r="J1040" s="5">
        <v>38954</v>
      </c>
      <c r="K1040" s="7">
        <v>39755.508407142683</v>
      </c>
      <c r="L1040" s="5">
        <v>5</v>
      </c>
      <c r="M1040" s="5">
        <v>20</v>
      </c>
      <c r="N1040" s="8">
        <f t="shared" si="0"/>
        <v>159022.03362857073</v>
      </c>
      <c r="O1040" s="5">
        <f t="shared" si="1"/>
        <v>194770</v>
      </c>
      <c r="P1040" s="5">
        <f t="shared" si="2"/>
        <v>-35747.966371429269</v>
      </c>
      <c r="Q1040" s="5" t="s">
        <v>31</v>
      </c>
      <c r="R1040" s="5" t="s">
        <v>56</v>
      </c>
      <c r="T1040" s="5">
        <v>8</v>
      </c>
      <c r="U1040" s="5">
        <v>2</v>
      </c>
      <c r="W1040" s="5">
        <f t="shared" si="3"/>
        <v>0</v>
      </c>
    </row>
    <row r="1041" spans="1:23" ht="15.75" customHeight="1" x14ac:dyDescent="0.25">
      <c r="A1041" s="5" t="s">
        <v>1421</v>
      </c>
      <c r="B1041" s="6">
        <v>45246</v>
      </c>
      <c r="C1041" s="5" t="s">
        <v>881</v>
      </c>
      <c r="D1041" s="5" t="s">
        <v>86</v>
      </c>
      <c r="E1041" s="5" t="s">
        <v>69</v>
      </c>
      <c r="F1041" s="5" t="s">
        <v>55</v>
      </c>
      <c r="G1041" s="5" t="s">
        <v>92</v>
      </c>
      <c r="H1041" s="5" t="s">
        <v>44</v>
      </c>
      <c r="I1041" s="5" t="s">
        <v>45</v>
      </c>
      <c r="J1041" s="5">
        <v>1239</v>
      </c>
      <c r="K1041" s="7">
        <v>2036.0845494216426</v>
      </c>
      <c r="L1041" s="5">
        <v>2</v>
      </c>
      <c r="M1041" s="5">
        <v>20</v>
      </c>
      <c r="N1041" s="8">
        <f t="shared" si="0"/>
        <v>3257.7352790746281</v>
      </c>
      <c r="O1041" s="5">
        <f t="shared" si="1"/>
        <v>2478</v>
      </c>
      <c r="P1041" s="5">
        <f t="shared" si="2"/>
        <v>779.73527907462812</v>
      </c>
      <c r="Q1041" s="5" t="s">
        <v>83</v>
      </c>
      <c r="R1041" s="5" t="s">
        <v>32</v>
      </c>
      <c r="S1041" s="6">
        <v>45252</v>
      </c>
      <c r="T1041" s="5">
        <v>2</v>
      </c>
      <c r="U1041" s="5">
        <v>5</v>
      </c>
      <c r="V1041" s="5" t="s">
        <v>33</v>
      </c>
      <c r="W1041" s="5">
        <f t="shared" si="3"/>
        <v>0</v>
      </c>
    </row>
    <row r="1042" spans="1:23" ht="15.75" customHeight="1" x14ac:dyDescent="0.25">
      <c r="A1042" s="5" t="s">
        <v>1422</v>
      </c>
      <c r="B1042" s="6">
        <v>45247</v>
      </c>
      <c r="C1042" s="5" t="s">
        <v>227</v>
      </c>
      <c r="D1042" s="5" t="s">
        <v>181</v>
      </c>
      <c r="E1042" s="5" t="s">
        <v>54</v>
      </c>
      <c r="F1042" s="5" t="s">
        <v>55</v>
      </c>
      <c r="G1042" s="5" t="s">
        <v>43</v>
      </c>
      <c r="H1042" s="5" t="s">
        <v>44</v>
      </c>
      <c r="I1042" s="5" t="s">
        <v>45</v>
      </c>
      <c r="J1042" s="5">
        <v>520</v>
      </c>
      <c r="K1042" s="7">
        <v>630.92442076478346</v>
      </c>
      <c r="L1042" s="5">
        <v>2</v>
      </c>
      <c r="M1042" s="5">
        <v>5</v>
      </c>
      <c r="N1042" s="8">
        <f t="shared" si="0"/>
        <v>1198.7563994530885</v>
      </c>
      <c r="O1042" s="5">
        <f t="shared" si="1"/>
        <v>1040</v>
      </c>
      <c r="P1042" s="5">
        <f t="shared" si="2"/>
        <v>158.75639945308853</v>
      </c>
      <c r="Q1042" s="5" t="s">
        <v>83</v>
      </c>
      <c r="R1042" s="5" t="s">
        <v>32</v>
      </c>
      <c r="S1042" s="6">
        <v>45256</v>
      </c>
      <c r="T1042" s="5">
        <v>5</v>
      </c>
      <c r="U1042" s="5">
        <v>2</v>
      </c>
      <c r="V1042" s="5" t="s">
        <v>33</v>
      </c>
      <c r="W1042" s="5">
        <f t="shared" si="3"/>
        <v>0</v>
      </c>
    </row>
    <row r="1043" spans="1:23" ht="15.75" customHeight="1" x14ac:dyDescent="0.25">
      <c r="A1043" s="5" t="s">
        <v>1423</v>
      </c>
      <c r="B1043" s="6">
        <v>45247</v>
      </c>
      <c r="C1043" s="5" t="s">
        <v>425</v>
      </c>
      <c r="D1043" s="5" t="s">
        <v>208</v>
      </c>
      <c r="E1043" s="5" t="s">
        <v>60</v>
      </c>
      <c r="F1043" s="5" t="s">
        <v>61</v>
      </c>
      <c r="G1043" s="5" t="s">
        <v>119</v>
      </c>
      <c r="H1043" s="5" t="s">
        <v>76</v>
      </c>
      <c r="I1043" s="5" t="s">
        <v>120</v>
      </c>
      <c r="J1043" s="5">
        <v>74171</v>
      </c>
      <c r="K1043" s="7">
        <v>126894.3431821511</v>
      </c>
      <c r="L1043" s="5">
        <v>2</v>
      </c>
      <c r="M1043" s="5">
        <v>0</v>
      </c>
      <c r="N1043" s="8">
        <f t="shared" si="0"/>
        <v>253788.68636430221</v>
      </c>
      <c r="O1043" s="5">
        <f t="shared" si="1"/>
        <v>148342</v>
      </c>
      <c r="P1043" s="5">
        <f t="shared" si="2"/>
        <v>105446.68636430221</v>
      </c>
      <c r="Q1043" s="5" t="s">
        <v>31</v>
      </c>
      <c r="R1043" s="5" t="s">
        <v>56</v>
      </c>
      <c r="T1043" s="5">
        <v>8</v>
      </c>
      <c r="U1043" s="5">
        <v>3</v>
      </c>
      <c r="W1043" s="5">
        <f t="shared" si="3"/>
        <v>0</v>
      </c>
    </row>
    <row r="1044" spans="1:23" ht="15.75" customHeight="1" x14ac:dyDescent="0.25">
      <c r="A1044" s="5" t="s">
        <v>1424</v>
      </c>
      <c r="B1044" s="6">
        <v>45248</v>
      </c>
      <c r="C1044" s="5" t="s">
        <v>1376</v>
      </c>
      <c r="D1044" s="5" t="s">
        <v>74</v>
      </c>
      <c r="E1044" s="5" t="s">
        <v>54</v>
      </c>
      <c r="F1044" s="5" t="s">
        <v>55</v>
      </c>
      <c r="G1044" s="5" t="s">
        <v>92</v>
      </c>
      <c r="H1044" s="5" t="s">
        <v>44</v>
      </c>
      <c r="I1044" s="5" t="s">
        <v>45</v>
      </c>
      <c r="J1044" s="5">
        <v>863</v>
      </c>
      <c r="K1044" s="7">
        <v>1401.3091560300836</v>
      </c>
      <c r="L1044" s="5">
        <v>3</v>
      </c>
      <c r="M1044" s="5">
        <v>5</v>
      </c>
      <c r="N1044" s="8">
        <f t="shared" si="0"/>
        <v>3993.7310946857383</v>
      </c>
      <c r="O1044" s="5">
        <f t="shared" si="1"/>
        <v>2589</v>
      </c>
      <c r="P1044" s="5">
        <f t="shared" si="2"/>
        <v>1404.7310946857383</v>
      </c>
      <c r="Q1044" s="5" t="s">
        <v>83</v>
      </c>
      <c r="R1044" s="5" t="s">
        <v>32</v>
      </c>
      <c r="S1044" s="6">
        <v>45258</v>
      </c>
      <c r="T1044" s="5">
        <v>3</v>
      </c>
      <c r="U1044" s="5">
        <v>3</v>
      </c>
      <c r="V1044" s="5" t="s">
        <v>33</v>
      </c>
      <c r="W1044" s="5">
        <f t="shared" si="3"/>
        <v>0</v>
      </c>
    </row>
    <row r="1045" spans="1:23" ht="15.75" customHeight="1" x14ac:dyDescent="0.25">
      <c r="A1045" s="5" t="s">
        <v>1425</v>
      </c>
      <c r="B1045" s="6">
        <v>45249</v>
      </c>
      <c r="C1045" s="5" t="s">
        <v>172</v>
      </c>
      <c r="D1045" s="5" t="s">
        <v>146</v>
      </c>
      <c r="E1045" s="5" t="s">
        <v>26</v>
      </c>
      <c r="F1045" s="5" t="s">
        <v>27</v>
      </c>
      <c r="G1045" s="5" t="s">
        <v>43</v>
      </c>
      <c r="H1045" s="5" t="s">
        <v>44</v>
      </c>
      <c r="I1045" s="5" t="s">
        <v>45</v>
      </c>
      <c r="J1045" s="5">
        <v>427</v>
      </c>
      <c r="K1045" s="7">
        <v>704.66215263859203</v>
      </c>
      <c r="L1045" s="5">
        <v>3</v>
      </c>
      <c r="M1045" s="5">
        <v>20</v>
      </c>
      <c r="N1045" s="8">
        <f t="shared" si="0"/>
        <v>1691.189166332621</v>
      </c>
      <c r="O1045" s="5">
        <f t="shared" si="1"/>
        <v>1281</v>
      </c>
      <c r="P1045" s="5">
        <f t="shared" si="2"/>
        <v>410.18916633262097</v>
      </c>
      <c r="Q1045" s="5" t="s">
        <v>46</v>
      </c>
      <c r="R1045" s="5" t="s">
        <v>32</v>
      </c>
      <c r="S1045" s="6">
        <v>45257</v>
      </c>
      <c r="T1045" s="5">
        <v>4</v>
      </c>
      <c r="U1045" s="5">
        <v>2</v>
      </c>
      <c r="V1045" s="5" t="s">
        <v>33</v>
      </c>
      <c r="W1045" s="5">
        <f t="shared" si="3"/>
        <v>0</v>
      </c>
    </row>
    <row r="1046" spans="1:23" ht="15.75" customHeight="1" x14ac:dyDescent="0.25">
      <c r="A1046" s="5" t="s">
        <v>1426</v>
      </c>
      <c r="B1046" s="6">
        <v>45249</v>
      </c>
      <c r="C1046" s="5" t="s">
        <v>521</v>
      </c>
      <c r="D1046" s="5" t="s">
        <v>135</v>
      </c>
      <c r="E1046" s="5" t="s">
        <v>26</v>
      </c>
      <c r="F1046" s="5" t="s">
        <v>27</v>
      </c>
      <c r="G1046" s="5" t="s">
        <v>28</v>
      </c>
      <c r="H1046" s="5" t="s">
        <v>29</v>
      </c>
      <c r="I1046" s="5" t="s">
        <v>30</v>
      </c>
      <c r="J1046" s="5">
        <v>6248</v>
      </c>
      <c r="K1046" s="7">
        <v>11033.740307243863</v>
      </c>
      <c r="L1046" s="5">
        <v>4</v>
      </c>
      <c r="M1046" s="5">
        <v>10</v>
      </c>
      <c r="N1046" s="8">
        <f t="shared" si="0"/>
        <v>39721.465106077907</v>
      </c>
      <c r="O1046" s="5">
        <f t="shared" si="1"/>
        <v>24992</v>
      </c>
      <c r="P1046" s="5">
        <f t="shared" si="2"/>
        <v>14729.465106077907</v>
      </c>
      <c r="Q1046" s="5" t="s">
        <v>39</v>
      </c>
      <c r="R1046" s="5" t="s">
        <v>32</v>
      </c>
      <c r="S1046" s="6">
        <v>45257</v>
      </c>
      <c r="T1046" s="5">
        <v>2</v>
      </c>
      <c r="U1046" s="5">
        <v>5</v>
      </c>
      <c r="V1046" s="5" t="s">
        <v>33</v>
      </c>
      <c r="W1046" s="5">
        <f t="shared" si="3"/>
        <v>0</v>
      </c>
    </row>
    <row r="1047" spans="1:23" ht="15.75" customHeight="1" x14ac:dyDescent="0.25">
      <c r="A1047" s="5" t="s">
        <v>1427</v>
      </c>
      <c r="B1047" s="6">
        <v>45249</v>
      </c>
      <c r="C1047" s="5" t="s">
        <v>413</v>
      </c>
      <c r="D1047" s="5" t="s">
        <v>181</v>
      </c>
      <c r="E1047" s="5" t="s">
        <v>49</v>
      </c>
      <c r="F1047" s="5" t="s">
        <v>50</v>
      </c>
      <c r="G1047" s="5" t="s">
        <v>43</v>
      </c>
      <c r="H1047" s="5" t="s">
        <v>44</v>
      </c>
      <c r="I1047" s="5" t="s">
        <v>45</v>
      </c>
      <c r="J1047" s="5">
        <v>243</v>
      </c>
      <c r="K1047" s="7">
        <v>249.80576887369267</v>
      </c>
      <c r="L1047" s="5">
        <v>5</v>
      </c>
      <c r="M1047" s="5">
        <v>0</v>
      </c>
      <c r="N1047" s="8">
        <f t="shared" si="0"/>
        <v>1249.0288443684633</v>
      </c>
      <c r="O1047" s="5">
        <f t="shared" si="1"/>
        <v>1215</v>
      </c>
      <c r="P1047" s="5">
        <f t="shared" si="2"/>
        <v>34.028844368463297</v>
      </c>
      <c r="Q1047" s="5" t="s">
        <v>46</v>
      </c>
      <c r="R1047" s="5" t="s">
        <v>56</v>
      </c>
      <c r="T1047" s="5">
        <v>8</v>
      </c>
      <c r="U1047" s="5">
        <v>2</v>
      </c>
      <c r="W1047" s="5">
        <f t="shared" si="3"/>
        <v>0</v>
      </c>
    </row>
    <row r="1048" spans="1:23" ht="15.75" customHeight="1" x14ac:dyDescent="0.25">
      <c r="A1048" s="5" t="s">
        <v>1428</v>
      </c>
      <c r="B1048" s="6">
        <v>45249</v>
      </c>
      <c r="C1048" s="5" t="s">
        <v>416</v>
      </c>
      <c r="D1048" s="5" t="s">
        <v>208</v>
      </c>
      <c r="E1048" s="5" t="s">
        <v>37</v>
      </c>
      <c r="F1048" s="5" t="s">
        <v>38</v>
      </c>
      <c r="G1048" s="5" t="s">
        <v>75</v>
      </c>
      <c r="H1048" s="5" t="s">
        <v>76</v>
      </c>
      <c r="I1048" s="5" t="s">
        <v>77</v>
      </c>
      <c r="J1048" s="5">
        <v>872</v>
      </c>
      <c r="K1048" s="7">
        <v>925.67044908010701</v>
      </c>
      <c r="L1048" s="5">
        <v>3</v>
      </c>
      <c r="M1048" s="5">
        <v>5</v>
      </c>
      <c r="N1048" s="8">
        <f t="shared" si="0"/>
        <v>2638.1607798783048</v>
      </c>
      <c r="O1048" s="5">
        <f t="shared" si="1"/>
        <v>2616</v>
      </c>
      <c r="P1048" s="5">
        <f t="shared" si="2"/>
        <v>22.160779878304766</v>
      </c>
      <c r="Q1048" s="5" t="s">
        <v>83</v>
      </c>
      <c r="R1048" s="5" t="s">
        <v>32</v>
      </c>
      <c r="S1048" s="6">
        <v>45262</v>
      </c>
      <c r="T1048" s="5">
        <v>7</v>
      </c>
      <c r="U1048" s="5">
        <v>4</v>
      </c>
      <c r="V1048" s="5" t="s">
        <v>89</v>
      </c>
      <c r="W1048" s="5">
        <f t="shared" si="3"/>
        <v>1</v>
      </c>
    </row>
    <row r="1049" spans="1:23" ht="15.75" customHeight="1" x14ac:dyDescent="0.25">
      <c r="A1049" s="5" t="s">
        <v>1429</v>
      </c>
      <c r="B1049" s="6">
        <v>45249</v>
      </c>
      <c r="C1049" s="5" t="s">
        <v>568</v>
      </c>
      <c r="D1049" s="5" t="s">
        <v>116</v>
      </c>
      <c r="E1049" s="5" t="s">
        <v>49</v>
      </c>
      <c r="F1049" s="5" t="s">
        <v>50</v>
      </c>
      <c r="G1049" s="5" t="s">
        <v>124</v>
      </c>
      <c r="H1049" s="5" t="s">
        <v>76</v>
      </c>
      <c r="I1049" s="5" t="s">
        <v>125</v>
      </c>
      <c r="J1049" s="5">
        <v>78098</v>
      </c>
      <c r="K1049" s="7">
        <v>110637.81012906428</v>
      </c>
      <c r="L1049" s="5">
        <v>3</v>
      </c>
      <c r="M1049" s="5">
        <v>0</v>
      </c>
      <c r="N1049" s="8">
        <f t="shared" si="0"/>
        <v>331913.43038719287</v>
      </c>
      <c r="O1049" s="5">
        <f t="shared" si="1"/>
        <v>234294</v>
      </c>
      <c r="P1049" s="5">
        <f t="shared" si="2"/>
        <v>97619.430387192871</v>
      </c>
      <c r="Q1049" s="5" t="s">
        <v>39</v>
      </c>
      <c r="R1049" s="5" t="s">
        <v>32</v>
      </c>
      <c r="S1049" s="6">
        <v>45262</v>
      </c>
      <c r="T1049" s="5">
        <v>6</v>
      </c>
      <c r="U1049" s="5">
        <v>3</v>
      </c>
      <c r="V1049" s="5" t="s">
        <v>33</v>
      </c>
      <c r="W1049" s="5">
        <f t="shared" si="3"/>
        <v>0</v>
      </c>
    </row>
    <row r="1050" spans="1:23" ht="15.75" customHeight="1" x14ac:dyDescent="0.25">
      <c r="A1050" s="5" t="s">
        <v>1430</v>
      </c>
      <c r="B1050" s="6">
        <v>45250</v>
      </c>
      <c r="C1050" s="5" t="s">
        <v>474</v>
      </c>
      <c r="D1050" s="5" t="s">
        <v>135</v>
      </c>
      <c r="E1050" s="5" t="s">
        <v>26</v>
      </c>
      <c r="F1050" s="5" t="s">
        <v>27</v>
      </c>
      <c r="G1050" s="5" t="s">
        <v>70</v>
      </c>
      <c r="H1050" s="5" t="s">
        <v>44</v>
      </c>
      <c r="I1050" s="5" t="s">
        <v>71</v>
      </c>
      <c r="J1050" s="5">
        <v>690</v>
      </c>
      <c r="K1050" s="7">
        <v>1114.8888409771912</v>
      </c>
      <c r="L1050" s="5">
        <v>1</v>
      </c>
      <c r="M1050" s="5">
        <v>0</v>
      </c>
      <c r="N1050" s="8">
        <f t="shared" si="0"/>
        <v>1114.8888409771912</v>
      </c>
      <c r="O1050" s="5">
        <f t="shared" si="1"/>
        <v>690</v>
      </c>
      <c r="P1050" s="5">
        <f t="shared" si="2"/>
        <v>424.88884097719119</v>
      </c>
      <c r="Q1050" s="5" t="s">
        <v>83</v>
      </c>
      <c r="R1050" s="5" t="s">
        <v>32</v>
      </c>
      <c r="S1050" s="6">
        <v>45259</v>
      </c>
      <c r="T1050" s="5">
        <v>2</v>
      </c>
      <c r="U1050" s="5">
        <v>5</v>
      </c>
      <c r="V1050" s="5" t="s">
        <v>33</v>
      </c>
      <c r="W1050" s="5">
        <f t="shared" si="3"/>
        <v>0</v>
      </c>
    </row>
    <row r="1051" spans="1:23" ht="15.75" customHeight="1" x14ac:dyDescent="0.25">
      <c r="A1051" s="5" t="s">
        <v>1431</v>
      </c>
      <c r="B1051" s="6">
        <v>45250</v>
      </c>
      <c r="C1051" s="5" t="s">
        <v>759</v>
      </c>
      <c r="D1051" s="5" t="s">
        <v>135</v>
      </c>
      <c r="E1051" s="5" t="s">
        <v>80</v>
      </c>
      <c r="F1051" s="5" t="s">
        <v>80</v>
      </c>
      <c r="G1051" s="5" t="s">
        <v>81</v>
      </c>
      <c r="H1051" s="5" t="s">
        <v>44</v>
      </c>
      <c r="I1051" s="5" t="s">
        <v>82</v>
      </c>
      <c r="J1051" s="5">
        <v>2187</v>
      </c>
      <c r="K1051" s="7">
        <v>3672.034538816386</v>
      </c>
      <c r="L1051" s="5">
        <v>3</v>
      </c>
      <c r="M1051" s="5">
        <v>5</v>
      </c>
      <c r="N1051" s="8">
        <f t="shared" si="0"/>
        <v>10465.298435626699</v>
      </c>
      <c r="O1051" s="5">
        <f t="shared" si="1"/>
        <v>6561</v>
      </c>
      <c r="P1051" s="5">
        <f t="shared" si="2"/>
        <v>3904.2984356266988</v>
      </c>
      <c r="Q1051" s="5" t="s">
        <v>31</v>
      </c>
      <c r="R1051" s="5" t="s">
        <v>56</v>
      </c>
      <c r="T1051" s="5">
        <v>10</v>
      </c>
      <c r="U1051" s="5">
        <v>1</v>
      </c>
      <c r="W1051" s="5">
        <f t="shared" si="3"/>
        <v>0</v>
      </c>
    </row>
    <row r="1052" spans="1:23" ht="15.75" customHeight="1" x14ac:dyDescent="0.25">
      <c r="A1052" s="5" t="s">
        <v>1432</v>
      </c>
      <c r="B1052" s="6">
        <v>45251</v>
      </c>
      <c r="C1052" s="5" t="s">
        <v>326</v>
      </c>
      <c r="D1052" s="5" t="s">
        <v>42</v>
      </c>
      <c r="E1052" s="5" t="s">
        <v>49</v>
      </c>
      <c r="F1052" s="5" t="s">
        <v>50</v>
      </c>
      <c r="G1052" s="5" t="s">
        <v>81</v>
      </c>
      <c r="H1052" s="5" t="s">
        <v>44</v>
      </c>
      <c r="I1052" s="5" t="s">
        <v>82</v>
      </c>
      <c r="J1052" s="5">
        <v>1051</v>
      </c>
      <c r="K1052" s="7">
        <v>1232.5027434965473</v>
      </c>
      <c r="L1052" s="5">
        <v>2</v>
      </c>
      <c r="M1052" s="5">
        <v>0</v>
      </c>
      <c r="N1052" s="8">
        <f t="shared" si="0"/>
        <v>2465.0054869930946</v>
      </c>
      <c r="O1052" s="5">
        <f t="shared" si="1"/>
        <v>2102</v>
      </c>
      <c r="P1052" s="5">
        <f t="shared" si="2"/>
        <v>363.00548699309456</v>
      </c>
      <c r="Q1052" s="5" t="s">
        <v>39</v>
      </c>
      <c r="R1052" s="5" t="s">
        <v>56</v>
      </c>
      <c r="T1052" s="5">
        <v>10</v>
      </c>
      <c r="U1052" s="5">
        <v>1</v>
      </c>
      <c r="W1052" s="5">
        <f t="shared" si="3"/>
        <v>0</v>
      </c>
    </row>
    <row r="1053" spans="1:23" ht="15.75" customHeight="1" x14ac:dyDescent="0.25">
      <c r="A1053" s="5" t="s">
        <v>1433</v>
      </c>
      <c r="B1053" s="6">
        <v>45251</v>
      </c>
      <c r="C1053" s="5" t="s">
        <v>352</v>
      </c>
      <c r="D1053" s="5" t="s">
        <v>59</v>
      </c>
      <c r="E1053" s="5" t="s">
        <v>60</v>
      </c>
      <c r="F1053" s="5" t="s">
        <v>61</v>
      </c>
      <c r="G1053" s="5" t="s">
        <v>106</v>
      </c>
      <c r="H1053" s="5" t="s">
        <v>98</v>
      </c>
      <c r="I1053" s="5" t="s">
        <v>107</v>
      </c>
      <c r="J1053" s="5">
        <v>722</v>
      </c>
      <c r="K1053" s="7">
        <v>928.53983423629393</v>
      </c>
      <c r="L1053" s="5">
        <v>2</v>
      </c>
      <c r="M1053" s="5">
        <v>20</v>
      </c>
      <c r="N1053" s="8">
        <f t="shared" si="0"/>
        <v>1485.6637347780704</v>
      </c>
      <c r="O1053" s="5">
        <f t="shared" si="1"/>
        <v>1444</v>
      </c>
      <c r="P1053" s="5">
        <f t="shared" si="2"/>
        <v>41.66373477807042</v>
      </c>
      <c r="Q1053" s="5" t="s">
        <v>83</v>
      </c>
      <c r="R1053" s="5" t="s">
        <v>32</v>
      </c>
      <c r="S1053" s="6">
        <v>45258</v>
      </c>
      <c r="T1053" s="5">
        <v>4</v>
      </c>
      <c r="U1053" s="5">
        <v>2</v>
      </c>
      <c r="V1053" s="5" t="s">
        <v>33</v>
      </c>
      <c r="W1053" s="5">
        <f t="shared" si="3"/>
        <v>0</v>
      </c>
    </row>
    <row r="1054" spans="1:23" ht="15.75" customHeight="1" x14ac:dyDescent="0.25">
      <c r="A1054" s="5" t="s">
        <v>1434</v>
      </c>
      <c r="B1054" s="6">
        <v>45252</v>
      </c>
      <c r="C1054" s="5" t="s">
        <v>574</v>
      </c>
      <c r="D1054" s="5" t="s">
        <v>102</v>
      </c>
      <c r="E1054" s="5" t="s">
        <v>26</v>
      </c>
      <c r="F1054" s="5" t="s">
        <v>27</v>
      </c>
      <c r="G1054" s="5" t="s">
        <v>119</v>
      </c>
      <c r="H1054" s="5" t="s">
        <v>76</v>
      </c>
      <c r="I1054" s="5" t="s">
        <v>120</v>
      </c>
      <c r="J1054" s="5">
        <v>24910</v>
      </c>
      <c r="K1054" s="7">
        <v>36361.703373242199</v>
      </c>
      <c r="L1054" s="5">
        <v>2</v>
      </c>
      <c r="M1054" s="5">
        <v>0</v>
      </c>
      <c r="N1054" s="8">
        <f t="shared" si="0"/>
        <v>72723.406746484397</v>
      </c>
      <c r="O1054" s="5">
        <f t="shared" si="1"/>
        <v>49820</v>
      </c>
      <c r="P1054" s="5">
        <f t="shared" si="2"/>
        <v>22903.406746484397</v>
      </c>
      <c r="Q1054" s="5" t="s">
        <v>46</v>
      </c>
      <c r="R1054" s="5" t="s">
        <v>56</v>
      </c>
      <c r="T1054" s="5">
        <v>10</v>
      </c>
      <c r="U1054" s="5">
        <v>1</v>
      </c>
      <c r="W1054" s="5">
        <f t="shared" si="3"/>
        <v>0</v>
      </c>
    </row>
    <row r="1055" spans="1:23" ht="15.75" customHeight="1" x14ac:dyDescent="0.25">
      <c r="A1055" s="5" t="s">
        <v>1435</v>
      </c>
      <c r="B1055" s="6">
        <v>45252</v>
      </c>
      <c r="C1055" s="5" t="s">
        <v>509</v>
      </c>
      <c r="D1055" s="5" t="s">
        <v>25</v>
      </c>
      <c r="E1055" s="5" t="s">
        <v>49</v>
      </c>
      <c r="F1055" s="5" t="s">
        <v>50</v>
      </c>
      <c r="G1055" s="5" t="s">
        <v>81</v>
      </c>
      <c r="H1055" s="5" t="s">
        <v>44</v>
      </c>
      <c r="I1055" s="5" t="s">
        <v>82</v>
      </c>
      <c r="J1055" s="5">
        <v>2807</v>
      </c>
      <c r="K1055" s="7">
        <v>4636.7391643373594</v>
      </c>
      <c r="L1055" s="5">
        <v>4</v>
      </c>
      <c r="M1055" s="5">
        <v>5</v>
      </c>
      <c r="N1055" s="8">
        <f t="shared" si="0"/>
        <v>17619.608824481966</v>
      </c>
      <c r="O1055" s="5">
        <f t="shared" si="1"/>
        <v>11228</v>
      </c>
      <c r="P1055" s="5">
        <f t="shared" si="2"/>
        <v>6391.6088244819657</v>
      </c>
      <c r="Q1055" s="5" t="s">
        <v>83</v>
      </c>
      <c r="R1055" s="5" t="s">
        <v>32</v>
      </c>
      <c r="S1055" s="6">
        <v>45262</v>
      </c>
      <c r="T1055" s="5">
        <v>5</v>
      </c>
      <c r="U1055" s="5">
        <v>2</v>
      </c>
      <c r="V1055" s="5" t="s">
        <v>33</v>
      </c>
      <c r="W1055" s="5">
        <f t="shared" si="3"/>
        <v>0</v>
      </c>
    </row>
    <row r="1056" spans="1:23" ht="15.75" customHeight="1" x14ac:dyDescent="0.25">
      <c r="A1056" s="5" t="s">
        <v>1436</v>
      </c>
      <c r="B1056" s="6">
        <v>45253</v>
      </c>
      <c r="C1056" s="5" t="s">
        <v>808</v>
      </c>
      <c r="D1056" s="5" t="s">
        <v>36</v>
      </c>
      <c r="E1056" s="5" t="s">
        <v>49</v>
      </c>
      <c r="F1056" s="5" t="s">
        <v>50</v>
      </c>
      <c r="G1056" s="5" t="s">
        <v>28</v>
      </c>
      <c r="H1056" s="5" t="s">
        <v>29</v>
      </c>
      <c r="I1056" s="5" t="s">
        <v>30</v>
      </c>
      <c r="J1056" s="5">
        <v>5089</v>
      </c>
      <c r="K1056" s="7">
        <v>5930.0551916116965</v>
      </c>
      <c r="L1056" s="5">
        <v>3</v>
      </c>
      <c r="M1056" s="5">
        <v>0</v>
      </c>
      <c r="N1056" s="8">
        <f t="shared" si="0"/>
        <v>17790.16557483509</v>
      </c>
      <c r="O1056" s="5">
        <f t="shared" si="1"/>
        <v>15267</v>
      </c>
      <c r="P1056" s="5">
        <f t="shared" si="2"/>
        <v>2523.1655748350895</v>
      </c>
      <c r="Q1056" s="5" t="s">
        <v>46</v>
      </c>
      <c r="R1056" s="5" t="s">
        <v>32</v>
      </c>
      <c r="S1056" s="6">
        <v>45261</v>
      </c>
      <c r="T1056" s="5">
        <v>4</v>
      </c>
      <c r="U1056" s="5">
        <v>4</v>
      </c>
      <c r="V1056" s="5" t="s">
        <v>33</v>
      </c>
      <c r="W1056" s="5">
        <f t="shared" si="3"/>
        <v>0</v>
      </c>
    </row>
    <row r="1057" spans="1:23" ht="15.75" customHeight="1" x14ac:dyDescent="0.25">
      <c r="A1057" s="5" t="s">
        <v>1437</v>
      </c>
      <c r="B1057" s="6">
        <v>45253</v>
      </c>
      <c r="C1057" s="5" t="s">
        <v>696</v>
      </c>
      <c r="D1057" s="5" t="s">
        <v>208</v>
      </c>
      <c r="E1057" s="5" t="s">
        <v>26</v>
      </c>
      <c r="F1057" s="5" t="s">
        <v>27</v>
      </c>
      <c r="G1057" s="5" t="s">
        <v>70</v>
      </c>
      <c r="H1057" s="5" t="s">
        <v>44</v>
      </c>
      <c r="I1057" s="5" t="s">
        <v>71</v>
      </c>
      <c r="J1057" s="5">
        <v>1552</v>
      </c>
      <c r="K1057" s="7">
        <v>2123.8106506677709</v>
      </c>
      <c r="L1057" s="5">
        <v>2</v>
      </c>
      <c r="M1057" s="5">
        <v>10</v>
      </c>
      <c r="N1057" s="8">
        <f t="shared" si="0"/>
        <v>3822.8591712019879</v>
      </c>
      <c r="O1057" s="5">
        <f t="shared" si="1"/>
        <v>3104</v>
      </c>
      <c r="P1057" s="5">
        <f t="shared" si="2"/>
        <v>718.85917120198792</v>
      </c>
      <c r="Q1057" s="5" t="s">
        <v>83</v>
      </c>
      <c r="R1057" s="5" t="s">
        <v>32</v>
      </c>
      <c r="S1057" s="6">
        <v>45264</v>
      </c>
      <c r="T1057" s="5">
        <v>6</v>
      </c>
      <c r="U1057" s="5">
        <v>3</v>
      </c>
      <c r="V1057" s="5" t="s">
        <v>33</v>
      </c>
      <c r="W1057" s="5">
        <f t="shared" si="3"/>
        <v>0</v>
      </c>
    </row>
    <row r="1058" spans="1:23" ht="15.75" customHeight="1" x14ac:dyDescent="0.25">
      <c r="A1058" s="5" t="s">
        <v>1438</v>
      </c>
      <c r="B1058" s="6">
        <v>45253</v>
      </c>
      <c r="C1058" s="5" t="s">
        <v>560</v>
      </c>
      <c r="D1058" s="5" t="s">
        <v>105</v>
      </c>
      <c r="E1058" s="5" t="s">
        <v>37</v>
      </c>
      <c r="F1058" s="5" t="s">
        <v>38</v>
      </c>
      <c r="G1058" s="5" t="s">
        <v>106</v>
      </c>
      <c r="H1058" s="5" t="s">
        <v>98</v>
      </c>
      <c r="I1058" s="5" t="s">
        <v>107</v>
      </c>
      <c r="J1058" s="5">
        <v>953</v>
      </c>
      <c r="K1058" s="7">
        <v>1094.9545724340248</v>
      </c>
      <c r="L1058" s="5">
        <v>3</v>
      </c>
      <c r="M1058" s="5">
        <v>20</v>
      </c>
      <c r="N1058" s="8">
        <f t="shared" si="0"/>
        <v>2627.8909738416596</v>
      </c>
      <c r="O1058" s="5">
        <f t="shared" si="1"/>
        <v>2859</v>
      </c>
      <c r="P1058" s="5">
        <f t="shared" si="2"/>
        <v>-231.10902615834038</v>
      </c>
      <c r="Q1058" s="5" t="s">
        <v>39</v>
      </c>
      <c r="R1058" s="5" t="s">
        <v>56</v>
      </c>
      <c r="T1058" s="5">
        <v>7</v>
      </c>
      <c r="U1058" s="5">
        <v>2</v>
      </c>
      <c r="W1058" s="5">
        <f t="shared" si="3"/>
        <v>0</v>
      </c>
    </row>
    <row r="1059" spans="1:23" ht="15.75" customHeight="1" x14ac:dyDescent="0.25">
      <c r="A1059" s="5" t="s">
        <v>1439</v>
      </c>
      <c r="B1059" s="6">
        <v>45254</v>
      </c>
      <c r="C1059" s="5" t="s">
        <v>257</v>
      </c>
      <c r="D1059" s="5" t="s">
        <v>42</v>
      </c>
      <c r="E1059" s="5" t="s">
        <v>112</v>
      </c>
      <c r="F1059" s="5" t="s">
        <v>113</v>
      </c>
      <c r="G1059" s="5" t="s">
        <v>43</v>
      </c>
      <c r="H1059" s="5" t="s">
        <v>44</v>
      </c>
      <c r="I1059" s="5" t="s">
        <v>45</v>
      </c>
      <c r="J1059" s="5">
        <v>662</v>
      </c>
      <c r="K1059" s="7">
        <v>908.55402887489686</v>
      </c>
      <c r="L1059" s="5">
        <v>4</v>
      </c>
      <c r="M1059" s="5">
        <v>10</v>
      </c>
      <c r="N1059" s="8">
        <f t="shared" si="0"/>
        <v>3270.794503949629</v>
      </c>
      <c r="O1059" s="5">
        <f t="shared" si="1"/>
        <v>2648</v>
      </c>
      <c r="P1059" s="5">
        <f t="shared" si="2"/>
        <v>622.79450394962896</v>
      </c>
      <c r="Q1059" s="5" t="s">
        <v>31</v>
      </c>
      <c r="R1059" s="5" t="s">
        <v>32</v>
      </c>
      <c r="S1059" s="6">
        <v>45262</v>
      </c>
      <c r="T1059" s="5">
        <v>1</v>
      </c>
      <c r="U1059" s="5">
        <v>5</v>
      </c>
      <c r="V1059" s="5" t="s">
        <v>33</v>
      </c>
      <c r="W1059" s="5">
        <f t="shared" si="3"/>
        <v>0</v>
      </c>
    </row>
    <row r="1060" spans="1:23" ht="15.75" customHeight="1" x14ac:dyDescent="0.25">
      <c r="A1060" s="5" t="s">
        <v>1440</v>
      </c>
      <c r="B1060" s="6">
        <v>45254</v>
      </c>
      <c r="C1060" s="5" t="s">
        <v>571</v>
      </c>
      <c r="D1060" s="5" t="s">
        <v>208</v>
      </c>
      <c r="E1060" s="5" t="s">
        <v>54</v>
      </c>
      <c r="F1060" s="5" t="s">
        <v>55</v>
      </c>
      <c r="G1060" s="5" t="s">
        <v>106</v>
      </c>
      <c r="H1060" s="5" t="s">
        <v>98</v>
      </c>
      <c r="I1060" s="5" t="s">
        <v>107</v>
      </c>
      <c r="J1060" s="5">
        <v>828</v>
      </c>
      <c r="K1060" s="7">
        <v>845.05555317723019</v>
      </c>
      <c r="L1060" s="5">
        <v>1</v>
      </c>
      <c r="M1060" s="5">
        <v>10</v>
      </c>
      <c r="N1060" s="8">
        <f t="shared" si="0"/>
        <v>760.54999785950724</v>
      </c>
      <c r="O1060" s="5">
        <f t="shared" si="1"/>
        <v>828</v>
      </c>
      <c r="P1060" s="5">
        <f t="shared" si="2"/>
        <v>-67.450002140492757</v>
      </c>
      <c r="Q1060" s="5" t="s">
        <v>39</v>
      </c>
      <c r="R1060" s="5" t="s">
        <v>32</v>
      </c>
      <c r="S1060" s="6">
        <v>45265</v>
      </c>
      <c r="T1060" s="5">
        <v>6</v>
      </c>
      <c r="U1060" s="5">
        <v>4</v>
      </c>
      <c r="V1060" s="5" t="s">
        <v>89</v>
      </c>
      <c r="W1060" s="5">
        <f t="shared" si="3"/>
        <v>1</v>
      </c>
    </row>
    <row r="1061" spans="1:23" ht="15.75" customHeight="1" x14ac:dyDescent="0.25">
      <c r="A1061" s="5" t="s">
        <v>1441</v>
      </c>
      <c r="B1061" s="6">
        <v>45254</v>
      </c>
      <c r="C1061" s="5" t="s">
        <v>1442</v>
      </c>
      <c r="D1061" s="5" t="s">
        <v>74</v>
      </c>
      <c r="E1061" s="5" t="s">
        <v>49</v>
      </c>
      <c r="F1061" s="5" t="s">
        <v>50</v>
      </c>
      <c r="G1061" s="5" t="s">
        <v>81</v>
      </c>
      <c r="H1061" s="5" t="s">
        <v>44</v>
      </c>
      <c r="I1061" s="5" t="s">
        <v>82</v>
      </c>
      <c r="J1061" s="5">
        <v>2347</v>
      </c>
      <c r="K1061" s="7">
        <v>2964.1219929618874</v>
      </c>
      <c r="L1061" s="5">
        <v>5</v>
      </c>
      <c r="M1061" s="5">
        <v>15</v>
      </c>
      <c r="N1061" s="8">
        <f t="shared" si="0"/>
        <v>12597.518470088022</v>
      </c>
      <c r="O1061" s="5">
        <f t="shared" si="1"/>
        <v>11735</v>
      </c>
      <c r="P1061" s="5">
        <f t="shared" si="2"/>
        <v>862.51847008802179</v>
      </c>
      <c r="Q1061" s="5" t="s">
        <v>31</v>
      </c>
      <c r="R1061" s="5" t="s">
        <v>56</v>
      </c>
      <c r="T1061" s="5">
        <v>10</v>
      </c>
      <c r="U1061" s="5">
        <v>1</v>
      </c>
      <c r="W1061" s="5">
        <f t="shared" si="3"/>
        <v>0</v>
      </c>
    </row>
    <row r="1062" spans="1:23" ht="15.75" customHeight="1" x14ac:dyDescent="0.25">
      <c r="A1062" s="5" t="s">
        <v>1443</v>
      </c>
      <c r="B1062" s="6">
        <v>45255</v>
      </c>
      <c r="C1062" s="5" t="s">
        <v>284</v>
      </c>
      <c r="D1062" s="5" t="s">
        <v>102</v>
      </c>
      <c r="E1062" s="5" t="s">
        <v>37</v>
      </c>
      <c r="F1062" s="5" t="s">
        <v>38</v>
      </c>
      <c r="G1062" s="5" t="s">
        <v>81</v>
      </c>
      <c r="H1062" s="5" t="s">
        <v>44</v>
      </c>
      <c r="I1062" s="5" t="s">
        <v>82</v>
      </c>
      <c r="J1062" s="5">
        <v>1431</v>
      </c>
      <c r="K1062" s="7">
        <v>2447.0139868273982</v>
      </c>
      <c r="L1062" s="5">
        <v>5</v>
      </c>
      <c r="M1062" s="5">
        <v>20</v>
      </c>
      <c r="N1062" s="8">
        <f t="shared" si="0"/>
        <v>9788.0559473095927</v>
      </c>
      <c r="O1062" s="5">
        <f t="shared" si="1"/>
        <v>7155</v>
      </c>
      <c r="P1062" s="5">
        <f t="shared" si="2"/>
        <v>2633.0559473095927</v>
      </c>
      <c r="Q1062" s="5" t="s">
        <v>39</v>
      </c>
      <c r="R1062" s="5" t="s">
        <v>56</v>
      </c>
      <c r="T1062" s="5">
        <v>9</v>
      </c>
      <c r="U1062" s="5">
        <v>1</v>
      </c>
      <c r="W1062" s="5">
        <f t="shared" si="3"/>
        <v>0</v>
      </c>
    </row>
    <row r="1063" spans="1:23" ht="15.75" customHeight="1" x14ac:dyDescent="0.25">
      <c r="A1063" s="5" t="s">
        <v>1444</v>
      </c>
      <c r="B1063" s="6">
        <v>45255</v>
      </c>
      <c r="C1063" s="5" t="s">
        <v>350</v>
      </c>
      <c r="D1063" s="5" t="s">
        <v>36</v>
      </c>
      <c r="E1063" s="5" t="s">
        <v>26</v>
      </c>
      <c r="F1063" s="5" t="s">
        <v>27</v>
      </c>
      <c r="G1063" s="5" t="s">
        <v>97</v>
      </c>
      <c r="H1063" s="5" t="s">
        <v>98</v>
      </c>
      <c r="I1063" s="5" t="s">
        <v>99</v>
      </c>
      <c r="J1063" s="5">
        <v>532</v>
      </c>
      <c r="K1063" s="7">
        <v>753.8976006185195</v>
      </c>
      <c r="L1063" s="5">
        <v>1</v>
      </c>
      <c r="M1063" s="5">
        <v>0</v>
      </c>
      <c r="N1063" s="8">
        <f t="shared" si="0"/>
        <v>753.8976006185195</v>
      </c>
      <c r="O1063" s="5">
        <f t="shared" si="1"/>
        <v>532</v>
      </c>
      <c r="P1063" s="5">
        <f t="shared" si="2"/>
        <v>221.8976006185195</v>
      </c>
      <c r="Q1063" s="5" t="s">
        <v>39</v>
      </c>
      <c r="R1063" s="5" t="s">
        <v>56</v>
      </c>
      <c r="T1063" s="5">
        <v>8</v>
      </c>
      <c r="U1063" s="5">
        <v>2</v>
      </c>
      <c r="W1063" s="5">
        <f t="shared" si="3"/>
        <v>0</v>
      </c>
    </row>
    <row r="1064" spans="1:23" ht="15.75" customHeight="1" x14ac:dyDescent="0.25">
      <c r="A1064" s="5" t="s">
        <v>1445</v>
      </c>
      <c r="B1064" s="6">
        <v>45255</v>
      </c>
      <c r="C1064" s="5" t="s">
        <v>1279</v>
      </c>
      <c r="D1064" s="5" t="s">
        <v>208</v>
      </c>
      <c r="E1064" s="5" t="s">
        <v>112</v>
      </c>
      <c r="F1064" s="5" t="s">
        <v>113</v>
      </c>
      <c r="G1064" s="5" t="s">
        <v>81</v>
      </c>
      <c r="H1064" s="5" t="s">
        <v>44</v>
      </c>
      <c r="I1064" s="5" t="s">
        <v>82</v>
      </c>
      <c r="J1064" s="5">
        <v>1146</v>
      </c>
      <c r="K1064" s="7">
        <v>1566.9870920744702</v>
      </c>
      <c r="L1064" s="5">
        <v>5</v>
      </c>
      <c r="M1064" s="5">
        <v>10</v>
      </c>
      <c r="N1064" s="8">
        <f t="shared" si="0"/>
        <v>7051.4419143351161</v>
      </c>
      <c r="O1064" s="5">
        <f t="shared" si="1"/>
        <v>5730</v>
      </c>
      <c r="P1064" s="5">
        <f t="shared" si="2"/>
        <v>1321.4419143351161</v>
      </c>
      <c r="Q1064" s="5" t="s">
        <v>31</v>
      </c>
      <c r="R1064" s="5" t="s">
        <v>32</v>
      </c>
      <c r="S1064" s="6">
        <v>45264</v>
      </c>
      <c r="T1064" s="5">
        <v>4</v>
      </c>
      <c r="U1064" s="5">
        <v>4</v>
      </c>
      <c r="V1064" s="5" t="s">
        <v>33</v>
      </c>
      <c r="W1064" s="5">
        <f t="shared" si="3"/>
        <v>0</v>
      </c>
    </row>
    <row r="1065" spans="1:23" ht="15.75" customHeight="1" x14ac:dyDescent="0.25">
      <c r="A1065" s="5" t="s">
        <v>1446</v>
      </c>
      <c r="B1065" s="6">
        <v>45255</v>
      </c>
      <c r="C1065" s="5" t="s">
        <v>744</v>
      </c>
      <c r="D1065" s="5" t="s">
        <v>74</v>
      </c>
      <c r="E1065" s="5" t="s">
        <v>37</v>
      </c>
      <c r="F1065" s="5" t="s">
        <v>38</v>
      </c>
      <c r="G1065" s="5" t="s">
        <v>139</v>
      </c>
      <c r="H1065" s="5" t="s">
        <v>76</v>
      </c>
      <c r="I1065" s="5" t="s">
        <v>140</v>
      </c>
      <c r="J1065" s="5">
        <v>36723</v>
      </c>
      <c r="K1065" s="7">
        <v>52475.875367209504</v>
      </c>
      <c r="L1065" s="5">
        <v>1</v>
      </c>
      <c r="M1065" s="5">
        <v>15</v>
      </c>
      <c r="N1065" s="8">
        <f t="shared" si="0"/>
        <v>44604.494062128077</v>
      </c>
      <c r="O1065" s="5">
        <f t="shared" si="1"/>
        <v>36723</v>
      </c>
      <c r="P1065" s="5">
        <f t="shared" si="2"/>
        <v>7881.4940621280766</v>
      </c>
      <c r="Q1065" s="5" t="s">
        <v>83</v>
      </c>
      <c r="R1065" s="5" t="s">
        <v>32</v>
      </c>
      <c r="S1065" s="6">
        <v>45262</v>
      </c>
      <c r="T1065" s="5">
        <v>2</v>
      </c>
      <c r="U1065" s="5">
        <v>5</v>
      </c>
      <c r="V1065" s="5" t="s">
        <v>33</v>
      </c>
      <c r="W1065" s="5">
        <f t="shared" si="3"/>
        <v>0</v>
      </c>
    </row>
    <row r="1066" spans="1:23" ht="15.75" customHeight="1" x14ac:dyDescent="0.25">
      <c r="A1066" s="5" t="s">
        <v>1447</v>
      </c>
      <c r="B1066" s="6">
        <v>45256</v>
      </c>
      <c r="C1066" s="5" t="s">
        <v>225</v>
      </c>
      <c r="D1066" s="5" t="s">
        <v>116</v>
      </c>
      <c r="E1066" s="5" t="s">
        <v>60</v>
      </c>
      <c r="F1066" s="5" t="s">
        <v>61</v>
      </c>
      <c r="G1066" s="5" t="s">
        <v>119</v>
      </c>
      <c r="H1066" s="5" t="s">
        <v>76</v>
      </c>
      <c r="I1066" s="5" t="s">
        <v>120</v>
      </c>
      <c r="J1066" s="5">
        <v>78072</v>
      </c>
      <c r="K1066" s="7">
        <v>84155.142115178489</v>
      </c>
      <c r="L1066" s="5">
        <v>3</v>
      </c>
      <c r="M1066" s="5">
        <v>10</v>
      </c>
      <c r="N1066" s="8">
        <f t="shared" si="0"/>
        <v>227218.88371098193</v>
      </c>
      <c r="O1066" s="5">
        <f t="shared" si="1"/>
        <v>234216</v>
      </c>
      <c r="P1066" s="5">
        <f t="shared" si="2"/>
        <v>-6997.1162890180713</v>
      </c>
      <c r="Q1066" s="5" t="s">
        <v>83</v>
      </c>
      <c r="R1066" s="5" t="s">
        <v>56</v>
      </c>
      <c r="T1066" s="5">
        <v>8</v>
      </c>
      <c r="U1066" s="5">
        <v>4</v>
      </c>
      <c r="W1066" s="5">
        <f t="shared" si="3"/>
        <v>0</v>
      </c>
    </row>
    <row r="1067" spans="1:23" ht="15.75" customHeight="1" x14ac:dyDescent="0.25">
      <c r="A1067" s="5" t="s">
        <v>1448</v>
      </c>
      <c r="B1067" s="6">
        <v>45256</v>
      </c>
      <c r="C1067" s="5" t="s">
        <v>218</v>
      </c>
      <c r="D1067" s="5" t="s">
        <v>105</v>
      </c>
      <c r="E1067" s="5" t="s">
        <v>37</v>
      </c>
      <c r="F1067" s="5" t="s">
        <v>38</v>
      </c>
      <c r="G1067" s="5" t="s">
        <v>106</v>
      </c>
      <c r="H1067" s="5" t="s">
        <v>98</v>
      </c>
      <c r="I1067" s="5" t="s">
        <v>107</v>
      </c>
      <c r="J1067" s="5">
        <v>766</v>
      </c>
      <c r="K1067" s="7">
        <v>884.21070437503545</v>
      </c>
      <c r="L1067" s="5">
        <v>2</v>
      </c>
      <c r="M1067" s="5">
        <v>15</v>
      </c>
      <c r="N1067" s="8">
        <f t="shared" si="0"/>
        <v>1503.1581974375601</v>
      </c>
      <c r="O1067" s="5">
        <f t="shared" si="1"/>
        <v>1532</v>
      </c>
      <c r="P1067" s="5">
        <f t="shared" si="2"/>
        <v>-28.841802562439852</v>
      </c>
      <c r="Q1067" s="5" t="s">
        <v>46</v>
      </c>
      <c r="R1067" s="5" t="s">
        <v>32</v>
      </c>
      <c r="S1067" s="6">
        <v>45263</v>
      </c>
      <c r="T1067" s="5">
        <v>4</v>
      </c>
      <c r="U1067" s="5">
        <v>2</v>
      </c>
      <c r="V1067" s="5" t="s">
        <v>33</v>
      </c>
      <c r="W1067" s="5">
        <f t="shared" si="3"/>
        <v>0</v>
      </c>
    </row>
    <row r="1068" spans="1:23" ht="15.75" customHeight="1" x14ac:dyDescent="0.25">
      <c r="A1068" s="5" t="s">
        <v>1449</v>
      </c>
      <c r="B1068" s="6">
        <v>45256</v>
      </c>
      <c r="C1068" s="5" t="s">
        <v>443</v>
      </c>
      <c r="D1068" s="5" t="s">
        <v>64</v>
      </c>
      <c r="E1068" s="5" t="s">
        <v>37</v>
      </c>
      <c r="F1068" s="5" t="s">
        <v>38</v>
      </c>
      <c r="G1068" s="5" t="s">
        <v>139</v>
      </c>
      <c r="H1068" s="5" t="s">
        <v>76</v>
      </c>
      <c r="I1068" s="5" t="s">
        <v>140</v>
      </c>
      <c r="J1068" s="5">
        <v>39235</v>
      </c>
      <c r="K1068" s="7">
        <v>53043.155747885277</v>
      </c>
      <c r="L1068" s="5">
        <v>3</v>
      </c>
      <c r="M1068" s="5">
        <v>5</v>
      </c>
      <c r="N1068" s="8">
        <f t="shared" si="0"/>
        <v>151172.99388147303</v>
      </c>
      <c r="O1068" s="5">
        <f t="shared" si="1"/>
        <v>117705</v>
      </c>
      <c r="P1068" s="5">
        <f t="shared" si="2"/>
        <v>33467.993881473027</v>
      </c>
      <c r="Q1068" s="5" t="s">
        <v>31</v>
      </c>
      <c r="R1068" s="5" t="s">
        <v>32</v>
      </c>
      <c r="S1068" s="6">
        <v>45269</v>
      </c>
      <c r="T1068" s="5">
        <v>6</v>
      </c>
      <c r="U1068" s="5">
        <v>3</v>
      </c>
      <c r="V1068" s="5" t="s">
        <v>33</v>
      </c>
      <c r="W1068" s="5">
        <f t="shared" si="3"/>
        <v>0</v>
      </c>
    </row>
    <row r="1069" spans="1:23" ht="15.75" customHeight="1" x14ac:dyDescent="0.25">
      <c r="A1069" s="5" t="s">
        <v>1450</v>
      </c>
      <c r="B1069" s="6">
        <v>45256</v>
      </c>
      <c r="C1069" s="5" t="s">
        <v>1004</v>
      </c>
      <c r="D1069" s="5" t="s">
        <v>25</v>
      </c>
      <c r="E1069" s="5" t="s">
        <v>80</v>
      </c>
      <c r="F1069" s="5" t="s">
        <v>80</v>
      </c>
      <c r="G1069" s="5" t="s">
        <v>43</v>
      </c>
      <c r="H1069" s="5" t="s">
        <v>44</v>
      </c>
      <c r="I1069" s="5" t="s">
        <v>45</v>
      </c>
      <c r="J1069" s="5">
        <v>727</v>
      </c>
      <c r="K1069" s="7">
        <v>1103.7448877089905</v>
      </c>
      <c r="L1069" s="5">
        <v>5</v>
      </c>
      <c r="M1069" s="5">
        <v>15</v>
      </c>
      <c r="N1069" s="8">
        <f t="shared" si="0"/>
        <v>4690.9157727632091</v>
      </c>
      <c r="O1069" s="5">
        <f t="shared" si="1"/>
        <v>3635</v>
      </c>
      <c r="P1069" s="5">
        <f t="shared" si="2"/>
        <v>1055.9157727632091</v>
      </c>
      <c r="Q1069" s="5" t="s">
        <v>46</v>
      </c>
      <c r="R1069" s="5" t="s">
        <v>32</v>
      </c>
      <c r="S1069" s="6">
        <v>45260</v>
      </c>
      <c r="T1069" s="5">
        <v>1</v>
      </c>
      <c r="U1069" s="5">
        <v>4</v>
      </c>
      <c r="V1069" s="5" t="s">
        <v>33</v>
      </c>
      <c r="W1069" s="5">
        <f t="shared" si="3"/>
        <v>0</v>
      </c>
    </row>
    <row r="1070" spans="1:23" ht="15.75" customHeight="1" x14ac:dyDescent="0.25">
      <c r="A1070" s="5" t="s">
        <v>1451</v>
      </c>
      <c r="B1070" s="6">
        <v>45256</v>
      </c>
      <c r="C1070" s="5" t="s">
        <v>687</v>
      </c>
      <c r="D1070" s="5" t="s">
        <v>53</v>
      </c>
      <c r="E1070" s="5" t="s">
        <v>49</v>
      </c>
      <c r="F1070" s="5" t="s">
        <v>50</v>
      </c>
      <c r="G1070" s="5" t="s">
        <v>119</v>
      </c>
      <c r="H1070" s="5" t="s">
        <v>76</v>
      </c>
      <c r="I1070" s="5" t="s">
        <v>120</v>
      </c>
      <c r="J1070" s="5">
        <v>45682</v>
      </c>
      <c r="K1070" s="7">
        <v>81339.120389743461</v>
      </c>
      <c r="L1070" s="5">
        <v>5</v>
      </c>
      <c r="M1070" s="5">
        <v>15</v>
      </c>
      <c r="N1070" s="8">
        <f t="shared" si="0"/>
        <v>345691.26165640971</v>
      </c>
      <c r="O1070" s="5">
        <f t="shared" si="1"/>
        <v>228410</v>
      </c>
      <c r="P1070" s="5">
        <f t="shared" si="2"/>
        <v>117281.26165640971</v>
      </c>
      <c r="Q1070" s="5" t="s">
        <v>46</v>
      </c>
      <c r="R1070" s="5" t="s">
        <v>32</v>
      </c>
      <c r="S1070" s="6">
        <v>45267</v>
      </c>
      <c r="T1070" s="5">
        <v>5</v>
      </c>
      <c r="U1070" s="5">
        <v>2</v>
      </c>
      <c r="V1070" s="5" t="s">
        <v>33</v>
      </c>
      <c r="W1070" s="5">
        <f t="shared" si="3"/>
        <v>0</v>
      </c>
    </row>
    <row r="1071" spans="1:23" ht="15.75" customHeight="1" x14ac:dyDescent="0.25">
      <c r="A1071" s="5" t="s">
        <v>1452</v>
      </c>
      <c r="B1071" s="6">
        <v>45257</v>
      </c>
      <c r="C1071" s="5" t="s">
        <v>739</v>
      </c>
      <c r="D1071" s="5" t="s">
        <v>102</v>
      </c>
      <c r="E1071" s="5" t="s">
        <v>112</v>
      </c>
      <c r="F1071" s="5" t="s">
        <v>113</v>
      </c>
      <c r="G1071" s="5" t="s">
        <v>75</v>
      </c>
      <c r="H1071" s="5" t="s">
        <v>76</v>
      </c>
      <c r="I1071" s="5" t="s">
        <v>77</v>
      </c>
      <c r="J1071" s="5">
        <v>1673</v>
      </c>
      <c r="K1071" s="7">
        <v>2480.6752880602539</v>
      </c>
      <c r="L1071" s="5">
        <v>2</v>
      </c>
      <c r="M1071" s="5">
        <v>20</v>
      </c>
      <c r="N1071" s="8">
        <f t="shared" si="0"/>
        <v>3969.0804608964063</v>
      </c>
      <c r="O1071" s="5">
        <f t="shared" si="1"/>
        <v>3346</v>
      </c>
      <c r="P1071" s="5">
        <f t="shared" si="2"/>
        <v>623.08046089640629</v>
      </c>
      <c r="Q1071" s="5" t="s">
        <v>83</v>
      </c>
      <c r="R1071" s="5" t="s">
        <v>56</v>
      </c>
      <c r="T1071" s="5">
        <v>7</v>
      </c>
      <c r="U1071" s="5">
        <v>4</v>
      </c>
      <c r="W1071" s="5">
        <f t="shared" si="3"/>
        <v>0</v>
      </c>
    </row>
    <row r="1072" spans="1:23" ht="15.75" customHeight="1" x14ac:dyDescent="0.25">
      <c r="A1072" s="5" t="s">
        <v>1453</v>
      </c>
      <c r="B1072" s="6">
        <v>45257</v>
      </c>
      <c r="C1072" s="5" t="s">
        <v>425</v>
      </c>
      <c r="D1072" s="5" t="s">
        <v>116</v>
      </c>
      <c r="E1072" s="5" t="s">
        <v>60</v>
      </c>
      <c r="F1072" s="5" t="s">
        <v>61</v>
      </c>
      <c r="G1072" s="5" t="s">
        <v>97</v>
      </c>
      <c r="H1072" s="5" t="s">
        <v>98</v>
      </c>
      <c r="I1072" s="5" t="s">
        <v>99</v>
      </c>
      <c r="J1072" s="5">
        <v>449</v>
      </c>
      <c r="K1072" s="7">
        <v>701.96444464305193</v>
      </c>
      <c r="L1072" s="5">
        <v>3</v>
      </c>
      <c r="M1072" s="5">
        <v>20</v>
      </c>
      <c r="N1072" s="8">
        <f t="shared" si="0"/>
        <v>1684.7146671433247</v>
      </c>
      <c r="O1072" s="5">
        <f t="shared" si="1"/>
        <v>1347</v>
      </c>
      <c r="P1072" s="5">
        <f t="shared" si="2"/>
        <v>337.71466714332473</v>
      </c>
      <c r="Q1072" s="5" t="s">
        <v>31</v>
      </c>
      <c r="R1072" s="5" t="s">
        <v>32</v>
      </c>
      <c r="S1072" s="6">
        <v>45264</v>
      </c>
      <c r="T1072" s="5">
        <v>1</v>
      </c>
      <c r="U1072" s="5">
        <v>5</v>
      </c>
      <c r="V1072" s="5" t="s">
        <v>33</v>
      </c>
      <c r="W1072" s="5">
        <f t="shared" si="3"/>
        <v>0</v>
      </c>
    </row>
    <row r="1073" spans="1:23" ht="15.75" customHeight="1" x14ac:dyDescent="0.25">
      <c r="A1073" s="5" t="s">
        <v>1454</v>
      </c>
      <c r="B1073" s="6">
        <v>45257</v>
      </c>
      <c r="C1073" s="5" t="s">
        <v>1131</v>
      </c>
      <c r="D1073" s="5" t="s">
        <v>138</v>
      </c>
      <c r="E1073" s="5" t="s">
        <v>37</v>
      </c>
      <c r="F1073" s="5" t="s">
        <v>38</v>
      </c>
      <c r="G1073" s="5" t="s">
        <v>106</v>
      </c>
      <c r="H1073" s="5" t="s">
        <v>98</v>
      </c>
      <c r="I1073" s="5" t="s">
        <v>107</v>
      </c>
      <c r="J1073" s="5">
        <v>679</v>
      </c>
      <c r="K1073" s="7">
        <v>709.18287760145961</v>
      </c>
      <c r="L1073" s="5">
        <v>1</v>
      </c>
      <c r="M1073" s="5">
        <v>20</v>
      </c>
      <c r="N1073" s="8">
        <f t="shared" si="0"/>
        <v>567.34630208116766</v>
      </c>
      <c r="O1073" s="5">
        <f t="shared" si="1"/>
        <v>679</v>
      </c>
      <c r="P1073" s="5">
        <f t="shared" si="2"/>
        <v>-111.65369791883234</v>
      </c>
      <c r="Q1073" s="5" t="s">
        <v>83</v>
      </c>
      <c r="R1073" s="5" t="s">
        <v>32</v>
      </c>
      <c r="S1073" s="6">
        <v>45266</v>
      </c>
      <c r="T1073" s="5">
        <v>2</v>
      </c>
      <c r="U1073" s="5">
        <v>5</v>
      </c>
      <c r="V1073" s="5" t="s">
        <v>33</v>
      </c>
      <c r="W1073" s="5">
        <f t="shared" si="3"/>
        <v>0</v>
      </c>
    </row>
    <row r="1074" spans="1:23" ht="15.75" customHeight="1" x14ac:dyDescent="0.25">
      <c r="A1074" s="5" t="s">
        <v>1455</v>
      </c>
      <c r="B1074" s="6">
        <v>45258</v>
      </c>
      <c r="C1074" s="5" t="s">
        <v>1026</v>
      </c>
      <c r="D1074" s="5" t="s">
        <v>138</v>
      </c>
      <c r="E1074" s="5" t="s">
        <v>26</v>
      </c>
      <c r="F1074" s="5" t="s">
        <v>27</v>
      </c>
      <c r="G1074" s="5" t="s">
        <v>106</v>
      </c>
      <c r="H1074" s="5" t="s">
        <v>98</v>
      </c>
      <c r="I1074" s="5" t="s">
        <v>107</v>
      </c>
      <c r="J1074" s="5">
        <v>787</v>
      </c>
      <c r="K1074" s="7">
        <v>832.29456969861212</v>
      </c>
      <c r="L1074" s="5">
        <v>5</v>
      </c>
      <c r="M1074" s="5">
        <v>20</v>
      </c>
      <c r="N1074" s="8">
        <f t="shared" si="0"/>
        <v>3329.1782787944485</v>
      </c>
      <c r="O1074" s="5">
        <f t="shared" si="1"/>
        <v>3935</v>
      </c>
      <c r="P1074" s="5">
        <f t="shared" si="2"/>
        <v>-605.82172120555151</v>
      </c>
      <c r="Q1074" s="5" t="s">
        <v>31</v>
      </c>
      <c r="R1074" s="5" t="s">
        <v>56</v>
      </c>
      <c r="T1074" s="5">
        <v>10</v>
      </c>
      <c r="U1074" s="5">
        <v>1</v>
      </c>
      <c r="W1074" s="5">
        <f t="shared" si="3"/>
        <v>0</v>
      </c>
    </row>
    <row r="1075" spans="1:23" ht="15.75" customHeight="1" x14ac:dyDescent="0.25">
      <c r="A1075" s="5" t="s">
        <v>1456</v>
      </c>
      <c r="B1075" s="6">
        <v>45258</v>
      </c>
      <c r="C1075" s="5" t="s">
        <v>400</v>
      </c>
      <c r="D1075" s="5" t="s">
        <v>135</v>
      </c>
      <c r="E1075" s="5" t="s">
        <v>54</v>
      </c>
      <c r="F1075" s="5" t="s">
        <v>55</v>
      </c>
      <c r="G1075" s="5" t="s">
        <v>139</v>
      </c>
      <c r="H1075" s="5" t="s">
        <v>76</v>
      </c>
      <c r="I1075" s="5" t="s">
        <v>140</v>
      </c>
      <c r="J1075" s="5">
        <v>40464</v>
      </c>
      <c r="K1075" s="7">
        <v>69106.959806802435</v>
      </c>
      <c r="L1075" s="5">
        <v>1</v>
      </c>
      <c r="M1075" s="5">
        <v>5</v>
      </c>
      <c r="N1075" s="8">
        <f t="shared" si="0"/>
        <v>65651.611816462304</v>
      </c>
      <c r="O1075" s="5">
        <f t="shared" si="1"/>
        <v>40464</v>
      </c>
      <c r="P1075" s="5">
        <f t="shared" si="2"/>
        <v>25187.611816462304</v>
      </c>
      <c r="Q1075" s="5" t="s">
        <v>46</v>
      </c>
      <c r="R1075" s="5" t="s">
        <v>32</v>
      </c>
      <c r="S1075" s="6">
        <v>45265</v>
      </c>
      <c r="T1075" s="5">
        <v>4</v>
      </c>
      <c r="U1075" s="5">
        <v>2</v>
      </c>
      <c r="V1075" s="5" t="s">
        <v>33</v>
      </c>
      <c r="W1075" s="5">
        <f t="shared" si="3"/>
        <v>0</v>
      </c>
    </row>
    <row r="1076" spans="1:23" ht="15.75" customHeight="1" x14ac:dyDescent="0.25">
      <c r="A1076" s="5" t="s">
        <v>1457</v>
      </c>
      <c r="B1076" s="6">
        <v>45258</v>
      </c>
      <c r="C1076" s="5" t="s">
        <v>831</v>
      </c>
      <c r="D1076" s="5" t="s">
        <v>146</v>
      </c>
      <c r="E1076" s="5" t="s">
        <v>60</v>
      </c>
      <c r="F1076" s="5" t="s">
        <v>61</v>
      </c>
      <c r="G1076" s="5" t="s">
        <v>119</v>
      </c>
      <c r="H1076" s="5" t="s">
        <v>76</v>
      </c>
      <c r="I1076" s="5" t="s">
        <v>120</v>
      </c>
      <c r="J1076" s="5">
        <v>79924</v>
      </c>
      <c r="K1076" s="7">
        <v>114144.15444080735</v>
      </c>
      <c r="L1076" s="5">
        <v>2</v>
      </c>
      <c r="M1076" s="5">
        <v>15</v>
      </c>
      <c r="N1076" s="8">
        <f t="shared" si="0"/>
        <v>194045.06254937249</v>
      </c>
      <c r="O1076" s="5">
        <f t="shared" si="1"/>
        <v>159848</v>
      </c>
      <c r="P1076" s="5">
        <f t="shared" si="2"/>
        <v>34197.062549372495</v>
      </c>
      <c r="Q1076" s="5" t="s">
        <v>46</v>
      </c>
      <c r="R1076" s="5" t="s">
        <v>32</v>
      </c>
      <c r="S1076" s="6">
        <v>45271</v>
      </c>
      <c r="T1076" s="5">
        <v>6</v>
      </c>
      <c r="U1076" s="5">
        <v>2</v>
      </c>
      <c r="V1076" s="5" t="s">
        <v>33</v>
      </c>
      <c r="W1076" s="5">
        <f t="shared" si="3"/>
        <v>0</v>
      </c>
    </row>
    <row r="1077" spans="1:23" ht="15.75" customHeight="1" x14ac:dyDescent="0.25">
      <c r="A1077" s="5" t="s">
        <v>1458</v>
      </c>
      <c r="B1077" s="6">
        <v>45258</v>
      </c>
      <c r="C1077" s="5" t="s">
        <v>339</v>
      </c>
      <c r="D1077" s="5" t="s">
        <v>135</v>
      </c>
      <c r="E1077" s="5" t="s">
        <v>49</v>
      </c>
      <c r="F1077" s="5" t="s">
        <v>50</v>
      </c>
      <c r="G1077" s="5" t="s">
        <v>43</v>
      </c>
      <c r="H1077" s="5" t="s">
        <v>44</v>
      </c>
      <c r="I1077" s="5" t="s">
        <v>45</v>
      </c>
      <c r="J1077" s="5">
        <v>531</v>
      </c>
      <c r="K1077" s="7">
        <v>666.62122259965872</v>
      </c>
      <c r="L1077" s="5">
        <v>5</v>
      </c>
      <c r="M1077" s="5">
        <v>20</v>
      </c>
      <c r="N1077" s="8">
        <f t="shared" si="0"/>
        <v>2666.4848903986349</v>
      </c>
      <c r="O1077" s="5">
        <f t="shared" si="1"/>
        <v>2655</v>
      </c>
      <c r="P1077" s="5">
        <f t="shared" si="2"/>
        <v>11.484890398634889</v>
      </c>
      <c r="Q1077" s="5" t="s">
        <v>83</v>
      </c>
      <c r="R1077" s="5" t="s">
        <v>56</v>
      </c>
      <c r="T1077" s="5">
        <v>10</v>
      </c>
      <c r="U1077" s="5">
        <v>1</v>
      </c>
      <c r="W1077" s="5">
        <f t="shared" si="3"/>
        <v>0</v>
      </c>
    </row>
    <row r="1078" spans="1:23" ht="15.75" customHeight="1" x14ac:dyDescent="0.25">
      <c r="A1078" s="5" t="s">
        <v>1459</v>
      </c>
      <c r="B1078" s="6">
        <v>45258</v>
      </c>
      <c r="C1078" s="5" t="s">
        <v>352</v>
      </c>
      <c r="D1078" s="5" t="s">
        <v>208</v>
      </c>
      <c r="E1078" s="5" t="s">
        <v>60</v>
      </c>
      <c r="F1078" s="5" t="s">
        <v>61</v>
      </c>
      <c r="G1078" s="5" t="s">
        <v>92</v>
      </c>
      <c r="H1078" s="5" t="s">
        <v>44</v>
      </c>
      <c r="I1078" s="5" t="s">
        <v>45</v>
      </c>
      <c r="J1078" s="5">
        <v>1067</v>
      </c>
      <c r="K1078" s="7">
        <v>1885.647053790402</v>
      </c>
      <c r="L1078" s="5">
        <v>4</v>
      </c>
      <c r="M1078" s="5">
        <v>5</v>
      </c>
      <c r="N1078" s="8">
        <f t="shared" si="0"/>
        <v>7165.4588044035272</v>
      </c>
      <c r="O1078" s="5">
        <f t="shared" si="1"/>
        <v>4268</v>
      </c>
      <c r="P1078" s="5">
        <f t="shared" si="2"/>
        <v>2897.4588044035272</v>
      </c>
      <c r="Q1078" s="5" t="s">
        <v>46</v>
      </c>
      <c r="R1078" s="5" t="s">
        <v>56</v>
      </c>
      <c r="T1078" s="5">
        <v>9</v>
      </c>
      <c r="U1078" s="5">
        <v>1</v>
      </c>
      <c r="W1078" s="5">
        <f t="shared" si="3"/>
        <v>0</v>
      </c>
    </row>
    <row r="1079" spans="1:23" ht="15.75" customHeight="1" x14ac:dyDescent="0.25">
      <c r="A1079" s="5" t="s">
        <v>1460</v>
      </c>
      <c r="B1079" s="6">
        <v>45259</v>
      </c>
      <c r="C1079" s="5" t="s">
        <v>672</v>
      </c>
      <c r="D1079" s="5" t="s">
        <v>188</v>
      </c>
      <c r="E1079" s="5" t="s">
        <v>26</v>
      </c>
      <c r="F1079" s="5" t="s">
        <v>27</v>
      </c>
      <c r="G1079" s="5" t="s">
        <v>106</v>
      </c>
      <c r="H1079" s="5" t="s">
        <v>98</v>
      </c>
      <c r="I1079" s="5" t="s">
        <v>107</v>
      </c>
      <c r="J1079" s="5">
        <v>858</v>
      </c>
      <c r="K1079" s="7">
        <v>1458.6672900067852</v>
      </c>
      <c r="L1079" s="5">
        <v>5</v>
      </c>
      <c r="M1079" s="5">
        <v>20</v>
      </c>
      <c r="N1079" s="8">
        <f t="shared" si="0"/>
        <v>5834.6691600271406</v>
      </c>
      <c r="O1079" s="5">
        <f t="shared" si="1"/>
        <v>4290</v>
      </c>
      <c r="P1079" s="5">
        <f t="shared" si="2"/>
        <v>1544.6691600271406</v>
      </c>
      <c r="Q1079" s="5" t="s">
        <v>39</v>
      </c>
      <c r="R1079" s="5" t="s">
        <v>56</v>
      </c>
      <c r="T1079" s="5">
        <v>9</v>
      </c>
      <c r="U1079" s="5">
        <v>1</v>
      </c>
      <c r="W1079" s="5">
        <f t="shared" si="3"/>
        <v>0</v>
      </c>
    </row>
    <row r="1080" spans="1:23" ht="15.75" customHeight="1" x14ac:dyDescent="0.25">
      <c r="A1080" s="5" t="s">
        <v>1461</v>
      </c>
      <c r="B1080" s="6">
        <v>45259</v>
      </c>
      <c r="C1080" s="5" t="s">
        <v>152</v>
      </c>
      <c r="D1080" s="5" t="s">
        <v>146</v>
      </c>
      <c r="E1080" s="5" t="s">
        <v>37</v>
      </c>
      <c r="F1080" s="5" t="s">
        <v>38</v>
      </c>
      <c r="G1080" s="5" t="s">
        <v>81</v>
      </c>
      <c r="H1080" s="5" t="s">
        <v>44</v>
      </c>
      <c r="I1080" s="5" t="s">
        <v>82</v>
      </c>
      <c r="J1080" s="5">
        <v>1743</v>
      </c>
      <c r="K1080" s="7">
        <v>2216.783667896781</v>
      </c>
      <c r="L1080" s="5">
        <v>1</v>
      </c>
      <c r="M1080" s="5">
        <v>5</v>
      </c>
      <c r="N1080" s="8">
        <f t="shared" si="0"/>
        <v>2105.944484501942</v>
      </c>
      <c r="O1080" s="5">
        <f t="shared" si="1"/>
        <v>1743</v>
      </c>
      <c r="P1080" s="5">
        <f t="shared" si="2"/>
        <v>362.94448450194204</v>
      </c>
      <c r="Q1080" s="5" t="s">
        <v>39</v>
      </c>
      <c r="R1080" s="5" t="s">
        <v>32</v>
      </c>
      <c r="S1080" s="6">
        <v>45268</v>
      </c>
      <c r="T1080" s="5">
        <v>6</v>
      </c>
      <c r="U1080" s="5">
        <v>3</v>
      </c>
      <c r="V1080" s="5" t="s">
        <v>33</v>
      </c>
      <c r="W1080" s="5">
        <f t="shared" si="3"/>
        <v>0</v>
      </c>
    </row>
    <row r="1081" spans="1:23" ht="15.75" customHeight="1" x14ac:dyDescent="0.25">
      <c r="A1081" s="5" t="s">
        <v>1462</v>
      </c>
      <c r="B1081" s="6">
        <v>45260</v>
      </c>
      <c r="C1081" s="5" t="s">
        <v>1442</v>
      </c>
      <c r="D1081" s="5" t="s">
        <v>102</v>
      </c>
      <c r="E1081" s="5" t="s">
        <v>37</v>
      </c>
      <c r="F1081" s="5" t="s">
        <v>38</v>
      </c>
      <c r="G1081" s="5" t="s">
        <v>139</v>
      </c>
      <c r="H1081" s="5" t="s">
        <v>76</v>
      </c>
      <c r="I1081" s="5" t="s">
        <v>140</v>
      </c>
      <c r="J1081" s="5">
        <v>45345</v>
      </c>
      <c r="K1081" s="7">
        <v>71870.611663925127</v>
      </c>
      <c r="L1081" s="5">
        <v>1</v>
      </c>
      <c r="M1081" s="5">
        <v>15</v>
      </c>
      <c r="N1081" s="8">
        <f t="shared" si="0"/>
        <v>61090.019914336357</v>
      </c>
      <c r="O1081" s="5">
        <f t="shared" si="1"/>
        <v>45345</v>
      </c>
      <c r="P1081" s="5">
        <f t="shared" si="2"/>
        <v>15745.019914336357</v>
      </c>
      <c r="Q1081" s="5" t="s">
        <v>83</v>
      </c>
      <c r="R1081" s="5" t="s">
        <v>32</v>
      </c>
      <c r="S1081" s="6">
        <v>45273</v>
      </c>
      <c r="T1081" s="5">
        <v>6</v>
      </c>
      <c r="U1081" s="5">
        <v>2</v>
      </c>
      <c r="V1081" s="5" t="s">
        <v>33</v>
      </c>
      <c r="W1081" s="5">
        <f t="shared" si="3"/>
        <v>0</v>
      </c>
    </row>
    <row r="1082" spans="1:23" ht="15.75" customHeight="1" x14ac:dyDescent="0.25">
      <c r="A1082" s="5" t="s">
        <v>1463</v>
      </c>
      <c r="B1082" s="6">
        <v>45260</v>
      </c>
      <c r="C1082" s="5" t="s">
        <v>692</v>
      </c>
      <c r="D1082" s="5" t="s">
        <v>64</v>
      </c>
      <c r="E1082" s="5" t="s">
        <v>60</v>
      </c>
      <c r="F1082" s="5" t="s">
        <v>61</v>
      </c>
      <c r="G1082" s="5" t="s">
        <v>81</v>
      </c>
      <c r="H1082" s="5" t="s">
        <v>44</v>
      </c>
      <c r="I1082" s="5" t="s">
        <v>82</v>
      </c>
      <c r="J1082" s="5">
        <v>1333</v>
      </c>
      <c r="K1082" s="7">
        <v>1504.988329906701</v>
      </c>
      <c r="L1082" s="5">
        <v>2</v>
      </c>
      <c r="M1082" s="5">
        <v>10</v>
      </c>
      <c r="N1082" s="8">
        <f t="shared" si="0"/>
        <v>2708.9789938320619</v>
      </c>
      <c r="O1082" s="5">
        <f t="shared" si="1"/>
        <v>2666</v>
      </c>
      <c r="P1082" s="5">
        <f t="shared" si="2"/>
        <v>42.97899383206186</v>
      </c>
      <c r="Q1082" s="5" t="s">
        <v>39</v>
      </c>
      <c r="R1082" s="5" t="s">
        <v>56</v>
      </c>
      <c r="T1082" s="5">
        <v>8</v>
      </c>
      <c r="U1082" s="5">
        <v>2</v>
      </c>
      <c r="W1082" s="5">
        <f t="shared" si="3"/>
        <v>0</v>
      </c>
    </row>
    <row r="1083" spans="1:23" ht="15.75" customHeight="1" x14ac:dyDescent="0.25">
      <c r="A1083" s="5" t="s">
        <v>1464</v>
      </c>
      <c r="B1083" s="6">
        <v>45261</v>
      </c>
      <c r="C1083" s="5" t="s">
        <v>304</v>
      </c>
      <c r="D1083" s="5" t="s">
        <v>188</v>
      </c>
      <c r="E1083" s="5" t="s">
        <v>26</v>
      </c>
      <c r="F1083" s="5" t="s">
        <v>27</v>
      </c>
      <c r="G1083" s="5" t="s">
        <v>70</v>
      </c>
      <c r="H1083" s="5" t="s">
        <v>44</v>
      </c>
      <c r="I1083" s="5" t="s">
        <v>71</v>
      </c>
      <c r="J1083" s="5">
        <v>1914</v>
      </c>
      <c r="K1083" s="7">
        <v>2687.2519954748618</v>
      </c>
      <c r="L1083" s="5">
        <v>3</v>
      </c>
      <c r="M1083" s="5">
        <v>10</v>
      </c>
      <c r="N1083" s="8">
        <f t="shared" si="0"/>
        <v>7255.5803877821263</v>
      </c>
      <c r="O1083" s="5">
        <f t="shared" si="1"/>
        <v>5742</v>
      </c>
      <c r="P1083" s="5">
        <f t="shared" si="2"/>
        <v>1513.5803877821263</v>
      </c>
      <c r="Q1083" s="5" t="s">
        <v>46</v>
      </c>
      <c r="R1083" s="5" t="s">
        <v>32</v>
      </c>
      <c r="S1083" s="6">
        <v>45271</v>
      </c>
      <c r="T1083" s="5">
        <v>7</v>
      </c>
      <c r="U1083" s="5">
        <v>2</v>
      </c>
      <c r="V1083" s="5" t="s">
        <v>33</v>
      </c>
      <c r="W1083" s="5">
        <f t="shared" si="3"/>
        <v>0</v>
      </c>
    </row>
    <row r="1084" spans="1:23" ht="15.75" customHeight="1" x14ac:dyDescent="0.25">
      <c r="A1084" s="5" t="s">
        <v>1465</v>
      </c>
      <c r="B1084" s="6">
        <v>45261</v>
      </c>
      <c r="C1084" s="5" t="s">
        <v>396</v>
      </c>
      <c r="D1084" s="5" t="s">
        <v>74</v>
      </c>
      <c r="E1084" s="5" t="s">
        <v>60</v>
      </c>
      <c r="F1084" s="5" t="s">
        <v>61</v>
      </c>
      <c r="G1084" s="5" t="s">
        <v>87</v>
      </c>
      <c r="H1084" s="5" t="s">
        <v>29</v>
      </c>
      <c r="I1084" s="5" t="s">
        <v>88</v>
      </c>
      <c r="J1084" s="5">
        <v>35202</v>
      </c>
      <c r="K1084" s="7">
        <v>58166.281661872134</v>
      </c>
      <c r="L1084" s="5">
        <v>1</v>
      </c>
      <c r="M1084" s="5">
        <v>0</v>
      </c>
      <c r="N1084" s="8">
        <f t="shared" si="0"/>
        <v>58166.281661872134</v>
      </c>
      <c r="O1084" s="5">
        <f t="shared" si="1"/>
        <v>35202</v>
      </c>
      <c r="P1084" s="5">
        <f t="shared" si="2"/>
        <v>22964.281661872134</v>
      </c>
      <c r="Q1084" s="5" t="s">
        <v>39</v>
      </c>
      <c r="R1084" s="5" t="s">
        <v>56</v>
      </c>
      <c r="T1084" s="5">
        <v>10</v>
      </c>
      <c r="U1084" s="5">
        <v>1</v>
      </c>
      <c r="W1084" s="5">
        <f t="shared" si="3"/>
        <v>0</v>
      </c>
    </row>
    <row r="1085" spans="1:23" ht="15.75" customHeight="1" x14ac:dyDescent="0.25">
      <c r="A1085" s="5" t="s">
        <v>1466</v>
      </c>
      <c r="B1085" s="6">
        <v>45261</v>
      </c>
      <c r="C1085" s="5" t="s">
        <v>339</v>
      </c>
      <c r="D1085" s="5" t="s">
        <v>138</v>
      </c>
      <c r="E1085" s="5" t="s">
        <v>60</v>
      </c>
      <c r="F1085" s="5" t="s">
        <v>61</v>
      </c>
      <c r="G1085" s="5" t="s">
        <v>139</v>
      </c>
      <c r="H1085" s="5" t="s">
        <v>76</v>
      </c>
      <c r="I1085" s="5" t="s">
        <v>140</v>
      </c>
      <c r="J1085" s="5">
        <v>40781</v>
      </c>
      <c r="K1085" s="7">
        <v>49009.67035859797</v>
      </c>
      <c r="L1085" s="5">
        <v>1</v>
      </c>
      <c r="M1085" s="5">
        <v>0</v>
      </c>
      <c r="N1085" s="8">
        <f t="shared" si="0"/>
        <v>49009.67035859797</v>
      </c>
      <c r="O1085" s="5">
        <f t="shared" si="1"/>
        <v>40781</v>
      </c>
      <c r="P1085" s="5">
        <f t="shared" si="2"/>
        <v>8228.6703585979703</v>
      </c>
      <c r="Q1085" s="5" t="s">
        <v>39</v>
      </c>
      <c r="R1085" s="5" t="s">
        <v>56</v>
      </c>
      <c r="T1085" s="5">
        <v>8</v>
      </c>
      <c r="U1085" s="5">
        <v>2</v>
      </c>
      <c r="W1085" s="5">
        <f t="shared" si="3"/>
        <v>0</v>
      </c>
    </row>
    <row r="1086" spans="1:23" ht="15.75" customHeight="1" x14ac:dyDescent="0.25">
      <c r="A1086" s="5" t="s">
        <v>1467</v>
      </c>
      <c r="B1086" s="6">
        <v>45261</v>
      </c>
      <c r="C1086" s="5" t="s">
        <v>862</v>
      </c>
      <c r="D1086" s="5" t="s">
        <v>105</v>
      </c>
      <c r="E1086" s="5" t="s">
        <v>60</v>
      </c>
      <c r="F1086" s="5" t="s">
        <v>61</v>
      </c>
      <c r="G1086" s="5" t="s">
        <v>92</v>
      </c>
      <c r="H1086" s="5" t="s">
        <v>44</v>
      </c>
      <c r="I1086" s="5" t="s">
        <v>45</v>
      </c>
      <c r="J1086" s="5">
        <v>1490</v>
      </c>
      <c r="K1086" s="7">
        <v>2188.1930818260539</v>
      </c>
      <c r="L1086" s="5">
        <v>4</v>
      </c>
      <c r="M1086" s="5">
        <v>5</v>
      </c>
      <c r="N1086" s="8">
        <f t="shared" si="0"/>
        <v>8315.1337109390042</v>
      </c>
      <c r="O1086" s="5">
        <f t="shared" si="1"/>
        <v>5960</v>
      </c>
      <c r="P1086" s="5">
        <f t="shared" si="2"/>
        <v>2355.1337109390042</v>
      </c>
      <c r="Q1086" s="5" t="s">
        <v>83</v>
      </c>
      <c r="R1086" s="5" t="s">
        <v>56</v>
      </c>
      <c r="T1086" s="5">
        <v>8</v>
      </c>
      <c r="U1086" s="5">
        <v>3</v>
      </c>
      <c r="W1086" s="5">
        <f t="shared" si="3"/>
        <v>0</v>
      </c>
    </row>
    <row r="1087" spans="1:23" ht="15.75" customHeight="1" x14ac:dyDescent="0.25">
      <c r="A1087" s="5" t="s">
        <v>1468</v>
      </c>
      <c r="B1087" s="6">
        <v>45261</v>
      </c>
      <c r="C1087" s="5" t="s">
        <v>1410</v>
      </c>
      <c r="D1087" s="5" t="s">
        <v>42</v>
      </c>
      <c r="E1087" s="5" t="s">
        <v>112</v>
      </c>
      <c r="F1087" s="5" t="s">
        <v>113</v>
      </c>
      <c r="G1087" s="5" t="s">
        <v>87</v>
      </c>
      <c r="H1087" s="5" t="s">
        <v>29</v>
      </c>
      <c r="I1087" s="5" t="s">
        <v>88</v>
      </c>
      <c r="J1087" s="5">
        <v>39172</v>
      </c>
      <c r="K1087" s="7">
        <v>67290.086704221219</v>
      </c>
      <c r="L1087" s="5">
        <v>5</v>
      </c>
      <c r="M1087" s="5">
        <v>10</v>
      </c>
      <c r="N1087" s="8">
        <f t="shared" si="0"/>
        <v>302805.39016899548</v>
      </c>
      <c r="O1087" s="5">
        <f t="shared" si="1"/>
        <v>195860</v>
      </c>
      <c r="P1087" s="5">
        <f t="shared" si="2"/>
        <v>106945.39016899548</v>
      </c>
      <c r="Q1087" s="5" t="s">
        <v>31</v>
      </c>
      <c r="R1087" s="5" t="s">
        <v>32</v>
      </c>
      <c r="S1087" s="6">
        <v>45266</v>
      </c>
      <c r="T1087" s="5">
        <v>1</v>
      </c>
      <c r="U1087" s="5">
        <v>4</v>
      </c>
      <c r="V1087" s="5" t="s">
        <v>33</v>
      </c>
      <c r="W1087" s="5">
        <f t="shared" si="3"/>
        <v>0</v>
      </c>
    </row>
    <row r="1088" spans="1:23" ht="15.75" customHeight="1" x14ac:dyDescent="0.25">
      <c r="A1088" s="5" t="s">
        <v>1469</v>
      </c>
      <c r="B1088" s="6">
        <v>45261</v>
      </c>
      <c r="C1088" s="5" t="s">
        <v>1012</v>
      </c>
      <c r="D1088" s="5" t="s">
        <v>135</v>
      </c>
      <c r="E1088" s="5" t="s">
        <v>69</v>
      </c>
      <c r="F1088" s="5" t="s">
        <v>55</v>
      </c>
      <c r="G1088" s="5" t="s">
        <v>28</v>
      </c>
      <c r="H1088" s="5" t="s">
        <v>29</v>
      </c>
      <c r="I1088" s="5" t="s">
        <v>30</v>
      </c>
      <c r="J1088" s="5">
        <v>3260</v>
      </c>
      <c r="K1088" s="7">
        <v>4567.5528006393952</v>
      </c>
      <c r="L1088" s="5">
        <v>2</v>
      </c>
      <c r="M1088" s="5">
        <v>20</v>
      </c>
      <c r="N1088" s="8">
        <f t="shared" si="0"/>
        <v>7308.0844810230328</v>
      </c>
      <c r="O1088" s="5">
        <f t="shared" si="1"/>
        <v>6520</v>
      </c>
      <c r="P1088" s="5">
        <f t="shared" si="2"/>
        <v>788.08448102303282</v>
      </c>
      <c r="Q1088" s="5" t="s">
        <v>39</v>
      </c>
      <c r="R1088" s="5" t="s">
        <v>32</v>
      </c>
      <c r="S1088" s="6">
        <v>45266</v>
      </c>
      <c r="T1088" s="5">
        <v>2</v>
      </c>
      <c r="U1088" s="5">
        <v>5</v>
      </c>
      <c r="V1088" s="5" t="s">
        <v>33</v>
      </c>
      <c r="W1088" s="5">
        <f t="shared" si="3"/>
        <v>0</v>
      </c>
    </row>
    <row r="1089" spans="1:23" ht="15.75" customHeight="1" x14ac:dyDescent="0.25">
      <c r="A1089" s="5" t="s">
        <v>1470</v>
      </c>
      <c r="B1089" s="6">
        <v>45261</v>
      </c>
      <c r="C1089" s="5" t="s">
        <v>368</v>
      </c>
      <c r="D1089" s="5" t="s">
        <v>64</v>
      </c>
      <c r="E1089" s="5" t="s">
        <v>69</v>
      </c>
      <c r="F1089" s="5" t="s">
        <v>55</v>
      </c>
      <c r="G1089" s="5" t="s">
        <v>28</v>
      </c>
      <c r="H1089" s="5" t="s">
        <v>29</v>
      </c>
      <c r="I1089" s="5" t="s">
        <v>30</v>
      </c>
      <c r="J1089" s="5">
        <v>5933</v>
      </c>
      <c r="K1089" s="7">
        <v>9099.6051122727713</v>
      </c>
      <c r="L1089" s="5">
        <v>2</v>
      </c>
      <c r="M1089" s="5">
        <v>5</v>
      </c>
      <c r="N1089" s="8">
        <f t="shared" si="0"/>
        <v>17289.249713318266</v>
      </c>
      <c r="O1089" s="5">
        <f t="shared" si="1"/>
        <v>11866</v>
      </c>
      <c r="P1089" s="5">
        <f t="shared" si="2"/>
        <v>5423.249713318266</v>
      </c>
      <c r="Q1089" s="5" t="s">
        <v>83</v>
      </c>
      <c r="R1089" s="5" t="s">
        <v>32</v>
      </c>
      <c r="S1089" s="6">
        <v>45266</v>
      </c>
      <c r="T1089" s="5">
        <v>1</v>
      </c>
      <c r="U1089" s="5">
        <v>5</v>
      </c>
      <c r="V1089" s="5" t="s">
        <v>33</v>
      </c>
      <c r="W1089" s="5">
        <f t="shared" si="3"/>
        <v>0</v>
      </c>
    </row>
    <row r="1090" spans="1:23" ht="15.75" customHeight="1" x14ac:dyDescent="0.25">
      <c r="A1090" s="5" t="s">
        <v>1471</v>
      </c>
      <c r="B1090" s="6">
        <v>45262</v>
      </c>
      <c r="C1090" s="5" t="s">
        <v>566</v>
      </c>
      <c r="D1090" s="5" t="s">
        <v>64</v>
      </c>
      <c r="E1090" s="5" t="s">
        <v>54</v>
      </c>
      <c r="F1090" s="5" t="s">
        <v>55</v>
      </c>
      <c r="G1090" s="5" t="s">
        <v>75</v>
      </c>
      <c r="H1090" s="5" t="s">
        <v>76</v>
      </c>
      <c r="I1090" s="5" t="s">
        <v>77</v>
      </c>
      <c r="J1090" s="5">
        <v>1128</v>
      </c>
      <c r="K1090" s="7">
        <v>1215.5271934532743</v>
      </c>
      <c r="L1090" s="5">
        <v>3</v>
      </c>
      <c r="M1090" s="5">
        <v>5</v>
      </c>
      <c r="N1090" s="8">
        <f t="shared" si="0"/>
        <v>3464.2525013418317</v>
      </c>
      <c r="O1090" s="5">
        <f t="shared" si="1"/>
        <v>3384</v>
      </c>
      <c r="P1090" s="5">
        <f t="shared" si="2"/>
        <v>80.252501341831703</v>
      </c>
      <c r="Q1090" s="5" t="s">
        <v>31</v>
      </c>
      <c r="R1090" s="5" t="s">
        <v>56</v>
      </c>
      <c r="T1090" s="5">
        <v>9</v>
      </c>
      <c r="U1090" s="5">
        <v>1</v>
      </c>
      <c r="W1090" s="5">
        <f t="shared" si="3"/>
        <v>0</v>
      </c>
    </row>
    <row r="1091" spans="1:23" ht="15.75" customHeight="1" x14ac:dyDescent="0.25">
      <c r="A1091" s="5" t="s">
        <v>1472</v>
      </c>
      <c r="B1091" s="6">
        <v>45262</v>
      </c>
      <c r="C1091" s="5" t="s">
        <v>831</v>
      </c>
      <c r="D1091" s="5" t="s">
        <v>74</v>
      </c>
      <c r="E1091" s="5" t="s">
        <v>26</v>
      </c>
      <c r="F1091" s="5" t="s">
        <v>27</v>
      </c>
      <c r="G1091" s="5" t="s">
        <v>92</v>
      </c>
      <c r="H1091" s="5" t="s">
        <v>44</v>
      </c>
      <c r="I1091" s="5" t="s">
        <v>45</v>
      </c>
      <c r="J1091" s="5">
        <v>1018</v>
      </c>
      <c r="K1091" s="7">
        <v>1770.1280275995493</v>
      </c>
      <c r="L1091" s="5">
        <v>5</v>
      </c>
      <c r="M1091" s="5">
        <v>0</v>
      </c>
      <c r="N1091" s="8">
        <f t="shared" si="0"/>
        <v>8850.6401379977469</v>
      </c>
      <c r="O1091" s="5">
        <f t="shared" si="1"/>
        <v>5090</v>
      </c>
      <c r="P1091" s="5">
        <f t="shared" si="2"/>
        <v>3760.6401379977469</v>
      </c>
      <c r="Q1091" s="5" t="s">
        <v>39</v>
      </c>
      <c r="R1091" s="5" t="s">
        <v>56</v>
      </c>
      <c r="T1091" s="5">
        <v>10</v>
      </c>
      <c r="U1091" s="5">
        <v>1</v>
      </c>
      <c r="W1091" s="5">
        <f t="shared" si="3"/>
        <v>0</v>
      </c>
    </row>
    <row r="1092" spans="1:23" ht="15.75" customHeight="1" x14ac:dyDescent="0.25">
      <c r="A1092" s="5" t="s">
        <v>1473</v>
      </c>
      <c r="B1092" s="6">
        <v>45262</v>
      </c>
      <c r="C1092" s="5" t="s">
        <v>290</v>
      </c>
      <c r="D1092" s="5" t="s">
        <v>188</v>
      </c>
      <c r="E1092" s="5" t="s">
        <v>54</v>
      </c>
      <c r="F1092" s="5" t="s">
        <v>55</v>
      </c>
      <c r="G1092" s="5" t="s">
        <v>43</v>
      </c>
      <c r="H1092" s="5" t="s">
        <v>44</v>
      </c>
      <c r="I1092" s="5" t="s">
        <v>45</v>
      </c>
      <c r="J1092" s="5">
        <v>382</v>
      </c>
      <c r="K1092" s="7">
        <v>559.55139584764777</v>
      </c>
      <c r="L1092" s="5">
        <v>5</v>
      </c>
      <c r="M1092" s="5">
        <v>0</v>
      </c>
      <c r="N1092" s="8">
        <f t="shared" si="0"/>
        <v>2797.7569792382387</v>
      </c>
      <c r="O1092" s="5">
        <f t="shared" si="1"/>
        <v>1910</v>
      </c>
      <c r="P1092" s="5">
        <f t="shared" si="2"/>
        <v>887.75697923823873</v>
      </c>
      <c r="Q1092" s="5" t="s">
        <v>31</v>
      </c>
      <c r="R1092" s="5" t="s">
        <v>56</v>
      </c>
      <c r="T1092" s="5">
        <v>7</v>
      </c>
      <c r="U1092" s="5">
        <v>2</v>
      </c>
      <c r="W1092" s="5">
        <f t="shared" si="3"/>
        <v>0</v>
      </c>
    </row>
    <row r="1093" spans="1:23" ht="15.75" customHeight="1" x14ac:dyDescent="0.25">
      <c r="A1093" s="5" t="s">
        <v>1474</v>
      </c>
      <c r="B1093" s="6">
        <v>45263</v>
      </c>
      <c r="C1093" s="5" t="s">
        <v>239</v>
      </c>
      <c r="D1093" s="5" t="s">
        <v>53</v>
      </c>
      <c r="E1093" s="5" t="s">
        <v>54</v>
      </c>
      <c r="F1093" s="5" t="s">
        <v>55</v>
      </c>
      <c r="G1093" s="5" t="s">
        <v>70</v>
      </c>
      <c r="H1093" s="5" t="s">
        <v>44</v>
      </c>
      <c r="I1093" s="5" t="s">
        <v>71</v>
      </c>
      <c r="J1093" s="5">
        <v>1614</v>
      </c>
      <c r="K1093" s="7">
        <v>2641.0042985653386</v>
      </c>
      <c r="L1093" s="5">
        <v>5</v>
      </c>
      <c r="M1093" s="5">
        <v>5</v>
      </c>
      <c r="N1093" s="8">
        <f t="shared" si="0"/>
        <v>12544.770418185357</v>
      </c>
      <c r="O1093" s="5">
        <f t="shared" si="1"/>
        <v>8070</v>
      </c>
      <c r="P1093" s="5">
        <f t="shared" si="2"/>
        <v>4474.7704181853569</v>
      </c>
      <c r="Q1093" s="5" t="s">
        <v>46</v>
      </c>
      <c r="R1093" s="5" t="s">
        <v>32</v>
      </c>
      <c r="S1093" s="6">
        <v>45275</v>
      </c>
      <c r="T1093" s="5">
        <v>7</v>
      </c>
      <c r="U1093" s="5">
        <v>4</v>
      </c>
      <c r="V1093" s="5" t="s">
        <v>89</v>
      </c>
      <c r="W1093" s="5">
        <f t="shared" si="3"/>
        <v>1</v>
      </c>
    </row>
    <row r="1094" spans="1:23" ht="15.75" customHeight="1" x14ac:dyDescent="0.25">
      <c r="A1094" s="5" t="s">
        <v>1475</v>
      </c>
      <c r="B1094" s="6">
        <v>45263</v>
      </c>
      <c r="C1094" s="5" t="s">
        <v>422</v>
      </c>
      <c r="D1094" s="5" t="s">
        <v>116</v>
      </c>
      <c r="E1094" s="5" t="s">
        <v>49</v>
      </c>
      <c r="F1094" s="5" t="s">
        <v>50</v>
      </c>
      <c r="G1094" s="5" t="s">
        <v>28</v>
      </c>
      <c r="H1094" s="5" t="s">
        <v>29</v>
      </c>
      <c r="I1094" s="5" t="s">
        <v>30</v>
      </c>
      <c r="J1094" s="5">
        <v>6364</v>
      </c>
      <c r="K1094" s="7">
        <v>10622.636661177725</v>
      </c>
      <c r="L1094" s="5">
        <v>1</v>
      </c>
      <c r="M1094" s="5">
        <v>20</v>
      </c>
      <c r="N1094" s="8">
        <f t="shared" si="0"/>
        <v>8498.1093289421806</v>
      </c>
      <c r="O1094" s="5">
        <f t="shared" si="1"/>
        <v>6364</v>
      </c>
      <c r="P1094" s="5">
        <f t="shared" si="2"/>
        <v>2134.1093289421806</v>
      </c>
      <c r="Q1094" s="5" t="s">
        <v>83</v>
      </c>
      <c r="R1094" s="5" t="s">
        <v>32</v>
      </c>
      <c r="S1094" s="6">
        <v>45273</v>
      </c>
      <c r="T1094" s="5">
        <v>7</v>
      </c>
      <c r="U1094" s="5">
        <v>3</v>
      </c>
      <c r="V1094" s="5" t="s">
        <v>33</v>
      </c>
      <c r="W1094" s="5">
        <f t="shared" si="3"/>
        <v>0</v>
      </c>
    </row>
    <row r="1095" spans="1:23" ht="15.75" customHeight="1" x14ac:dyDescent="0.25">
      <c r="A1095" s="5" t="s">
        <v>1476</v>
      </c>
      <c r="B1095" s="6">
        <v>45264</v>
      </c>
      <c r="C1095" s="5" t="s">
        <v>778</v>
      </c>
      <c r="D1095" s="5" t="s">
        <v>36</v>
      </c>
      <c r="E1095" s="5" t="s">
        <v>112</v>
      </c>
      <c r="F1095" s="5" t="s">
        <v>113</v>
      </c>
      <c r="G1095" s="5" t="s">
        <v>124</v>
      </c>
      <c r="H1095" s="5" t="s">
        <v>76</v>
      </c>
      <c r="I1095" s="5" t="s">
        <v>125</v>
      </c>
      <c r="J1095" s="5">
        <v>76589</v>
      </c>
      <c r="K1095" s="7">
        <v>105027.82746732613</v>
      </c>
      <c r="L1095" s="5">
        <v>1</v>
      </c>
      <c r="M1095" s="5">
        <v>5</v>
      </c>
      <c r="N1095" s="8">
        <f t="shared" si="0"/>
        <v>99776.436093959826</v>
      </c>
      <c r="O1095" s="5">
        <f t="shared" si="1"/>
        <v>76589</v>
      </c>
      <c r="P1095" s="5">
        <f t="shared" si="2"/>
        <v>23187.436093959826</v>
      </c>
      <c r="Q1095" s="5" t="s">
        <v>46</v>
      </c>
      <c r="R1095" s="5" t="s">
        <v>32</v>
      </c>
      <c r="S1095" s="6">
        <v>45275</v>
      </c>
      <c r="T1095" s="5">
        <v>6</v>
      </c>
      <c r="U1095" s="5">
        <v>3</v>
      </c>
      <c r="V1095" s="5" t="s">
        <v>33</v>
      </c>
      <c r="W1095" s="5">
        <f t="shared" si="3"/>
        <v>0</v>
      </c>
    </row>
    <row r="1096" spans="1:23" ht="15.75" customHeight="1" x14ac:dyDescent="0.25">
      <c r="A1096" s="5" t="s">
        <v>1477</v>
      </c>
      <c r="B1096" s="6">
        <v>45264</v>
      </c>
      <c r="C1096" s="5" t="s">
        <v>241</v>
      </c>
      <c r="D1096" s="5" t="s">
        <v>64</v>
      </c>
      <c r="E1096" s="5" t="s">
        <v>37</v>
      </c>
      <c r="F1096" s="5" t="s">
        <v>38</v>
      </c>
      <c r="G1096" s="5" t="s">
        <v>75</v>
      </c>
      <c r="H1096" s="5" t="s">
        <v>76</v>
      </c>
      <c r="I1096" s="5" t="s">
        <v>77</v>
      </c>
      <c r="J1096" s="5">
        <v>1764</v>
      </c>
      <c r="K1096" s="7">
        <v>3041.7814888864455</v>
      </c>
      <c r="L1096" s="5">
        <v>1</v>
      </c>
      <c r="M1096" s="5">
        <v>15</v>
      </c>
      <c r="N1096" s="8">
        <f t="shared" si="0"/>
        <v>2585.5142655534787</v>
      </c>
      <c r="O1096" s="5">
        <f t="shared" si="1"/>
        <v>1764</v>
      </c>
      <c r="P1096" s="5">
        <f t="shared" si="2"/>
        <v>821.51426555347871</v>
      </c>
      <c r="Q1096" s="5" t="s">
        <v>39</v>
      </c>
      <c r="R1096" s="5" t="s">
        <v>32</v>
      </c>
      <c r="S1096" s="6">
        <v>45277</v>
      </c>
      <c r="T1096" s="5">
        <v>6</v>
      </c>
      <c r="U1096" s="5">
        <v>4</v>
      </c>
      <c r="V1096" s="5" t="s">
        <v>89</v>
      </c>
      <c r="W1096" s="5">
        <f t="shared" si="3"/>
        <v>1</v>
      </c>
    </row>
    <row r="1097" spans="1:23" ht="15.75" customHeight="1" x14ac:dyDescent="0.25">
      <c r="A1097" s="5" t="s">
        <v>1478</v>
      </c>
      <c r="B1097" s="6">
        <v>45264</v>
      </c>
      <c r="C1097" s="5" t="s">
        <v>272</v>
      </c>
      <c r="D1097" s="5" t="s">
        <v>138</v>
      </c>
      <c r="E1097" s="5" t="s">
        <v>54</v>
      </c>
      <c r="F1097" s="5" t="s">
        <v>55</v>
      </c>
      <c r="G1097" s="5" t="s">
        <v>97</v>
      </c>
      <c r="H1097" s="5" t="s">
        <v>98</v>
      </c>
      <c r="I1097" s="5" t="s">
        <v>99</v>
      </c>
      <c r="J1097" s="5">
        <v>321</v>
      </c>
      <c r="K1097" s="7">
        <v>541.11332861113397</v>
      </c>
      <c r="L1097" s="5">
        <v>5</v>
      </c>
      <c r="M1097" s="5">
        <v>15</v>
      </c>
      <c r="N1097" s="8">
        <f t="shared" si="0"/>
        <v>2299.7316465973195</v>
      </c>
      <c r="O1097" s="5">
        <f t="shared" si="1"/>
        <v>1605</v>
      </c>
      <c r="P1097" s="5">
        <f t="shared" si="2"/>
        <v>694.73164659731947</v>
      </c>
      <c r="Q1097" s="5" t="s">
        <v>39</v>
      </c>
      <c r="R1097" s="5" t="s">
        <v>32</v>
      </c>
      <c r="S1097" s="6">
        <v>45275</v>
      </c>
      <c r="T1097" s="5">
        <v>5</v>
      </c>
      <c r="U1097" s="5">
        <v>2</v>
      </c>
      <c r="V1097" s="5" t="s">
        <v>33</v>
      </c>
      <c r="W1097" s="5">
        <f t="shared" si="3"/>
        <v>0</v>
      </c>
    </row>
    <row r="1098" spans="1:23" ht="15.75" customHeight="1" x14ac:dyDescent="0.25">
      <c r="A1098" s="5" t="s">
        <v>1479</v>
      </c>
      <c r="B1098" s="6">
        <v>45264</v>
      </c>
      <c r="C1098" s="5" t="s">
        <v>722</v>
      </c>
      <c r="D1098" s="5" t="s">
        <v>36</v>
      </c>
      <c r="E1098" s="5" t="s">
        <v>69</v>
      </c>
      <c r="F1098" s="5" t="s">
        <v>55</v>
      </c>
      <c r="G1098" s="5" t="s">
        <v>139</v>
      </c>
      <c r="H1098" s="5" t="s">
        <v>76</v>
      </c>
      <c r="I1098" s="5" t="s">
        <v>140</v>
      </c>
      <c r="J1098" s="5">
        <v>32074</v>
      </c>
      <c r="K1098" s="7">
        <v>41856.068200157773</v>
      </c>
      <c r="L1098" s="5">
        <v>4</v>
      </c>
      <c r="M1098" s="5">
        <v>10</v>
      </c>
      <c r="N1098" s="8">
        <f t="shared" si="0"/>
        <v>150681.84552056799</v>
      </c>
      <c r="O1098" s="5">
        <f t="shared" si="1"/>
        <v>128296</v>
      </c>
      <c r="P1098" s="5">
        <f t="shared" si="2"/>
        <v>22385.845520567993</v>
      </c>
      <c r="Q1098" s="5" t="s">
        <v>31</v>
      </c>
      <c r="R1098" s="5" t="s">
        <v>32</v>
      </c>
      <c r="S1098" s="6">
        <v>45273</v>
      </c>
      <c r="T1098" s="5">
        <v>5</v>
      </c>
      <c r="U1098" s="5">
        <v>2</v>
      </c>
      <c r="V1098" s="5" t="s">
        <v>33</v>
      </c>
      <c r="W1098" s="5">
        <f t="shared" si="3"/>
        <v>0</v>
      </c>
    </row>
    <row r="1099" spans="1:23" ht="15.75" customHeight="1" x14ac:dyDescent="0.25">
      <c r="A1099" s="5" t="s">
        <v>1480</v>
      </c>
      <c r="B1099" s="6">
        <v>45265</v>
      </c>
      <c r="C1099" s="5" t="s">
        <v>159</v>
      </c>
      <c r="D1099" s="5" t="s">
        <v>64</v>
      </c>
      <c r="E1099" s="5" t="s">
        <v>26</v>
      </c>
      <c r="F1099" s="5" t="s">
        <v>27</v>
      </c>
      <c r="G1099" s="5" t="s">
        <v>28</v>
      </c>
      <c r="H1099" s="5" t="s">
        <v>29</v>
      </c>
      <c r="I1099" s="5" t="s">
        <v>30</v>
      </c>
      <c r="J1099" s="5">
        <v>3393</v>
      </c>
      <c r="K1099" s="7">
        <v>5831.6724949368509</v>
      </c>
      <c r="L1099" s="5">
        <v>5</v>
      </c>
      <c r="M1099" s="5">
        <v>15</v>
      </c>
      <c r="N1099" s="8">
        <f t="shared" si="0"/>
        <v>24784.608103481616</v>
      </c>
      <c r="O1099" s="5">
        <f t="shared" si="1"/>
        <v>16965</v>
      </c>
      <c r="P1099" s="5">
        <f t="shared" si="2"/>
        <v>7819.6081034816161</v>
      </c>
      <c r="Q1099" s="5" t="s">
        <v>46</v>
      </c>
      <c r="R1099" s="5" t="s">
        <v>56</v>
      </c>
      <c r="T1099" s="5">
        <v>7</v>
      </c>
      <c r="U1099" s="5">
        <v>4</v>
      </c>
      <c r="W1099" s="5">
        <f t="shared" si="3"/>
        <v>0</v>
      </c>
    </row>
    <row r="1100" spans="1:23" ht="15.75" customHeight="1" x14ac:dyDescent="0.25">
      <c r="A1100" s="5" t="s">
        <v>1481</v>
      </c>
      <c r="B1100" s="6">
        <v>45265</v>
      </c>
      <c r="C1100" s="5" t="s">
        <v>662</v>
      </c>
      <c r="D1100" s="5" t="s">
        <v>184</v>
      </c>
      <c r="E1100" s="5" t="s">
        <v>60</v>
      </c>
      <c r="F1100" s="5" t="s">
        <v>61</v>
      </c>
      <c r="G1100" s="5" t="s">
        <v>87</v>
      </c>
      <c r="H1100" s="5" t="s">
        <v>29</v>
      </c>
      <c r="I1100" s="5" t="s">
        <v>88</v>
      </c>
      <c r="J1100" s="5">
        <v>32596</v>
      </c>
      <c r="K1100" s="7">
        <v>41478.038044257461</v>
      </c>
      <c r="L1100" s="5">
        <v>3</v>
      </c>
      <c r="M1100" s="5">
        <v>10</v>
      </c>
      <c r="N1100" s="8">
        <f t="shared" si="0"/>
        <v>111990.70271949514</v>
      </c>
      <c r="O1100" s="5">
        <f t="shared" si="1"/>
        <v>97788</v>
      </c>
      <c r="P1100" s="5">
        <f t="shared" si="2"/>
        <v>14202.702719495137</v>
      </c>
      <c r="Q1100" s="5" t="s">
        <v>39</v>
      </c>
      <c r="R1100" s="5" t="s">
        <v>32</v>
      </c>
      <c r="S1100" s="6">
        <v>45275</v>
      </c>
      <c r="T1100" s="5">
        <v>4</v>
      </c>
      <c r="U1100" s="5">
        <v>4</v>
      </c>
      <c r="V1100" s="5" t="s">
        <v>33</v>
      </c>
      <c r="W1100" s="5">
        <f t="shared" si="3"/>
        <v>0</v>
      </c>
    </row>
    <row r="1101" spans="1:23" ht="15.75" customHeight="1" x14ac:dyDescent="0.25">
      <c r="A1101" s="5" t="s">
        <v>1482</v>
      </c>
      <c r="B1101" s="6">
        <v>45265</v>
      </c>
      <c r="C1101" s="5" t="s">
        <v>205</v>
      </c>
      <c r="D1101" s="5" t="s">
        <v>86</v>
      </c>
      <c r="E1101" s="5" t="s">
        <v>26</v>
      </c>
      <c r="F1101" s="5" t="s">
        <v>27</v>
      </c>
      <c r="G1101" s="5" t="s">
        <v>119</v>
      </c>
      <c r="H1101" s="5" t="s">
        <v>76</v>
      </c>
      <c r="I1101" s="5" t="s">
        <v>120</v>
      </c>
      <c r="J1101" s="5">
        <v>21849</v>
      </c>
      <c r="K1101" s="7">
        <v>33126.018521584207</v>
      </c>
      <c r="L1101" s="5">
        <v>2</v>
      </c>
      <c r="M1101" s="5">
        <v>10</v>
      </c>
      <c r="N1101" s="8">
        <f t="shared" si="0"/>
        <v>59626.833338851575</v>
      </c>
      <c r="O1101" s="5">
        <f t="shared" si="1"/>
        <v>43698</v>
      </c>
      <c r="P1101" s="5">
        <f t="shared" si="2"/>
        <v>15928.833338851575</v>
      </c>
      <c r="Q1101" s="5" t="s">
        <v>46</v>
      </c>
      <c r="R1101" s="5" t="s">
        <v>32</v>
      </c>
      <c r="S1101" s="6">
        <v>45276</v>
      </c>
      <c r="T1101" s="5">
        <v>6</v>
      </c>
      <c r="U1101" s="5">
        <v>3</v>
      </c>
      <c r="V1101" s="5" t="s">
        <v>33</v>
      </c>
      <c r="W1101" s="5">
        <f t="shared" si="3"/>
        <v>0</v>
      </c>
    </row>
    <row r="1102" spans="1:23" ht="15.75" customHeight="1" x14ac:dyDescent="0.25">
      <c r="A1102" s="5" t="s">
        <v>1483</v>
      </c>
      <c r="B1102" s="6">
        <v>45266</v>
      </c>
      <c r="C1102" s="5" t="s">
        <v>511</v>
      </c>
      <c r="D1102" s="5" t="s">
        <v>150</v>
      </c>
      <c r="E1102" s="5" t="s">
        <v>80</v>
      </c>
      <c r="F1102" s="5" t="s">
        <v>80</v>
      </c>
      <c r="G1102" s="5" t="s">
        <v>92</v>
      </c>
      <c r="H1102" s="5" t="s">
        <v>44</v>
      </c>
      <c r="I1102" s="5" t="s">
        <v>45</v>
      </c>
      <c r="J1102" s="5">
        <v>1266</v>
      </c>
      <c r="K1102" s="7">
        <v>2138.5283472936399</v>
      </c>
      <c r="L1102" s="5">
        <v>2</v>
      </c>
      <c r="M1102" s="5">
        <v>15</v>
      </c>
      <c r="N1102" s="8">
        <f t="shared" si="0"/>
        <v>3635.4981903991875</v>
      </c>
      <c r="O1102" s="5">
        <f t="shared" si="1"/>
        <v>2532</v>
      </c>
      <c r="P1102" s="5">
        <f t="shared" si="2"/>
        <v>1103.4981903991875</v>
      </c>
      <c r="Q1102" s="5" t="s">
        <v>39</v>
      </c>
      <c r="R1102" s="5" t="s">
        <v>56</v>
      </c>
      <c r="T1102" s="5">
        <v>8</v>
      </c>
      <c r="U1102" s="5">
        <v>2</v>
      </c>
      <c r="W1102" s="5">
        <f t="shared" si="3"/>
        <v>0</v>
      </c>
    </row>
    <row r="1103" spans="1:23" ht="15.75" customHeight="1" x14ac:dyDescent="0.25">
      <c r="A1103" s="5" t="s">
        <v>1484</v>
      </c>
      <c r="B1103" s="6">
        <v>45266</v>
      </c>
      <c r="C1103" s="5" t="s">
        <v>368</v>
      </c>
      <c r="D1103" s="5" t="s">
        <v>138</v>
      </c>
      <c r="E1103" s="5" t="s">
        <v>37</v>
      </c>
      <c r="F1103" s="5" t="s">
        <v>38</v>
      </c>
      <c r="G1103" s="5" t="s">
        <v>124</v>
      </c>
      <c r="H1103" s="5" t="s">
        <v>76</v>
      </c>
      <c r="I1103" s="5" t="s">
        <v>125</v>
      </c>
      <c r="J1103" s="5">
        <v>88499</v>
      </c>
      <c r="K1103" s="7">
        <v>117993.41346419971</v>
      </c>
      <c r="L1103" s="5">
        <v>3</v>
      </c>
      <c r="M1103" s="5">
        <v>20</v>
      </c>
      <c r="N1103" s="8">
        <f t="shared" si="0"/>
        <v>283184.19231407932</v>
      </c>
      <c r="O1103" s="5">
        <f t="shared" si="1"/>
        <v>265497</v>
      </c>
      <c r="P1103" s="5">
        <f t="shared" si="2"/>
        <v>17687.192314079322</v>
      </c>
      <c r="Q1103" s="5" t="s">
        <v>83</v>
      </c>
      <c r="R1103" s="5" t="s">
        <v>56</v>
      </c>
      <c r="T1103" s="5">
        <v>8</v>
      </c>
      <c r="U1103" s="5">
        <v>4</v>
      </c>
      <c r="W1103" s="5">
        <f t="shared" si="3"/>
        <v>0</v>
      </c>
    </row>
    <row r="1104" spans="1:23" ht="15.75" customHeight="1" x14ac:dyDescent="0.25">
      <c r="A1104" s="5" t="s">
        <v>1485</v>
      </c>
      <c r="B1104" s="6">
        <v>45266</v>
      </c>
      <c r="C1104" s="5" t="s">
        <v>1410</v>
      </c>
      <c r="D1104" s="5" t="s">
        <v>102</v>
      </c>
      <c r="E1104" s="5" t="s">
        <v>49</v>
      </c>
      <c r="F1104" s="5" t="s">
        <v>50</v>
      </c>
      <c r="G1104" s="5" t="s">
        <v>139</v>
      </c>
      <c r="H1104" s="5" t="s">
        <v>76</v>
      </c>
      <c r="I1104" s="5" t="s">
        <v>140</v>
      </c>
      <c r="J1104" s="5">
        <v>43157</v>
      </c>
      <c r="K1104" s="7">
        <v>67531.382010140442</v>
      </c>
      <c r="L1104" s="5">
        <v>1</v>
      </c>
      <c r="M1104" s="5">
        <v>0</v>
      </c>
      <c r="N1104" s="8">
        <f t="shared" si="0"/>
        <v>67531.382010140442</v>
      </c>
      <c r="O1104" s="5">
        <f t="shared" si="1"/>
        <v>43157</v>
      </c>
      <c r="P1104" s="5">
        <f t="shared" si="2"/>
        <v>24374.382010140442</v>
      </c>
      <c r="Q1104" s="5" t="s">
        <v>39</v>
      </c>
      <c r="R1104" s="5" t="s">
        <v>32</v>
      </c>
      <c r="S1104" s="6">
        <v>45274</v>
      </c>
      <c r="T1104" s="5">
        <v>1</v>
      </c>
      <c r="U1104" s="5">
        <v>4</v>
      </c>
      <c r="V1104" s="5" t="s">
        <v>33</v>
      </c>
      <c r="W1104" s="5">
        <f t="shared" si="3"/>
        <v>0</v>
      </c>
    </row>
    <row r="1105" spans="1:23" ht="15.75" customHeight="1" x14ac:dyDescent="0.25">
      <c r="A1105" s="5" t="s">
        <v>1486</v>
      </c>
      <c r="B1105" s="6">
        <v>45267</v>
      </c>
      <c r="C1105" s="5" t="s">
        <v>205</v>
      </c>
      <c r="D1105" s="5" t="s">
        <v>74</v>
      </c>
      <c r="E1105" s="5" t="s">
        <v>26</v>
      </c>
      <c r="F1105" s="5" t="s">
        <v>27</v>
      </c>
      <c r="G1105" s="5" t="s">
        <v>119</v>
      </c>
      <c r="H1105" s="5" t="s">
        <v>76</v>
      </c>
      <c r="I1105" s="5" t="s">
        <v>120</v>
      </c>
      <c r="J1105" s="5">
        <v>79408</v>
      </c>
      <c r="K1105" s="7">
        <v>141659.4642630654</v>
      </c>
      <c r="L1105" s="5">
        <v>3</v>
      </c>
      <c r="M1105" s="5">
        <v>5</v>
      </c>
      <c r="N1105" s="8">
        <f t="shared" si="0"/>
        <v>403729.47314973641</v>
      </c>
      <c r="O1105" s="5">
        <f t="shared" si="1"/>
        <v>238224</v>
      </c>
      <c r="P1105" s="5">
        <f t="shared" si="2"/>
        <v>165505.47314973641</v>
      </c>
      <c r="Q1105" s="5" t="s">
        <v>83</v>
      </c>
      <c r="R1105" s="5" t="s">
        <v>56</v>
      </c>
      <c r="T1105" s="5">
        <v>10</v>
      </c>
      <c r="U1105" s="5">
        <v>1</v>
      </c>
      <c r="W1105" s="5">
        <f t="shared" si="3"/>
        <v>0</v>
      </c>
    </row>
    <row r="1106" spans="1:23" ht="15.75" customHeight="1" x14ac:dyDescent="0.25">
      <c r="A1106" s="5" t="s">
        <v>1487</v>
      </c>
      <c r="B1106" s="6">
        <v>45267</v>
      </c>
      <c r="C1106" s="5" t="s">
        <v>562</v>
      </c>
      <c r="D1106" s="5" t="s">
        <v>53</v>
      </c>
      <c r="E1106" s="5" t="s">
        <v>49</v>
      </c>
      <c r="F1106" s="5" t="s">
        <v>50</v>
      </c>
      <c r="G1106" s="5" t="s">
        <v>81</v>
      </c>
      <c r="H1106" s="5" t="s">
        <v>44</v>
      </c>
      <c r="I1106" s="5" t="s">
        <v>82</v>
      </c>
      <c r="J1106" s="5">
        <v>1651</v>
      </c>
      <c r="K1106" s="7">
        <v>2590.9520305190708</v>
      </c>
      <c r="L1106" s="5">
        <v>3</v>
      </c>
      <c r="M1106" s="5">
        <v>0</v>
      </c>
      <c r="N1106" s="8">
        <f t="shared" si="0"/>
        <v>7772.8560915572125</v>
      </c>
      <c r="O1106" s="5">
        <f t="shared" si="1"/>
        <v>4953</v>
      </c>
      <c r="P1106" s="5">
        <f t="shared" si="2"/>
        <v>2819.8560915572125</v>
      </c>
      <c r="Q1106" s="5" t="s">
        <v>39</v>
      </c>
      <c r="R1106" s="5" t="s">
        <v>56</v>
      </c>
      <c r="T1106" s="5">
        <v>9</v>
      </c>
      <c r="U1106" s="5">
        <v>1</v>
      </c>
      <c r="W1106" s="5">
        <f t="shared" si="3"/>
        <v>0</v>
      </c>
    </row>
    <row r="1107" spans="1:23" ht="15.75" customHeight="1" x14ac:dyDescent="0.25">
      <c r="A1107" s="5" t="s">
        <v>1488</v>
      </c>
      <c r="B1107" s="6">
        <v>45267</v>
      </c>
      <c r="C1107" s="5" t="s">
        <v>163</v>
      </c>
      <c r="D1107" s="5" t="s">
        <v>184</v>
      </c>
      <c r="E1107" s="5" t="s">
        <v>60</v>
      </c>
      <c r="F1107" s="5" t="s">
        <v>61</v>
      </c>
      <c r="G1107" s="5" t="s">
        <v>28</v>
      </c>
      <c r="H1107" s="5" t="s">
        <v>29</v>
      </c>
      <c r="I1107" s="5" t="s">
        <v>30</v>
      </c>
      <c r="J1107" s="5">
        <v>6213</v>
      </c>
      <c r="K1107" s="7">
        <v>9141.3263263444605</v>
      </c>
      <c r="L1107" s="5">
        <v>5</v>
      </c>
      <c r="M1107" s="5">
        <v>10</v>
      </c>
      <c r="N1107" s="8">
        <f t="shared" si="0"/>
        <v>41135.968468550076</v>
      </c>
      <c r="O1107" s="5">
        <f t="shared" si="1"/>
        <v>31065</v>
      </c>
      <c r="P1107" s="5">
        <f t="shared" si="2"/>
        <v>10070.968468550076</v>
      </c>
      <c r="Q1107" s="5" t="s">
        <v>39</v>
      </c>
      <c r="R1107" s="5" t="s">
        <v>56</v>
      </c>
      <c r="T1107" s="5">
        <v>7</v>
      </c>
      <c r="U1107" s="5">
        <v>4</v>
      </c>
      <c r="W1107" s="5">
        <f t="shared" si="3"/>
        <v>0</v>
      </c>
    </row>
    <row r="1108" spans="1:23" ht="15.75" customHeight="1" x14ac:dyDescent="0.25">
      <c r="A1108" s="5" t="s">
        <v>1489</v>
      </c>
      <c r="B1108" s="6">
        <v>45267</v>
      </c>
      <c r="C1108" s="5" t="s">
        <v>1490</v>
      </c>
      <c r="D1108" s="5" t="s">
        <v>208</v>
      </c>
      <c r="E1108" s="5" t="s">
        <v>80</v>
      </c>
      <c r="F1108" s="5" t="s">
        <v>80</v>
      </c>
      <c r="G1108" s="5" t="s">
        <v>139</v>
      </c>
      <c r="H1108" s="5" t="s">
        <v>76</v>
      </c>
      <c r="I1108" s="5" t="s">
        <v>140</v>
      </c>
      <c r="J1108" s="5">
        <v>41856</v>
      </c>
      <c r="K1108" s="7">
        <v>67637.265726015728</v>
      </c>
      <c r="L1108" s="5">
        <v>1</v>
      </c>
      <c r="M1108" s="5">
        <v>5</v>
      </c>
      <c r="N1108" s="8">
        <f t="shared" si="0"/>
        <v>64255.402439714941</v>
      </c>
      <c r="O1108" s="5">
        <f t="shared" si="1"/>
        <v>41856</v>
      </c>
      <c r="P1108" s="5">
        <f t="shared" si="2"/>
        <v>22399.402439714941</v>
      </c>
      <c r="Q1108" s="5" t="s">
        <v>83</v>
      </c>
      <c r="R1108" s="5" t="s">
        <v>56</v>
      </c>
      <c r="T1108" s="5">
        <v>8</v>
      </c>
      <c r="U1108" s="5">
        <v>2</v>
      </c>
      <c r="W1108" s="5">
        <f t="shared" si="3"/>
        <v>0</v>
      </c>
    </row>
    <row r="1109" spans="1:23" ht="15.75" customHeight="1" x14ac:dyDescent="0.25">
      <c r="A1109" s="5" t="s">
        <v>1491</v>
      </c>
      <c r="B1109" s="6">
        <v>45267</v>
      </c>
      <c r="C1109" s="5" t="s">
        <v>478</v>
      </c>
      <c r="D1109" s="5" t="s">
        <v>59</v>
      </c>
      <c r="E1109" s="5" t="s">
        <v>26</v>
      </c>
      <c r="F1109" s="5" t="s">
        <v>27</v>
      </c>
      <c r="G1109" s="5" t="s">
        <v>106</v>
      </c>
      <c r="H1109" s="5" t="s">
        <v>98</v>
      </c>
      <c r="I1109" s="5" t="s">
        <v>107</v>
      </c>
      <c r="J1109" s="5">
        <v>519</v>
      </c>
      <c r="K1109" s="7">
        <v>534.34756601836091</v>
      </c>
      <c r="L1109" s="5">
        <v>3</v>
      </c>
      <c r="M1109" s="5">
        <v>5</v>
      </c>
      <c r="N1109" s="8">
        <f t="shared" si="0"/>
        <v>1522.8905631523287</v>
      </c>
      <c r="O1109" s="5">
        <f t="shared" si="1"/>
        <v>1557</v>
      </c>
      <c r="P1109" s="5">
        <f t="shared" si="2"/>
        <v>-34.109436847671304</v>
      </c>
      <c r="Q1109" s="5" t="s">
        <v>39</v>
      </c>
      <c r="R1109" s="5" t="s">
        <v>56</v>
      </c>
      <c r="T1109" s="5">
        <v>7</v>
      </c>
      <c r="U1109" s="5">
        <v>2</v>
      </c>
      <c r="W1109" s="5">
        <f t="shared" si="3"/>
        <v>0</v>
      </c>
    </row>
    <row r="1110" spans="1:23" ht="15.75" customHeight="1" x14ac:dyDescent="0.25">
      <c r="A1110" s="5" t="s">
        <v>1492</v>
      </c>
      <c r="B1110" s="6">
        <v>45268</v>
      </c>
      <c r="C1110" s="5" t="s">
        <v>562</v>
      </c>
      <c r="D1110" s="5" t="s">
        <v>105</v>
      </c>
      <c r="E1110" s="5" t="s">
        <v>60</v>
      </c>
      <c r="F1110" s="5" t="s">
        <v>61</v>
      </c>
      <c r="G1110" s="5" t="s">
        <v>70</v>
      </c>
      <c r="H1110" s="5" t="s">
        <v>44</v>
      </c>
      <c r="I1110" s="5" t="s">
        <v>71</v>
      </c>
      <c r="J1110" s="5">
        <v>936</v>
      </c>
      <c r="K1110" s="7">
        <v>1547.3452443106753</v>
      </c>
      <c r="L1110" s="5">
        <v>3</v>
      </c>
      <c r="M1110" s="5">
        <v>10</v>
      </c>
      <c r="N1110" s="8">
        <f t="shared" si="0"/>
        <v>4177.8321596388232</v>
      </c>
      <c r="O1110" s="5">
        <f t="shared" si="1"/>
        <v>2808</v>
      </c>
      <c r="P1110" s="5">
        <f t="shared" si="2"/>
        <v>1369.8321596388232</v>
      </c>
      <c r="Q1110" s="5" t="s">
        <v>39</v>
      </c>
      <c r="R1110" s="5" t="s">
        <v>32</v>
      </c>
      <c r="S1110" s="6">
        <v>45279</v>
      </c>
      <c r="T1110" s="5">
        <v>6</v>
      </c>
      <c r="U1110" s="5">
        <v>2</v>
      </c>
      <c r="V1110" s="5" t="s">
        <v>33</v>
      </c>
      <c r="W1110" s="5">
        <f t="shared" si="3"/>
        <v>0</v>
      </c>
    </row>
    <row r="1111" spans="1:23" ht="15.75" customHeight="1" x14ac:dyDescent="0.25">
      <c r="A1111" s="5" t="s">
        <v>1493</v>
      </c>
      <c r="B1111" s="6">
        <v>45268</v>
      </c>
      <c r="C1111" s="5" t="s">
        <v>201</v>
      </c>
      <c r="D1111" s="5" t="s">
        <v>25</v>
      </c>
      <c r="E1111" s="5" t="s">
        <v>112</v>
      </c>
      <c r="F1111" s="5" t="s">
        <v>113</v>
      </c>
      <c r="G1111" s="5" t="s">
        <v>92</v>
      </c>
      <c r="H1111" s="5" t="s">
        <v>44</v>
      </c>
      <c r="I1111" s="5" t="s">
        <v>45</v>
      </c>
      <c r="J1111" s="5">
        <v>1226</v>
      </c>
      <c r="K1111" s="7">
        <v>1476.5199386964769</v>
      </c>
      <c r="L1111" s="5">
        <v>3</v>
      </c>
      <c r="M1111" s="5">
        <v>10</v>
      </c>
      <c r="N1111" s="8">
        <f t="shared" si="0"/>
        <v>3986.6038344804874</v>
      </c>
      <c r="O1111" s="5">
        <f t="shared" si="1"/>
        <v>3678</v>
      </c>
      <c r="P1111" s="5">
        <f t="shared" si="2"/>
        <v>308.60383448048742</v>
      </c>
      <c r="Q1111" s="5" t="s">
        <v>46</v>
      </c>
      <c r="R1111" s="5" t="s">
        <v>32</v>
      </c>
      <c r="S1111" s="6">
        <v>45272</v>
      </c>
      <c r="T1111" s="5">
        <v>1</v>
      </c>
      <c r="U1111" s="5">
        <v>4</v>
      </c>
      <c r="V1111" s="5" t="s">
        <v>33</v>
      </c>
      <c r="W1111" s="5">
        <f t="shared" si="3"/>
        <v>0</v>
      </c>
    </row>
    <row r="1112" spans="1:23" ht="15.75" customHeight="1" x14ac:dyDescent="0.25">
      <c r="A1112" s="5" t="s">
        <v>1494</v>
      </c>
      <c r="B1112" s="6">
        <v>45268</v>
      </c>
      <c r="C1112" s="5" t="s">
        <v>134</v>
      </c>
      <c r="D1112" s="5" t="s">
        <v>53</v>
      </c>
      <c r="E1112" s="5" t="s">
        <v>26</v>
      </c>
      <c r="F1112" s="5" t="s">
        <v>27</v>
      </c>
      <c r="G1112" s="5" t="s">
        <v>139</v>
      </c>
      <c r="H1112" s="5" t="s">
        <v>76</v>
      </c>
      <c r="I1112" s="5" t="s">
        <v>140</v>
      </c>
      <c r="J1112" s="5">
        <v>35183</v>
      </c>
      <c r="K1112" s="7">
        <v>63133.695061662045</v>
      </c>
      <c r="L1112" s="5">
        <v>3</v>
      </c>
      <c r="M1112" s="5">
        <v>20</v>
      </c>
      <c r="N1112" s="8">
        <f t="shared" si="0"/>
        <v>151520.86814798889</v>
      </c>
      <c r="O1112" s="5">
        <f t="shared" si="1"/>
        <v>105549</v>
      </c>
      <c r="P1112" s="5">
        <f t="shared" si="2"/>
        <v>45971.868147988891</v>
      </c>
      <c r="Q1112" s="5" t="s">
        <v>46</v>
      </c>
      <c r="R1112" s="5" t="s">
        <v>56</v>
      </c>
      <c r="T1112" s="5">
        <v>7</v>
      </c>
      <c r="U1112" s="5">
        <v>3</v>
      </c>
      <c r="W1112" s="5">
        <f t="shared" si="3"/>
        <v>0</v>
      </c>
    </row>
    <row r="1113" spans="1:23" ht="15.75" customHeight="1" x14ac:dyDescent="0.25">
      <c r="A1113" s="5" t="s">
        <v>1495</v>
      </c>
      <c r="B1113" s="6">
        <v>45269</v>
      </c>
      <c r="C1113" s="5" t="s">
        <v>722</v>
      </c>
      <c r="D1113" s="5" t="s">
        <v>86</v>
      </c>
      <c r="E1113" s="5" t="s">
        <v>80</v>
      </c>
      <c r="F1113" s="5" t="s">
        <v>80</v>
      </c>
      <c r="G1113" s="5" t="s">
        <v>81</v>
      </c>
      <c r="H1113" s="5" t="s">
        <v>44</v>
      </c>
      <c r="I1113" s="5" t="s">
        <v>82</v>
      </c>
      <c r="J1113" s="5">
        <v>1594</v>
      </c>
      <c r="K1113" s="7">
        <v>2265.6617900067445</v>
      </c>
      <c r="L1113" s="5">
        <v>5</v>
      </c>
      <c r="M1113" s="5">
        <v>15</v>
      </c>
      <c r="N1113" s="8">
        <f t="shared" si="0"/>
        <v>9629.0626075286636</v>
      </c>
      <c r="O1113" s="5">
        <f t="shared" si="1"/>
        <v>7970</v>
      </c>
      <c r="P1113" s="5">
        <f t="shared" si="2"/>
        <v>1659.0626075286636</v>
      </c>
      <c r="Q1113" s="5" t="s">
        <v>39</v>
      </c>
      <c r="R1113" s="5" t="s">
        <v>32</v>
      </c>
      <c r="S1113" s="6">
        <v>45277</v>
      </c>
      <c r="T1113" s="5">
        <v>5</v>
      </c>
      <c r="U1113" s="5">
        <v>3</v>
      </c>
      <c r="V1113" s="5" t="s">
        <v>33</v>
      </c>
      <c r="W1113" s="5">
        <f t="shared" si="3"/>
        <v>0</v>
      </c>
    </row>
    <row r="1114" spans="1:23" ht="15.75" customHeight="1" x14ac:dyDescent="0.25">
      <c r="A1114" s="5" t="s">
        <v>1496</v>
      </c>
      <c r="B1114" s="6">
        <v>45269</v>
      </c>
      <c r="C1114" s="5" t="s">
        <v>692</v>
      </c>
      <c r="D1114" s="5" t="s">
        <v>36</v>
      </c>
      <c r="E1114" s="5" t="s">
        <v>37</v>
      </c>
      <c r="F1114" s="5" t="s">
        <v>38</v>
      </c>
      <c r="G1114" s="5" t="s">
        <v>139</v>
      </c>
      <c r="H1114" s="5" t="s">
        <v>76</v>
      </c>
      <c r="I1114" s="5" t="s">
        <v>140</v>
      </c>
      <c r="J1114" s="5">
        <v>38143</v>
      </c>
      <c r="K1114" s="7">
        <v>51335.73229686456</v>
      </c>
      <c r="L1114" s="5">
        <v>4</v>
      </c>
      <c r="M1114" s="5">
        <v>15</v>
      </c>
      <c r="N1114" s="8">
        <f t="shared" si="0"/>
        <v>174541.48980933949</v>
      </c>
      <c r="O1114" s="5">
        <f t="shared" si="1"/>
        <v>152572</v>
      </c>
      <c r="P1114" s="5">
        <f t="shared" si="2"/>
        <v>21969.489809339488</v>
      </c>
      <c r="Q1114" s="5" t="s">
        <v>83</v>
      </c>
      <c r="R1114" s="5" t="s">
        <v>32</v>
      </c>
      <c r="S1114" s="6">
        <v>45280</v>
      </c>
      <c r="T1114" s="5">
        <v>6</v>
      </c>
      <c r="U1114" s="5">
        <v>2</v>
      </c>
      <c r="V1114" s="5" t="s">
        <v>33</v>
      </c>
      <c r="W1114" s="5">
        <f t="shared" si="3"/>
        <v>0</v>
      </c>
    </row>
    <row r="1115" spans="1:23" ht="15.75" customHeight="1" x14ac:dyDescent="0.25">
      <c r="A1115" s="5" t="s">
        <v>1497</v>
      </c>
      <c r="B1115" s="6">
        <v>45269</v>
      </c>
      <c r="C1115" s="5" t="s">
        <v>459</v>
      </c>
      <c r="D1115" s="5" t="s">
        <v>146</v>
      </c>
      <c r="E1115" s="5" t="s">
        <v>69</v>
      </c>
      <c r="F1115" s="5" t="s">
        <v>55</v>
      </c>
      <c r="G1115" s="5" t="s">
        <v>75</v>
      </c>
      <c r="H1115" s="5" t="s">
        <v>76</v>
      </c>
      <c r="I1115" s="5" t="s">
        <v>77</v>
      </c>
      <c r="J1115" s="5">
        <v>707</v>
      </c>
      <c r="K1115" s="7">
        <v>820.34067949584187</v>
      </c>
      <c r="L1115" s="5">
        <v>4</v>
      </c>
      <c r="M1115" s="5">
        <v>5</v>
      </c>
      <c r="N1115" s="8">
        <f t="shared" si="0"/>
        <v>3117.2945820841987</v>
      </c>
      <c r="O1115" s="5">
        <f t="shared" si="1"/>
        <v>2828</v>
      </c>
      <c r="P1115" s="5">
        <f t="shared" si="2"/>
        <v>289.29458208419874</v>
      </c>
      <c r="Q1115" s="5" t="s">
        <v>31</v>
      </c>
      <c r="R1115" s="5" t="s">
        <v>32</v>
      </c>
      <c r="S1115" s="6">
        <v>45280</v>
      </c>
      <c r="T1115" s="5">
        <v>6</v>
      </c>
      <c r="U1115" s="5">
        <v>2</v>
      </c>
      <c r="V1115" s="5" t="s">
        <v>33</v>
      </c>
      <c r="W1115" s="5">
        <f t="shared" si="3"/>
        <v>0</v>
      </c>
    </row>
    <row r="1116" spans="1:23" ht="15.75" customHeight="1" x14ac:dyDescent="0.25">
      <c r="A1116" s="5" t="s">
        <v>1498</v>
      </c>
      <c r="B1116" s="6">
        <v>45269</v>
      </c>
      <c r="C1116" s="5" t="s">
        <v>452</v>
      </c>
      <c r="D1116" s="5" t="s">
        <v>146</v>
      </c>
      <c r="E1116" s="5" t="s">
        <v>69</v>
      </c>
      <c r="F1116" s="5" t="s">
        <v>55</v>
      </c>
      <c r="G1116" s="5" t="s">
        <v>139</v>
      </c>
      <c r="H1116" s="5" t="s">
        <v>76</v>
      </c>
      <c r="I1116" s="5" t="s">
        <v>140</v>
      </c>
      <c r="J1116" s="5">
        <v>31848</v>
      </c>
      <c r="K1116" s="7">
        <v>56568.605118765649</v>
      </c>
      <c r="L1116" s="5">
        <v>5</v>
      </c>
      <c r="M1116" s="5">
        <v>20</v>
      </c>
      <c r="N1116" s="8">
        <f t="shared" si="0"/>
        <v>226274.42047506259</v>
      </c>
      <c r="O1116" s="5">
        <f t="shared" si="1"/>
        <v>159240</v>
      </c>
      <c r="P1116" s="5">
        <f t="shared" si="2"/>
        <v>67034.420475062594</v>
      </c>
      <c r="Q1116" s="5" t="s">
        <v>83</v>
      </c>
      <c r="R1116" s="5" t="s">
        <v>32</v>
      </c>
      <c r="S1116" s="6">
        <v>45277</v>
      </c>
      <c r="T1116" s="5">
        <v>5</v>
      </c>
      <c r="U1116" s="5">
        <v>2</v>
      </c>
      <c r="V1116" s="5" t="s">
        <v>33</v>
      </c>
      <c r="W1116" s="5">
        <f t="shared" si="3"/>
        <v>0</v>
      </c>
    </row>
    <row r="1117" spans="1:23" ht="15.75" customHeight="1" x14ac:dyDescent="0.25">
      <c r="A1117" s="5" t="s">
        <v>1499</v>
      </c>
      <c r="B1117" s="6">
        <v>45269</v>
      </c>
      <c r="C1117" s="5" t="s">
        <v>68</v>
      </c>
      <c r="D1117" s="5" t="s">
        <v>148</v>
      </c>
      <c r="E1117" s="5" t="s">
        <v>80</v>
      </c>
      <c r="F1117" s="5" t="s">
        <v>80</v>
      </c>
      <c r="G1117" s="5" t="s">
        <v>75</v>
      </c>
      <c r="H1117" s="5" t="s">
        <v>76</v>
      </c>
      <c r="I1117" s="5" t="s">
        <v>77</v>
      </c>
      <c r="J1117" s="5">
        <v>700</v>
      </c>
      <c r="K1117" s="7">
        <v>912.7428952530056</v>
      </c>
      <c r="L1117" s="5">
        <v>1</v>
      </c>
      <c r="M1117" s="5">
        <v>10</v>
      </c>
      <c r="N1117" s="8">
        <f t="shared" si="0"/>
        <v>821.46860572770504</v>
      </c>
      <c r="O1117" s="5">
        <f t="shared" si="1"/>
        <v>700</v>
      </c>
      <c r="P1117" s="5">
        <f t="shared" si="2"/>
        <v>121.46860572770504</v>
      </c>
      <c r="Q1117" s="5" t="s">
        <v>46</v>
      </c>
      <c r="R1117" s="5" t="s">
        <v>32</v>
      </c>
      <c r="S1117" s="6">
        <v>45275</v>
      </c>
      <c r="T1117" s="5">
        <v>2</v>
      </c>
      <c r="U1117" s="5">
        <v>5</v>
      </c>
      <c r="V1117" s="5" t="s">
        <v>33</v>
      </c>
      <c r="W1117" s="5">
        <f t="shared" si="3"/>
        <v>0</v>
      </c>
    </row>
    <row r="1118" spans="1:23" ht="15.75" customHeight="1" x14ac:dyDescent="0.25">
      <c r="A1118" s="5" t="s">
        <v>1500</v>
      </c>
      <c r="B1118" s="6">
        <v>45270</v>
      </c>
      <c r="C1118" s="5" t="s">
        <v>85</v>
      </c>
      <c r="D1118" s="5" t="s">
        <v>53</v>
      </c>
      <c r="E1118" s="5" t="s">
        <v>54</v>
      </c>
      <c r="F1118" s="5" t="s">
        <v>55</v>
      </c>
      <c r="G1118" s="5" t="s">
        <v>81</v>
      </c>
      <c r="H1118" s="5" t="s">
        <v>44</v>
      </c>
      <c r="I1118" s="5" t="s">
        <v>82</v>
      </c>
      <c r="J1118" s="5">
        <v>2405</v>
      </c>
      <c r="K1118" s="7">
        <v>3200.606169148522</v>
      </c>
      <c r="L1118" s="5">
        <v>5</v>
      </c>
      <c r="M1118" s="5">
        <v>15</v>
      </c>
      <c r="N1118" s="8">
        <f t="shared" si="0"/>
        <v>13602.576218881219</v>
      </c>
      <c r="O1118" s="5">
        <f t="shared" si="1"/>
        <v>12025</v>
      </c>
      <c r="P1118" s="5">
        <f t="shared" si="2"/>
        <v>1577.5762188812187</v>
      </c>
      <c r="Q1118" s="5" t="s">
        <v>39</v>
      </c>
      <c r="R1118" s="5" t="s">
        <v>32</v>
      </c>
      <c r="S1118" s="6">
        <v>45275</v>
      </c>
      <c r="T1118" s="5">
        <v>2</v>
      </c>
      <c r="U1118" s="5">
        <v>5</v>
      </c>
      <c r="V1118" s="5" t="s">
        <v>33</v>
      </c>
      <c r="W1118" s="5">
        <f t="shared" si="3"/>
        <v>0</v>
      </c>
    </row>
    <row r="1119" spans="1:23" ht="15.75" customHeight="1" x14ac:dyDescent="0.25">
      <c r="A1119" s="5" t="s">
        <v>1501</v>
      </c>
      <c r="B1119" s="6">
        <v>45270</v>
      </c>
      <c r="C1119" s="5" t="s">
        <v>231</v>
      </c>
      <c r="D1119" s="5" t="s">
        <v>138</v>
      </c>
      <c r="E1119" s="5" t="s">
        <v>80</v>
      </c>
      <c r="F1119" s="5" t="s">
        <v>80</v>
      </c>
      <c r="G1119" s="5" t="s">
        <v>81</v>
      </c>
      <c r="H1119" s="5" t="s">
        <v>44</v>
      </c>
      <c r="I1119" s="5" t="s">
        <v>82</v>
      </c>
      <c r="J1119" s="5">
        <v>1565</v>
      </c>
      <c r="K1119" s="7">
        <v>1912.1615466345716</v>
      </c>
      <c r="L1119" s="5">
        <v>4</v>
      </c>
      <c r="M1119" s="5">
        <v>20</v>
      </c>
      <c r="N1119" s="8">
        <f t="shared" si="0"/>
        <v>6118.9169492306291</v>
      </c>
      <c r="O1119" s="5">
        <f t="shared" si="1"/>
        <v>6260</v>
      </c>
      <c r="P1119" s="5">
        <f t="shared" si="2"/>
        <v>-141.08305076937086</v>
      </c>
      <c r="Q1119" s="5" t="s">
        <v>39</v>
      </c>
      <c r="R1119" s="5" t="s">
        <v>56</v>
      </c>
      <c r="T1119" s="5">
        <v>10</v>
      </c>
      <c r="U1119" s="5">
        <v>1</v>
      </c>
      <c r="W1119" s="5">
        <f t="shared" si="3"/>
        <v>0</v>
      </c>
    </row>
    <row r="1120" spans="1:23" ht="15.75" customHeight="1" x14ac:dyDescent="0.25">
      <c r="A1120" s="5" t="s">
        <v>1502</v>
      </c>
      <c r="B1120" s="6">
        <v>45271</v>
      </c>
      <c r="C1120" s="5" t="s">
        <v>1374</v>
      </c>
      <c r="D1120" s="5" t="s">
        <v>74</v>
      </c>
      <c r="E1120" s="5" t="s">
        <v>112</v>
      </c>
      <c r="F1120" s="5" t="s">
        <v>113</v>
      </c>
      <c r="G1120" s="5" t="s">
        <v>81</v>
      </c>
      <c r="H1120" s="5" t="s">
        <v>44</v>
      </c>
      <c r="I1120" s="5" t="s">
        <v>82</v>
      </c>
      <c r="J1120" s="5">
        <v>2912</v>
      </c>
      <c r="K1120" s="7">
        <v>4805.4174698041934</v>
      </c>
      <c r="L1120" s="5">
        <v>5</v>
      </c>
      <c r="M1120" s="5">
        <v>15</v>
      </c>
      <c r="N1120" s="8">
        <f t="shared" si="0"/>
        <v>20423.024246667821</v>
      </c>
      <c r="O1120" s="5">
        <f t="shared" si="1"/>
        <v>14560</v>
      </c>
      <c r="P1120" s="5">
        <f t="shared" si="2"/>
        <v>5863.024246667821</v>
      </c>
      <c r="Q1120" s="5" t="s">
        <v>46</v>
      </c>
      <c r="R1120" s="5" t="s">
        <v>32</v>
      </c>
      <c r="S1120" s="6">
        <v>45279</v>
      </c>
      <c r="T1120" s="5">
        <v>5</v>
      </c>
      <c r="U1120" s="5">
        <v>4</v>
      </c>
      <c r="V1120" s="5" t="s">
        <v>33</v>
      </c>
      <c r="W1120" s="5">
        <f t="shared" si="3"/>
        <v>0</v>
      </c>
    </row>
    <row r="1121" spans="1:23" ht="15.75" customHeight="1" x14ac:dyDescent="0.25">
      <c r="A1121" s="5" t="s">
        <v>1503</v>
      </c>
      <c r="B1121" s="6">
        <v>45271</v>
      </c>
      <c r="C1121" s="5" t="s">
        <v>252</v>
      </c>
      <c r="D1121" s="5" t="s">
        <v>184</v>
      </c>
      <c r="E1121" s="5" t="s">
        <v>37</v>
      </c>
      <c r="F1121" s="5" t="s">
        <v>38</v>
      </c>
      <c r="G1121" s="5" t="s">
        <v>87</v>
      </c>
      <c r="H1121" s="5" t="s">
        <v>29</v>
      </c>
      <c r="I1121" s="5" t="s">
        <v>88</v>
      </c>
      <c r="J1121" s="5">
        <v>37543</v>
      </c>
      <c r="K1121" s="7">
        <v>53932.232245670246</v>
      </c>
      <c r="L1121" s="5">
        <v>1</v>
      </c>
      <c r="M1121" s="5">
        <v>20</v>
      </c>
      <c r="N1121" s="8">
        <f t="shared" si="0"/>
        <v>43145.785796536198</v>
      </c>
      <c r="O1121" s="5">
        <f t="shared" si="1"/>
        <v>37543</v>
      </c>
      <c r="P1121" s="5">
        <f t="shared" si="2"/>
        <v>5602.7857965361982</v>
      </c>
      <c r="Q1121" s="5" t="s">
        <v>83</v>
      </c>
      <c r="R1121" s="5" t="s">
        <v>32</v>
      </c>
      <c r="S1121" s="6">
        <v>45277</v>
      </c>
      <c r="T1121" s="5">
        <v>2</v>
      </c>
      <c r="U1121" s="5">
        <v>5</v>
      </c>
      <c r="V1121" s="5" t="s">
        <v>33</v>
      </c>
      <c r="W1121" s="5">
        <f t="shared" si="3"/>
        <v>0</v>
      </c>
    </row>
    <row r="1122" spans="1:23" ht="15.75" customHeight="1" x14ac:dyDescent="0.25">
      <c r="A1122" s="5" t="s">
        <v>1504</v>
      </c>
      <c r="B1122" s="6">
        <v>45271</v>
      </c>
      <c r="C1122" s="5" t="s">
        <v>370</v>
      </c>
      <c r="D1122" s="5" t="s">
        <v>64</v>
      </c>
      <c r="E1122" s="5" t="s">
        <v>60</v>
      </c>
      <c r="F1122" s="5" t="s">
        <v>61</v>
      </c>
      <c r="G1122" s="5" t="s">
        <v>124</v>
      </c>
      <c r="H1122" s="5" t="s">
        <v>76</v>
      </c>
      <c r="I1122" s="5" t="s">
        <v>125</v>
      </c>
      <c r="J1122" s="5">
        <v>62765</v>
      </c>
      <c r="K1122" s="7">
        <v>110569.12474609516</v>
      </c>
      <c r="L1122" s="5">
        <v>1</v>
      </c>
      <c r="M1122" s="5">
        <v>10</v>
      </c>
      <c r="N1122" s="8">
        <f t="shared" si="0"/>
        <v>99512.212271485638</v>
      </c>
      <c r="O1122" s="5">
        <f t="shared" si="1"/>
        <v>62765</v>
      </c>
      <c r="P1122" s="5">
        <f t="shared" si="2"/>
        <v>36747.212271485638</v>
      </c>
      <c r="Q1122" s="5" t="s">
        <v>83</v>
      </c>
      <c r="R1122" s="5" t="s">
        <v>56</v>
      </c>
      <c r="T1122" s="5">
        <v>10</v>
      </c>
      <c r="U1122" s="5">
        <v>1</v>
      </c>
      <c r="W1122" s="5">
        <f t="shared" si="3"/>
        <v>0</v>
      </c>
    </row>
    <row r="1123" spans="1:23" ht="15.75" customHeight="1" x14ac:dyDescent="0.25">
      <c r="A1123" s="5" t="s">
        <v>1505</v>
      </c>
      <c r="B1123" s="6">
        <v>45272</v>
      </c>
      <c r="C1123" s="5" t="s">
        <v>143</v>
      </c>
      <c r="D1123" s="5" t="s">
        <v>138</v>
      </c>
      <c r="E1123" s="5" t="s">
        <v>112</v>
      </c>
      <c r="F1123" s="5" t="s">
        <v>113</v>
      </c>
      <c r="G1123" s="5" t="s">
        <v>87</v>
      </c>
      <c r="H1123" s="5" t="s">
        <v>29</v>
      </c>
      <c r="I1123" s="5" t="s">
        <v>88</v>
      </c>
      <c r="J1123" s="5">
        <v>50926</v>
      </c>
      <c r="K1123" s="7">
        <v>75499.424451440587</v>
      </c>
      <c r="L1123" s="5">
        <v>4</v>
      </c>
      <c r="M1123" s="5">
        <v>5</v>
      </c>
      <c r="N1123" s="8">
        <f t="shared" si="0"/>
        <v>286897.81291547423</v>
      </c>
      <c r="O1123" s="5">
        <f t="shared" si="1"/>
        <v>203704</v>
      </c>
      <c r="P1123" s="5">
        <f t="shared" si="2"/>
        <v>83193.812915474235</v>
      </c>
      <c r="Q1123" s="5" t="s">
        <v>46</v>
      </c>
      <c r="R1123" s="5" t="s">
        <v>32</v>
      </c>
      <c r="S1123" s="6">
        <v>45283</v>
      </c>
      <c r="T1123" s="5">
        <v>4</v>
      </c>
      <c r="U1123" s="5">
        <v>2</v>
      </c>
      <c r="V1123" s="5" t="s">
        <v>33</v>
      </c>
      <c r="W1123" s="5">
        <f t="shared" si="3"/>
        <v>0</v>
      </c>
    </row>
    <row r="1124" spans="1:23" ht="15.75" customHeight="1" x14ac:dyDescent="0.25">
      <c r="A1124" s="5" t="s">
        <v>1506</v>
      </c>
      <c r="B1124" s="6">
        <v>45272</v>
      </c>
      <c r="C1124" s="5" t="s">
        <v>373</v>
      </c>
      <c r="D1124" s="5" t="s">
        <v>135</v>
      </c>
      <c r="E1124" s="5" t="s">
        <v>80</v>
      </c>
      <c r="F1124" s="5" t="s">
        <v>80</v>
      </c>
      <c r="G1124" s="5" t="s">
        <v>87</v>
      </c>
      <c r="H1124" s="5" t="s">
        <v>29</v>
      </c>
      <c r="I1124" s="5" t="s">
        <v>88</v>
      </c>
      <c r="J1124" s="5">
        <v>29381</v>
      </c>
      <c r="K1124" s="7">
        <v>30121.828189264892</v>
      </c>
      <c r="L1124" s="5">
        <v>2</v>
      </c>
      <c r="M1124" s="5">
        <v>20</v>
      </c>
      <c r="N1124" s="8">
        <f t="shared" si="0"/>
        <v>48194.925102823829</v>
      </c>
      <c r="O1124" s="5">
        <f t="shared" si="1"/>
        <v>58762</v>
      </c>
      <c r="P1124" s="5">
        <f t="shared" si="2"/>
        <v>-10567.074897176171</v>
      </c>
      <c r="Q1124" s="5" t="s">
        <v>46</v>
      </c>
      <c r="R1124" s="5" t="s">
        <v>56</v>
      </c>
      <c r="T1124" s="5">
        <v>10</v>
      </c>
      <c r="U1124" s="5">
        <v>1</v>
      </c>
      <c r="W1124" s="5">
        <f t="shared" si="3"/>
        <v>0</v>
      </c>
    </row>
    <row r="1125" spans="1:23" ht="15.75" customHeight="1" x14ac:dyDescent="0.25">
      <c r="A1125" s="5" t="s">
        <v>1507</v>
      </c>
      <c r="B1125" s="6">
        <v>45273</v>
      </c>
      <c r="C1125" s="5" t="s">
        <v>68</v>
      </c>
      <c r="D1125" s="5" t="s">
        <v>135</v>
      </c>
      <c r="E1125" s="5" t="s">
        <v>60</v>
      </c>
      <c r="F1125" s="5" t="s">
        <v>61</v>
      </c>
      <c r="G1125" s="5" t="s">
        <v>106</v>
      </c>
      <c r="H1125" s="5" t="s">
        <v>98</v>
      </c>
      <c r="I1125" s="5" t="s">
        <v>107</v>
      </c>
      <c r="J1125" s="5">
        <v>557</v>
      </c>
      <c r="K1125" s="7">
        <v>889.02335772393621</v>
      </c>
      <c r="L1125" s="5">
        <v>3</v>
      </c>
      <c r="M1125" s="5">
        <v>5</v>
      </c>
      <c r="N1125" s="8">
        <f t="shared" si="0"/>
        <v>2533.7165695132185</v>
      </c>
      <c r="O1125" s="5">
        <f t="shared" si="1"/>
        <v>1671</v>
      </c>
      <c r="P1125" s="5">
        <f t="shared" si="2"/>
        <v>862.71656951321847</v>
      </c>
      <c r="Q1125" s="5" t="s">
        <v>31</v>
      </c>
      <c r="R1125" s="5" t="s">
        <v>32</v>
      </c>
      <c r="S1125" s="6">
        <v>45280</v>
      </c>
      <c r="T1125" s="5">
        <v>3</v>
      </c>
      <c r="U1125" s="5">
        <v>2</v>
      </c>
      <c r="V1125" s="5" t="s">
        <v>33</v>
      </c>
      <c r="W1125" s="5">
        <f t="shared" si="3"/>
        <v>0</v>
      </c>
    </row>
    <row r="1126" spans="1:23" ht="15.75" customHeight="1" x14ac:dyDescent="0.25">
      <c r="A1126" s="5" t="s">
        <v>1508</v>
      </c>
      <c r="B1126" s="6">
        <v>45273</v>
      </c>
      <c r="C1126" s="5" t="s">
        <v>1509</v>
      </c>
      <c r="D1126" s="5" t="s">
        <v>25</v>
      </c>
      <c r="E1126" s="5" t="s">
        <v>69</v>
      </c>
      <c r="F1126" s="5" t="s">
        <v>55</v>
      </c>
      <c r="G1126" s="5" t="s">
        <v>70</v>
      </c>
      <c r="H1126" s="5" t="s">
        <v>44</v>
      </c>
      <c r="I1126" s="5" t="s">
        <v>71</v>
      </c>
      <c r="J1126" s="5">
        <v>1186</v>
      </c>
      <c r="K1126" s="7">
        <v>1427.6725378734109</v>
      </c>
      <c r="L1126" s="5">
        <v>2</v>
      </c>
      <c r="M1126" s="5">
        <v>15</v>
      </c>
      <c r="N1126" s="8">
        <f t="shared" si="0"/>
        <v>2427.0433143847986</v>
      </c>
      <c r="O1126" s="5">
        <f t="shared" si="1"/>
        <v>2372</v>
      </c>
      <c r="P1126" s="5">
        <f t="shared" si="2"/>
        <v>55.043314384798578</v>
      </c>
      <c r="Q1126" s="5" t="s">
        <v>46</v>
      </c>
      <c r="R1126" s="5" t="s">
        <v>32</v>
      </c>
      <c r="S1126" s="6">
        <v>45282</v>
      </c>
      <c r="T1126" s="5">
        <v>6</v>
      </c>
      <c r="U1126" s="5">
        <v>4</v>
      </c>
      <c r="V1126" s="5" t="s">
        <v>89</v>
      </c>
      <c r="W1126" s="5">
        <f t="shared" si="3"/>
        <v>1</v>
      </c>
    </row>
    <row r="1127" spans="1:23" ht="15.75" customHeight="1" x14ac:dyDescent="0.25">
      <c r="A1127" s="5" t="s">
        <v>1510</v>
      </c>
      <c r="B1127" s="6">
        <v>45273</v>
      </c>
      <c r="C1127" s="5" t="s">
        <v>500</v>
      </c>
      <c r="D1127" s="5" t="s">
        <v>102</v>
      </c>
      <c r="E1127" s="5" t="s">
        <v>69</v>
      </c>
      <c r="F1127" s="5" t="s">
        <v>55</v>
      </c>
      <c r="G1127" s="5" t="s">
        <v>119</v>
      </c>
      <c r="H1127" s="5" t="s">
        <v>76</v>
      </c>
      <c r="I1127" s="5" t="s">
        <v>120</v>
      </c>
      <c r="J1127" s="5">
        <v>71588</v>
      </c>
      <c r="K1127" s="7">
        <v>83366.362741808916</v>
      </c>
      <c r="L1127" s="5">
        <v>2</v>
      </c>
      <c r="M1127" s="5">
        <v>20</v>
      </c>
      <c r="N1127" s="8">
        <f t="shared" si="0"/>
        <v>133386.18038689427</v>
      </c>
      <c r="O1127" s="5">
        <f t="shared" si="1"/>
        <v>143176</v>
      </c>
      <c r="P1127" s="5">
        <f t="shared" si="2"/>
        <v>-9789.8196131057339</v>
      </c>
      <c r="Q1127" s="5" t="s">
        <v>46</v>
      </c>
      <c r="R1127" s="5" t="s">
        <v>56</v>
      </c>
      <c r="T1127" s="5">
        <v>9</v>
      </c>
      <c r="U1127" s="5">
        <v>1</v>
      </c>
      <c r="W1127" s="5">
        <f t="shared" si="3"/>
        <v>0</v>
      </c>
    </row>
    <row r="1128" spans="1:23" ht="15.75" customHeight="1" x14ac:dyDescent="0.25">
      <c r="A1128" s="5" t="s">
        <v>1511</v>
      </c>
      <c r="B1128" s="6">
        <v>45273</v>
      </c>
      <c r="C1128" s="5" t="s">
        <v>466</v>
      </c>
      <c r="D1128" s="5" t="s">
        <v>146</v>
      </c>
      <c r="E1128" s="5" t="s">
        <v>112</v>
      </c>
      <c r="F1128" s="5" t="s">
        <v>113</v>
      </c>
      <c r="G1128" s="5" t="s">
        <v>92</v>
      </c>
      <c r="H1128" s="5" t="s">
        <v>44</v>
      </c>
      <c r="I1128" s="5" t="s">
        <v>45</v>
      </c>
      <c r="J1128" s="5">
        <v>1272</v>
      </c>
      <c r="K1128" s="7">
        <v>2123.7172639511737</v>
      </c>
      <c r="L1128" s="5">
        <v>5</v>
      </c>
      <c r="M1128" s="5">
        <v>10</v>
      </c>
      <c r="N1128" s="8">
        <f t="shared" si="0"/>
        <v>9556.7276877802815</v>
      </c>
      <c r="O1128" s="5">
        <f t="shared" si="1"/>
        <v>6360</v>
      </c>
      <c r="P1128" s="5">
        <f t="shared" si="2"/>
        <v>3196.7276877802815</v>
      </c>
      <c r="Q1128" s="5" t="s">
        <v>39</v>
      </c>
      <c r="R1128" s="5" t="s">
        <v>32</v>
      </c>
      <c r="S1128" s="6">
        <v>45284</v>
      </c>
      <c r="T1128" s="5">
        <v>4</v>
      </c>
      <c r="U1128" s="5">
        <v>3</v>
      </c>
      <c r="V1128" s="5" t="s">
        <v>33</v>
      </c>
      <c r="W1128" s="5">
        <f t="shared" si="3"/>
        <v>0</v>
      </c>
    </row>
    <row r="1129" spans="1:23" ht="15.75" customHeight="1" x14ac:dyDescent="0.25">
      <c r="A1129" s="5" t="s">
        <v>1512</v>
      </c>
      <c r="B1129" s="6">
        <v>45273</v>
      </c>
      <c r="C1129" s="5" t="s">
        <v>775</v>
      </c>
      <c r="D1129" s="5" t="s">
        <v>86</v>
      </c>
      <c r="E1129" s="5" t="s">
        <v>54</v>
      </c>
      <c r="F1129" s="5" t="s">
        <v>55</v>
      </c>
      <c r="G1129" s="5" t="s">
        <v>81</v>
      </c>
      <c r="H1129" s="5" t="s">
        <v>44</v>
      </c>
      <c r="I1129" s="5" t="s">
        <v>82</v>
      </c>
      <c r="J1129" s="5">
        <v>2524</v>
      </c>
      <c r="K1129" s="7">
        <v>3612.5456520521411</v>
      </c>
      <c r="L1129" s="5">
        <v>1</v>
      </c>
      <c r="M1129" s="5">
        <v>10</v>
      </c>
      <c r="N1129" s="8">
        <f t="shared" si="0"/>
        <v>3251.2910868469271</v>
      </c>
      <c r="O1129" s="5">
        <f t="shared" si="1"/>
        <v>2524</v>
      </c>
      <c r="P1129" s="5">
        <f t="shared" si="2"/>
        <v>727.2910868469271</v>
      </c>
      <c r="Q1129" s="5" t="s">
        <v>83</v>
      </c>
      <c r="R1129" s="5" t="s">
        <v>32</v>
      </c>
      <c r="S1129" s="6">
        <v>45285</v>
      </c>
      <c r="T1129" s="5">
        <v>5</v>
      </c>
      <c r="U1129" s="5">
        <v>4</v>
      </c>
      <c r="V1129" s="5" t="s">
        <v>33</v>
      </c>
      <c r="W1129" s="5">
        <f t="shared" si="3"/>
        <v>0</v>
      </c>
    </row>
    <row r="1130" spans="1:23" ht="15.75" customHeight="1" x14ac:dyDescent="0.25">
      <c r="A1130" s="5" t="s">
        <v>1513</v>
      </c>
      <c r="B1130" s="6">
        <v>45273</v>
      </c>
      <c r="C1130" s="5" t="s">
        <v>534</v>
      </c>
      <c r="D1130" s="5" t="s">
        <v>184</v>
      </c>
      <c r="E1130" s="5" t="s">
        <v>69</v>
      </c>
      <c r="F1130" s="5" t="s">
        <v>55</v>
      </c>
      <c r="G1130" s="5" t="s">
        <v>43</v>
      </c>
      <c r="H1130" s="5" t="s">
        <v>44</v>
      </c>
      <c r="I1130" s="5" t="s">
        <v>45</v>
      </c>
      <c r="J1130" s="5">
        <v>521</v>
      </c>
      <c r="K1130" s="7">
        <v>654.85887344428841</v>
      </c>
      <c r="L1130" s="5">
        <v>2</v>
      </c>
      <c r="M1130" s="5">
        <v>0</v>
      </c>
      <c r="N1130" s="8">
        <f t="shared" si="0"/>
        <v>1309.7177468885768</v>
      </c>
      <c r="O1130" s="5">
        <f t="shared" si="1"/>
        <v>1042</v>
      </c>
      <c r="P1130" s="5">
        <f t="shared" si="2"/>
        <v>267.71774688857681</v>
      </c>
      <c r="Q1130" s="5" t="s">
        <v>39</v>
      </c>
      <c r="R1130" s="5" t="s">
        <v>56</v>
      </c>
      <c r="T1130" s="5">
        <v>8</v>
      </c>
      <c r="U1130" s="5">
        <v>2</v>
      </c>
      <c r="W1130" s="5">
        <f t="shared" si="3"/>
        <v>0</v>
      </c>
    </row>
    <row r="1131" spans="1:23" ht="15.75" customHeight="1" x14ac:dyDescent="0.25">
      <c r="A1131" s="5" t="s">
        <v>1514</v>
      </c>
      <c r="B1131" s="6">
        <v>45273</v>
      </c>
      <c r="C1131" s="5" t="s">
        <v>355</v>
      </c>
      <c r="D1131" s="5" t="s">
        <v>59</v>
      </c>
      <c r="E1131" s="5" t="s">
        <v>37</v>
      </c>
      <c r="F1131" s="5" t="s">
        <v>38</v>
      </c>
      <c r="G1131" s="5" t="s">
        <v>70</v>
      </c>
      <c r="H1131" s="5" t="s">
        <v>44</v>
      </c>
      <c r="I1131" s="5" t="s">
        <v>71</v>
      </c>
      <c r="J1131" s="5">
        <v>1934</v>
      </c>
      <c r="K1131" s="7">
        <v>1982.5333113555537</v>
      </c>
      <c r="L1131" s="5">
        <v>4</v>
      </c>
      <c r="M1131" s="5">
        <v>15</v>
      </c>
      <c r="N1131" s="8">
        <f t="shared" si="0"/>
        <v>6740.6132586088825</v>
      </c>
      <c r="O1131" s="5">
        <f t="shared" si="1"/>
        <v>7736</v>
      </c>
      <c r="P1131" s="5">
        <f t="shared" si="2"/>
        <v>-995.38674139111754</v>
      </c>
      <c r="Q1131" s="5" t="s">
        <v>39</v>
      </c>
      <c r="R1131" s="5" t="s">
        <v>32</v>
      </c>
      <c r="S1131" s="6">
        <v>45283</v>
      </c>
      <c r="T1131" s="5">
        <v>4</v>
      </c>
      <c r="U1131" s="5">
        <v>2</v>
      </c>
      <c r="V1131" s="5" t="s">
        <v>33</v>
      </c>
      <c r="W1131" s="5">
        <f t="shared" si="3"/>
        <v>0</v>
      </c>
    </row>
    <row r="1132" spans="1:23" ht="15.75" customHeight="1" x14ac:dyDescent="0.25">
      <c r="A1132" s="5" t="s">
        <v>1515</v>
      </c>
      <c r="B1132" s="6">
        <v>45274</v>
      </c>
      <c r="C1132" s="5" t="s">
        <v>775</v>
      </c>
      <c r="D1132" s="5" t="s">
        <v>86</v>
      </c>
      <c r="E1132" s="5" t="s">
        <v>37</v>
      </c>
      <c r="F1132" s="5" t="s">
        <v>38</v>
      </c>
      <c r="G1132" s="5" t="s">
        <v>28</v>
      </c>
      <c r="H1132" s="5" t="s">
        <v>29</v>
      </c>
      <c r="I1132" s="5" t="s">
        <v>30</v>
      </c>
      <c r="J1132" s="5">
        <v>4729</v>
      </c>
      <c r="K1132" s="7">
        <v>5309.9160940876736</v>
      </c>
      <c r="L1132" s="5">
        <v>5</v>
      </c>
      <c r="M1132" s="5">
        <v>10</v>
      </c>
      <c r="N1132" s="8">
        <f t="shared" si="0"/>
        <v>23894.622423394532</v>
      </c>
      <c r="O1132" s="5">
        <f t="shared" si="1"/>
        <v>23645</v>
      </c>
      <c r="P1132" s="5">
        <f t="shared" si="2"/>
        <v>249.62242339453223</v>
      </c>
      <c r="Q1132" s="5" t="s">
        <v>39</v>
      </c>
      <c r="R1132" s="5" t="s">
        <v>56</v>
      </c>
      <c r="T1132" s="5">
        <v>10</v>
      </c>
      <c r="U1132" s="5">
        <v>1</v>
      </c>
      <c r="W1132" s="5">
        <f t="shared" si="3"/>
        <v>0</v>
      </c>
    </row>
    <row r="1133" spans="1:23" ht="15.75" customHeight="1" x14ac:dyDescent="0.25">
      <c r="A1133" s="5" t="s">
        <v>1516</v>
      </c>
      <c r="B1133" s="6">
        <v>45274</v>
      </c>
      <c r="C1133" s="5" t="s">
        <v>746</v>
      </c>
      <c r="D1133" s="5" t="s">
        <v>184</v>
      </c>
      <c r="E1133" s="5" t="s">
        <v>26</v>
      </c>
      <c r="F1133" s="5" t="s">
        <v>27</v>
      </c>
      <c r="G1133" s="5" t="s">
        <v>97</v>
      </c>
      <c r="H1133" s="5" t="s">
        <v>98</v>
      </c>
      <c r="I1133" s="5" t="s">
        <v>99</v>
      </c>
      <c r="J1133" s="5">
        <v>483</v>
      </c>
      <c r="K1133" s="7">
        <v>818.32751321230762</v>
      </c>
      <c r="L1133" s="5">
        <v>2</v>
      </c>
      <c r="M1133" s="5">
        <v>0</v>
      </c>
      <c r="N1133" s="8">
        <f t="shared" si="0"/>
        <v>1636.6550264246152</v>
      </c>
      <c r="O1133" s="5">
        <f t="shared" si="1"/>
        <v>966</v>
      </c>
      <c r="P1133" s="5">
        <f t="shared" si="2"/>
        <v>670.65502642461524</v>
      </c>
      <c r="Q1133" s="5" t="s">
        <v>31</v>
      </c>
      <c r="R1133" s="5" t="s">
        <v>32</v>
      </c>
      <c r="S1133" s="6">
        <v>45280</v>
      </c>
      <c r="T1133" s="5">
        <v>2</v>
      </c>
      <c r="U1133" s="5">
        <v>4</v>
      </c>
      <c r="V1133" s="5" t="s">
        <v>33</v>
      </c>
      <c r="W1133" s="5">
        <f t="shared" si="3"/>
        <v>0</v>
      </c>
    </row>
    <row r="1134" spans="1:23" ht="15.75" customHeight="1" x14ac:dyDescent="0.25">
      <c r="A1134" s="5" t="s">
        <v>1517</v>
      </c>
      <c r="B1134" s="6">
        <v>45274</v>
      </c>
      <c r="C1134" s="5" t="s">
        <v>252</v>
      </c>
      <c r="D1134" s="5" t="s">
        <v>148</v>
      </c>
      <c r="E1134" s="5" t="s">
        <v>26</v>
      </c>
      <c r="F1134" s="5" t="s">
        <v>27</v>
      </c>
      <c r="G1134" s="5" t="s">
        <v>97</v>
      </c>
      <c r="H1134" s="5" t="s">
        <v>98</v>
      </c>
      <c r="I1134" s="5" t="s">
        <v>99</v>
      </c>
      <c r="J1134" s="5">
        <v>561</v>
      </c>
      <c r="K1134" s="7">
        <v>679.02307375135831</v>
      </c>
      <c r="L1134" s="5">
        <v>5</v>
      </c>
      <c r="M1134" s="5">
        <v>20</v>
      </c>
      <c r="N1134" s="8">
        <f t="shared" si="0"/>
        <v>2716.0922950054337</v>
      </c>
      <c r="O1134" s="5">
        <f t="shared" si="1"/>
        <v>2805</v>
      </c>
      <c r="P1134" s="5">
        <f t="shared" si="2"/>
        <v>-88.907704994566302</v>
      </c>
      <c r="Q1134" s="5" t="s">
        <v>39</v>
      </c>
      <c r="R1134" s="5" t="s">
        <v>56</v>
      </c>
      <c r="T1134" s="5">
        <v>9</v>
      </c>
      <c r="U1134" s="5">
        <v>1</v>
      </c>
      <c r="W1134" s="5">
        <f t="shared" si="3"/>
        <v>0</v>
      </c>
    </row>
    <row r="1135" spans="1:23" ht="15.75" customHeight="1" x14ac:dyDescent="0.25">
      <c r="A1135" s="5" t="s">
        <v>1518</v>
      </c>
      <c r="B1135" s="6">
        <v>45274</v>
      </c>
      <c r="C1135" s="5" t="s">
        <v>1247</v>
      </c>
      <c r="D1135" s="5" t="s">
        <v>105</v>
      </c>
      <c r="E1135" s="5" t="s">
        <v>49</v>
      </c>
      <c r="F1135" s="5" t="s">
        <v>50</v>
      </c>
      <c r="G1135" s="5" t="s">
        <v>43</v>
      </c>
      <c r="H1135" s="5" t="s">
        <v>44</v>
      </c>
      <c r="I1135" s="5" t="s">
        <v>45</v>
      </c>
      <c r="J1135" s="5">
        <v>309</v>
      </c>
      <c r="K1135" s="7">
        <v>442.42269976389872</v>
      </c>
      <c r="L1135" s="5">
        <v>2</v>
      </c>
      <c r="M1135" s="5">
        <v>10</v>
      </c>
      <c r="N1135" s="8">
        <f t="shared" si="0"/>
        <v>796.36085957501768</v>
      </c>
      <c r="O1135" s="5">
        <f t="shared" si="1"/>
        <v>618</v>
      </c>
      <c r="P1135" s="5">
        <f t="shared" si="2"/>
        <v>178.36085957501768</v>
      </c>
      <c r="Q1135" s="5" t="s">
        <v>31</v>
      </c>
      <c r="R1135" s="5" t="s">
        <v>32</v>
      </c>
      <c r="S1135" s="6">
        <v>45281</v>
      </c>
      <c r="T1135" s="5">
        <v>1</v>
      </c>
      <c r="U1135" s="5">
        <v>5</v>
      </c>
      <c r="V1135" s="5" t="s">
        <v>33</v>
      </c>
      <c r="W1135" s="5">
        <f t="shared" si="3"/>
        <v>0</v>
      </c>
    </row>
    <row r="1136" spans="1:23" ht="15.75" customHeight="1" x14ac:dyDescent="0.25">
      <c r="A1136" s="5" t="s">
        <v>1519</v>
      </c>
      <c r="B1136" s="6">
        <v>45275</v>
      </c>
      <c r="C1136" s="5" t="s">
        <v>94</v>
      </c>
      <c r="D1136" s="5" t="s">
        <v>150</v>
      </c>
      <c r="E1136" s="5" t="s">
        <v>49</v>
      </c>
      <c r="F1136" s="5" t="s">
        <v>50</v>
      </c>
      <c r="G1136" s="5" t="s">
        <v>70</v>
      </c>
      <c r="H1136" s="5" t="s">
        <v>44</v>
      </c>
      <c r="I1136" s="5" t="s">
        <v>71</v>
      </c>
      <c r="J1136" s="5">
        <v>1942</v>
      </c>
      <c r="K1136" s="7">
        <v>2038.2176366919964</v>
      </c>
      <c r="L1136" s="5">
        <v>5</v>
      </c>
      <c r="M1136" s="5">
        <v>5</v>
      </c>
      <c r="N1136" s="8">
        <f t="shared" si="0"/>
        <v>9681.5337742869833</v>
      </c>
      <c r="O1136" s="5">
        <f t="shared" si="1"/>
        <v>9710</v>
      </c>
      <c r="P1136" s="5">
        <f t="shared" si="2"/>
        <v>-28.466225713016684</v>
      </c>
      <c r="Q1136" s="5" t="s">
        <v>39</v>
      </c>
      <c r="R1136" s="5" t="s">
        <v>32</v>
      </c>
      <c r="S1136" s="6">
        <v>45288</v>
      </c>
      <c r="T1136" s="5">
        <v>6</v>
      </c>
      <c r="U1136" s="5">
        <v>2</v>
      </c>
      <c r="V1136" s="5" t="s">
        <v>33</v>
      </c>
      <c r="W1136" s="5">
        <f t="shared" si="3"/>
        <v>0</v>
      </c>
    </row>
    <row r="1137" spans="1:23" ht="15.75" customHeight="1" x14ac:dyDescent="0.25">
      <c r="A1137" s="5" t="s">
        <v>1520</v>
      </c>
      <c r="B1137" s="6">
        <v>45275</v>
      </c>
      <c r="C1137" s="5" t="s">
        <v>343</v>
      </c>
      <c r="D1137" s="5" t="s">
        <v>105</v>
      </c>
      <c r="E1137" s="5" t="s">
        <v>26</v>
      </c>
      <c r="F1137" s="5" t="s">
        <v>27</v>
      </c>
      <c r="G1137" s="5" t="s">
        <v>92</v>
      </c>
      <c r="H1137" s="5" t="s">
        <v>44</v>
      </c>
      <c r="I1137" s="5" t="s">
        <v>45</v>
      </c>
      <c r="J1137" s="5">
        <v>1335</v>
      </c>
      <c r="K1137" s="7">
        <v>1653.1046488514196</v>
      </c>
      <c r="L1137" s="5">
        <v>3</v>
      </c>
      <c r="M1137" s="5">
        <v>20</v>
      </c>
      <c r="N1137" s="8">
        <f t="shared" si="0"/>
        <v>3967.4511572434076</v>
      </c>
      <c r="O1137" s="5">
        <f t="shared" si="1"/>
        <v>4005</v>
      </c>
      <c r="P1137" s="5">
        <f t="shared" si="2"/>
        <v>-37.548842756592421</v>
      </c>
      <c r="Q1137" s="5" t="s">
        <v>31</v>
      </c>
      <c r="R1137" s="5" t="s">
        <v>32</v>
      </c>
      <c r="S1137" s="6">
        <v>45281</v>
      </c>
      <c r="T1137" s="5">
        <v>3</v>
      </c>
      <c r="U1137" s="5">
        <v>4</v>
      </c>
      <c r="V1137" s="5" t="s">
        <v>33</v>
      </c>
      <c r="W1137" s="5">
        <f t="shared" si="3"/>
        <v>0</v>
      </c>
    </row>
    <row r="1138" spans="1:23" ht="15.75" customHeight="1" x14ac:dyDescent="0.25">
      <c r="A1138" s="5" t="s">
        <v>1521</v>
      </c>
      <c r="B1138" s="6">
        <v>45275</v>
      </c>
      <c r="C1138" s="5" t="s">
        <v>765</v>
      </c>
      <c r="D1138" s="5" t="s">
        <v>116</v>
      </c>
      <c r="E1138" s="5" t="s">
        <v>112</v>
      </c>
      <c r="F1138" s="5" t="s">
        <v>113</v>
      </c>
      <c r="G1138" s="5" t="s">
        <v>106</v>
      </c>
      <c r="H1138" s="5" t="s">
        <v>98</v>
      </c>
      <c r="I1138" s="5" t="s">
        <v>107</v>
      </c>
      <c r="J1138" s="5">
        <v>728</v>
      </c>
      <c r="K1138" s="7">
        <v>966.14170546791252</v>
      </c>
      <c r="L1138" s="5">
        <v>4</v>
      </c>
      <c r="M1138" s="5">
        <v>5</v>
      </c>
      <c r="N1138" s="8">
        <f t="shared" si="0"/>
        <v>3671.3384807780676</v>
      </c>
      <c r="O1138" s="5">
        <f t="shared" si="1"/>
        <v>2912</v>
      </c>
      <c r="P1138" s="5">
        <f t="shared" si="2"/>
        <v>759.33848077806761</v>
      </c>
      <c r="Q1138" s="5" t="s">
        <v>83</v>
      </c>
      <c r="R1138" s="5" t="s">
        <v>32</v>
      </c>
      <c r="S1138" s="6">
        <v>45284</v>
      </c>
      <c r="T1138" s="5">
        <v>2</v>
      </c>
      <c r="U1138" s="5">
        <v>4</v>
      </c>
      <c r="V1138" s="5" t="s">
        <v>33</v>
      </c>
      <c r="W1138" s="5">
        <f t="shared" si="3"/>
        <v>0</v>
      </c>
    </row>
    <row r="1139" spans="1:23" ht="15.75" customHeight="1" x14ac:dyDescent="0.25">
      <c r="A1139" s="5" t="s">
        <v>1522</v>
      </c>
      <c r="B1139" s="6">
        <v>45275</v>
      </c>
      <c r="C1139" s="5" t="s">
        <v>301</v>
      </c>
      <c r="D1139" s="5" t="s">
        <v>150</v>
      </c>
      <c r="E1139" s="5" t="s">
        <v>112</v>
      </c>
      <c r="F1139" s="5" t="s">
        <v>113</v>
      </c>
      <c r="G1139" s="5" t="s">
        <v>119</v>
      </c>
      <c r="H1139" s="5" t="s">
        <v>76</v>
      </c>
      <c r="I1139" s="5" t="s">
        <v>120</v>
      </c>
      <c r="J1139" s="5">
        <v>27585</v>
      </c>
      <c r="K1139" s="7">
        <v>32023.819531647794</v>
      </c>
      <c r="L1139" s="5">
        <v>1</v>
      </c>
      <c r="M1139" s="5">
        <v>20</v>
      </c>
      <c r="N1139" s="8">
        <f t="shared" si="0"/>
        <v>25619.055625318237</v>
      </c>
      <c r="O1139" s="5">
        <f t="shared" si="1"/>
        <v>27585</v>
      </c>
      <c r="P1139" s="5">
        <f t="shared" si="2"/>
        <v>-1965.9443746817633</v>
      </c>
      <c r="Q1139" s="5" t="s">
        <v>46</v>
      </c>
      <c r="R1139" s="5" t="s">
        <v>32</v>
      </c>
      <c r="S1139" s="6">
        <v>45284</v>
      </c>
      <c r="T1139" s="5">
        <v>2</v>
      </c>
      <c r="U1139" s="5">
        <v>5</v>
      </c>
      <c r="V1139" s="5" t="s">
        <v>33</v>
      </c>
      <c r="W1139" s="5">
        <f t="shared" si="3"/>
        <v>0</v>
      </c>
    </row>
    <row r="1140" spans="1:23" ht="15.75" customHeight="1" x14ac:dyDescent="0.25">
      <c r="A1140" s="5" t="s">
        <v>1523</v>
      </c>
      <c r="B1140" s="6">
        <v>45276</v>
      </c>
      <c r="C1140" s="5" t="s">
        <v>1129</v>
      </c>
      <c r="D1140" s="5" t="s">
        <v>53</v>
      </c>
      <c r="E1140" s="5" t="s">
        <v>54</v>
      </c>
      <c r="F1140" s="5" t="s">
        <v>55</v>
      </c>
      <c r="G1140" s="5" t="s">
        <v>28</v>
      </c>
      <c r="H1140" s="5" t="s">
        <v>29</v>
      </c>
      <c r="I1140" s="5" t="s">
        <v>30</v>
      </c>
      <c r="J1140" s="5">
        <v>3650</v>
      </c>
      <c r="K1140" s="7">
        <v>6071.6660823438942</v>
      </c>
      <c r="L1140" s="5">
        <v>3</v>
      </c>
      <c r="M1140" s="5">
        <v>15</v>
      </c>
      <c r="N1140" s="8">
        <f t="shared" si="0"/>
        <v>15482.748509976929</v>
      </c>
      <c r="O1140" s="5">
        <f t="shared" si="1"/>
        <v>10950</v>
      </c>
      <c r="P1140" s="5">
        <f t="shared" si="2"/>
        <v>4532.7485099769292</v>
      </c>
      <c r="Q1140" s="5" t="s">
        <v>39</v>
      </c>
      <c r="R1140" s="5" t="s">
        <v>56</v>
      </c>
      <c r="T1140" s="5">
        <v>8</v>
      </c>
      <c r="U1140" s="5">
        <v>3</v>
      </c>
      <c r="W1140" s="5">
        <f t="shared" si="3"/>
        <v>0</v>
      </c>
    </row>
    <row r="1141" spans="1:23" ht="15.75" customHeight="1" x14ac:dyDescent="0.25">
      <c r="A1141" s="5" t="s">
        <v>1524</v>
      </c>
      <c r="B1141" s="6">
        <v>45276</v>
      </c>
      <c r="C1141" s="5" t="s">
        <v>263</v>
      </c>
      <c r="D1141" s="5" t="s">
        <v>86</v>
      </c>
      <c r="E1141" s="5" t="s">
        <v>37</v>
      </c>
      <c r="F1141" s="5" t="s">
        <v>38</v>
      </c>
      <c r="G1141" s="5" t="s">
        <v>75</v>
      </c>
      <c r="H1141" s="5" t="s">
        <v>76</v>
      </c>
      <c r="I1141" s="5" t="s">
        <v>77</v>
      </c>
      <c r="J1141" s="5">
        <v>1008</v>
      </c>
      <c r="K1141" s="7">
        <v>1470.249061640857</v>
      </c>
      <c r="L1141" s="5">
        <v>1</v>
      </c>
      <c r="M1141" s="5">
        <v>10</v>
      </c>
      <c r="N1141" s="8">
        <f t="shared" si="0"/>
        <v>1323.2241554767713</v>
      </c>
      <c r="O1141" s="5">
        <f t="shared" si="1"/>
        <v>1008</v>
      </c>
      <c r="P1141" s="5">
        <f t="shared" si="2"/>
        <v>315.22415547677133</v>
      </c>
      <c r="Q1141" s="5" t="s">
        <v>39</v>
      </c>
      <c r="R1141" s="5" t="s">
        <v>32</v>
      </c>
      <c r="S1141" s="6">
        <v>45285</v>
      </c>
      <c r="T1141" s="5">
        <v>2</v>
      </c>
      <c r="U1141" s="5">
        <v>4</v>
      </c>
      <c r="V1141" s="5" t="s">
        <v>33</v>
      </c>
      <c r="W1141" s="5">
        <f t="shared" si="3"/>
        <v>0</v>
      </c>
    </row>
    <row r="1142" spans="1:23" ht="15.75" customHeight="1" x14ac:dyDescent="0.25">
      <c r="A1142" s="5" t="s">
        <v>1525</v>
      </c>
      <c r="B1142" s="6">
        <v>45276</v>
      </c>
      <c r="C1142" s="5" t="s">
        <v>225</v>
      </c>
      <c r="D1142" s="5" t="s">
        <v>188</v>
      </c>
      <c r="E1142" s="5" t="s">
        <v>37</v>
      </c>
      <c r="F1142" s="5" t="s">
        <v>38</v>
      </c>
      <c r="G1142" s="5" t="s">
        <v>139</v>
      </c>
      <c r="H1142" s="5" t="s">
        <v>76</v>
      </c>
      <c r="I1142" s="5" t="s">
        <v>140</v>
      </c>
      <c r="J1142" s="5">
        <v>48027</v>
      </c>
      <c r="K1142" s="7">
        <v>77923.775375606521</v>
      </c>
      <c r="L1142" s="5">
        <v>4</v>
      </c>
      <c r="M1142" s="5">
        <v>10</v>
      </c>
      <c r="N1142" s="8">
        <f t="shared" si="0"/>
        <v>280525.59135218349</v>
      </c>
      <c r="O1142" s="5">
        <f t="shared" si="1"/>
        <v>192108</v>
      </c>
      <c r="P1142" s="5">
        <f t="shared" si="2"/>
        <v>88417.591352183488</v>
      </c>
      <c r="Q1142" s="5" t="s">
        <v>39</v>
      </c>
      <c r="R1142" s="5" t="s">
        <v>32</v>
      </c>
      <c r="S1142" s="6">
        <v>45283</v>
      </c>
      <c r="T1142" s="5">
        <v>2</v>
      </c>
      <c r="U1142" s="5">
        <v>4</v>
      </c>
      <c r="V1142" s="5" t="s">
        <v>33</v>
      </c>
      <c r="W1142" s="5">
        <f t="shared" si="3"/>
        <v>0</v>
      </c>
    </row>
    <row r="1143" spans="1:23" ht="15.75" customHeight="1" x14ac:dyDescent="0.25">
      <c r="A1143" s="5" t="s">
        <v>1526</v>
      </c>
      <c r="B1143" s="6">
        <v>45276</v>
      </c>
      <c r="C1143" s="5" t="s">
        <v>1212</v>
      </c>
      <c r="D1143" s="5" t="s">
        <v>146</v>
      </c>
      <c r="E1143" s="5" t="s">
        <v>69</v>
      </c>
      <c r="F1143" s="5" t="s">
        <v>55</v>
      </c>
      <c r="G1143" s="5" t="s">
        <v>75</v>
      </c>
      <c r="H1143" s="5" t="s">
        <v>76</v>
      </c>
      <c r="I1143" s="5" t="s">
        <v>77</v>
      </c>
      <c r="J1143" s="5">
        <v>1035</v>
      </c>
      <c r="K1143" s="7">
        <v>1112.6083161815</v>
      </c>
      <c r="L1143" s="5">
        <v>2</v>
      </c>
      <c r="M1143" s="5">
        <v>10</v>
      </c>
      <c r="N1143" s="8">
        <f t="shared" si="0"/>
        <v>2002.6949691267</v>
      </c>
      <c r="O1143" s="5">
        <f t="shared" si="1"/>
        <v>2070</v>
      </c>
      <c r="P1143" s="5">
        <f t="shared" si="2"/>
        <v>-67.305030873299984</v>
      </c>
      <c r="Q1143" s="5" t="s">
        <v>83</v>
      </c>
      <c r="R1143" s="5" t="s">
        <v>32</v>
      </c>
      <c r="S1143" s="6">
        <v>45283</v>
      </c>
      <c r="T1143" s="5">
        <v>2</v>
      </c>
      <c r="U1143" s="5">
        <v>5</v>
      </c>
      <c r="V1143" s="5" t="s">
        <v>33</v>
      </c>
      <c r="W1143" s="5">
        <f t="shared" si="3"/>
        <v>0</v>
      </c>
    </row>
    <row r="1144" spans="1:23" ht="15.75" customHeight="1" x14ac:dyDescent="0.25">
      <c r="A1144" s="5" t="s">
        <v>1527</v>
      </c>
      <c r="B1144" s="6">
        <v>45276</v>
      </c>
      <c r="C1144" s="5" t="s">
        <v>813</v>
      </c>
      <c r="D1144" s="5" t="s">
        <v>135</v>
      </c>
      <c r="E1144" s="5" t="s">
        <v>49</v>
      </c>
      <c r="F1144" s="5" t="s">
        <v>50</v>
      </c>
      <c r="G1144" s="5" t="s">
        <v>87</v>
      </c>
      <c r="H1144" s="5" t="s">
        <v>29</v>
      </c>
      <c r="I1144" s="5" t="s">
        <v>88</v>
      </c>
      <c r="J1144" s="5">
        <v>42002</v>
      </c>
      <c r="K1144" s="7">
        <v>47532.613992034872</v>
      </c>
      <c r="L1144" s="5">
        <v>5</v>
      </c>
      <c r="M1144" s="5">
        <v>20</v>
      </c>
      <c r="N1144" s="8">
        <f t="shared" si="0"/>
        <v>190130.45596813949</v>
      </c>
      <c r="O1144" s="5">
        <f t="shared" si="1"/>
        <v>210010</v>
      </c>
      <c r="P1144" s="5">
        <f t="shared" si="2"/>
        <v>-19879.544031860511</v>
      </c>
      <c r="Q1144" s="5" t="s">
        <v>39</v>
      </c>
      <c r="R1144" s="5" t="s">
        <v>32</v>
      </c>
      <c r="S1144" s="6">
        <v>45280</v>
      </c>
      <c r="T1144" s="5">
        <v>1</v>
      </c>
      <c r="U1144" s="5">
        <v>4</v>
      </c>
      <c r="V1144" s="5" t="s">
        <v>33</v>
      </c>
      <c r="W1144" s="5">
        <f t="shared" si="3"/>
        <v>0</v>
      </c>
    </row>
    <row r="1145" spans="1:23" ht="15.75" customHeight="1" x14ac:dyDescent="0.25">
      <c r="A1145" s="5" t="s">
        <v>1528</v>
      </c>
      <c r="B1145" s="6">
        <v>45276</v>
      </c>
      <c r="C1145" s="5" t="s">
        <v>207</v>
      </c>
      <c r="D1145" s="5" t="s">
        <v>53</v>
      </c>
      <c r="E1145" s="5" t="s">
        <v>54</v>
      </c>
      <c r="F1145" s="5" t="s">
        <v>55</v>
      </c>
      <c r="G1145" s="5" t="s">
        <v>70</v>
      </c>
      <c r="H1145" s="5" t="s">
        <v>44</v>
      </c>
      <c r="I1145" s="5" t="s">
        <v>71</v>
      </c>
      <c r="J1145" s="5">
        <v>1213</v>
      </c>
      <c r="K1145" s="7">
        <v>1900.8006235443745</v>
      </c>
      <c r="L1145" s="5">
        <v>3</v>
      </c>
      <c r="M1145" s="5">
        <v>5</v>
      </c>
      <c r="N1145" s="8">
        <f t="shared" si="0"/>
        <v>5417.281777101467</v>
      </c>
      <c r="O1145" s="5">
        <f t="shared" si="1"/>
        <v>3639</v>
      </c>
      <c r="P1145" s="5">
        <f t="shared" si="2"/>
        <v>1778.281777101467</v>
      </c>
      <c r="Q1145" s="5" t="s">
        <v>83</v>
      </c>
      <c r="R1145" s="5" t="s">
        <v>32</v>
      </c>
      <c r="S1145" s="6">
        <v>45288</v>
      </c>
      <c r="T1145" s="5">
        <v>5</v>
      </c>
      <c r="U1145" s="5">
        <v>2</v>
      </c>
      <c r="V1145" s="5" t="s">
        <v>33</v>
      </c>
      <c r="W1145" s="5">
        <f t="shared" si="3"/>
        <v>0</v>
      </c>
    </row>
    <row r="1146" spans="1:23" ht="15.75" customHeight="1" x14ac:dyDescent="0.25">
      <c r="A1146" s="5" t="s">
        <v>1529</v>
      </c>
      <c r="B1146" s="6">
        <v>45277</v>
      </c>
      <c r="C1146" s="5" t="s">
        <v>63</v>
      </c>
      <c r="D1146" s="5" t="s">
        <v>42</v>
      </c>
      <c r="E1146" s="5" t="s">
        <v>69</v>
      </c>
      <c r="F1146" s="5" t="s">
        <v>55</v>
      </c>
      <c r="G1146" s="5" t="s">
        <v>124</v>
      </c>
      <c r="H1146" s="5" t="s">
        <v>76</v>
      </c>
      <c r="I1146" s="5" t="s">
        <v>125</v>
      </c>
      <c r="J1146" s="5">
        <v>59403</v>
      </c>
      <c r="K1146" s="7">
        <v>77081.827617283008</v>
      </c>
      <c r="L1146" s="5">
        <v>2</v>
      </c>
      <c r="M1146" s="5">
        <v>5</v>
      </c>
      <c r="N1146" s="8">
        <f t="shared" si="0"/>
        <v>146455.47247283772</v>
      </c>
      <c r="O1146" s="5">
        <f t="shared" si="1"/>
        <v>118806</v>
      </c>
      <c r="P1146" s="5">
        <f t="shared" si="2"/>
        <v>27649.472472837719</v>
      </c>
      <c r="Q1146" s="5" t="s">
        <v>46</v>
      </c>
      <c r="R1146" s="5" t="s">
        <v>56</v>
      </c>
      <c r="T1146" s="5">
        <v>10</v>
      </c>
      <c r="U1146" s="5">
        <v>1</v>
      </c>
      <c r="W1146" s="5">
        <f t="shared" si="3"/>
        <v>0</v>
      </c>
    </row>
    <row r="1147" spans="1:23" ht="15.75" customHeight="1" x14ac:dyDescent="0.25">
      <c r="A1147" s="5" t="s">
        <v>1530</v>
      </c>
      <c r="B1147" s="6">
        <v>45277</v>
      </c>
      <c r="C1147" s="5" t="s">
        <v>765</v>
      </c>
      <c r="D1147" s="5" t="s">
        <v>138</v>
      </c>
      <c r="E1147" s="5" t="s">
        <v>112</v>
      </c>
      <c r="F1147" s="5" t="s">
        <v>113</v>
      </c>
      <c r="G1147" s="5" t="s">
        <v>119</v>
      </c>
      <c r="H1147" s="5" t="s">
        <v>76</v>
      </c>
      <c r="I1147" s="5" t="s">
        <v>120</v>
      </c>
      <c r="J1147" s="5">
        <v>66626</v>
      </c>
      <c r="K1147" s="7">
        <v>90656.320579059975</v>
      </c>
      <c r="L1147" s="5">
        <v>5</v>
      </c>
      <c r="M1147" s="5">
        <v>0</v>
      </c>
      <c r="N1147" s="8">
        <f t="shared" si="0"/>
        <v>453281.6028952999</v>
      </c>
      <c r="O1147" s="5">
        <f t="shared" si="1"/>
        <v>333130</v>
      </c>
      <c r="P1147" s="5">
        <f t="shared" si="2"/>
        <v>120151.6028952999</v>
      </c>
      <c r="Q1147" s="5" t="s">
        <v>39</v>
      </c>
      <c r="R1147" s="5" t="s">
        <v>32</v>
      </c>
      <c r="S1147" s="6">
        <v>45282</v>
      </c>
      <c r="T1147" s="5">
        <v>2</v>
      </c>
      <c r="U1147" s="5">
        <v>4</v>
      </c>
      <c r="V1147" s="5" t="s">
        <v>33</v>
      </c>
      <c r="W1147" s="5">
        <f t="shared" si="3"/>
        <v>0</v>
      </c>
    </row>
    <row r="1148" spans="1:23" ht="15.75" customHeight="1" x14ac:dyDescent="0.25">
      <c r="A1148" s="5" t="s">
        <v>1531</v>
      </c>
      <c r="B1148" s="6">
        <v>45277</v>
      </c>
      <c r="C1148" s="5" t="s">
        <v>104</v>
      </c>
      <c r="D1148" s="5" t="s">
        <v>64</v>
      </c>
      <c r="E1148" s="5" t="s">
        <v>69</v>
      </c>
      <c r="F1148" s="5" t="s">
        <v>55</v>
      </c>
      <c r="G1148" s="5" t="s">
        <v>28</v>
      </c>
      <c r="H1148" s="5" t="s">
        <v>29</v>
      </c>
      <c r="I1148" s="5" t="s">
        <v>30</v>
      </c>
      <c r="J1148" s="5">
        <v>6086</v>
      </c>
      <c r="K1148" s="7">
        <v>10196.537164178138</v>
      </c>
      <c r="L1148" s="5">
        <v>2</v>
      </c>
      <c r="M1148" s="5">
        <v>10</v>
      </c>
      <c r="N1148" s="8">
        <f t="shared" si="0"/>
        <v>18353.76689552065</v>
      </c>
      <c r="O1148" s="5">
        <f t="shared" si="1"/>
        <v>12172</v>
      </c>
      <c r="P1148" s="5">
        <f t="shared" si="2"/>
        <v>6181.76689552065</v>
      </c>
      <c r="Q1148" s="5" t="s">
        <v>39</v>
      </c>
      <c r="R1148" s="5" t="s">
        <v>56</v>
      </c>
      <c r="T1148" s="5">
        <v>8</v>
      </c>
      <c r="U1148" s="5">
        <v>2</v>
      </c>
      <c r="W1148" s="5">
        <f t="shared" si="3"/>
        <v>0</v>
      </c>
    </row>
    <row r="1149" spans="1:23" ht="15.75" customHeight="1" x14ac:dyDescent="0.25">
      <c r="A1149" s="5" t="s">
        <v>1532</v>
      </c>
      <c r="B1149" s="6">
        <v>45277</v>
      </c>
      <c r="C1149" s="5" t="s">
        <v>270</v>
      </c>
      <c r="D1149" s="5" t="s">
        <v>86</v>
      </c>
      <c r="E1149" s="5" t="s">
        <v>69</v>
      </c>
      <c r="F1149" s="5" t="s">
        <v>55</v>
      </c>
      <c r="G1149" s="5" t="s">
        <v>43</v>
      </c>
      <c r="H1149" s="5" t="s">
        <v>44</v>
      </c>
      <c r="I1149" s="5" t="s">
        <v>45</v>
      </c>
      <c r="J1149" s="5">
        <v>549</v>
      </c>
      <c r="K1149" s="7">
        <v>894.42140946769325</v>
      </c>
      <c r="L1149" s="5">
        <v>4</v>
      </c>
      <c r="M1149" s="5">
        <v>5</v>
      </c>
      <c r="N1149" s="8">
        <f t="shared" si="0"/>
        <v>3398.8013559772344</v>
      </c>
      <c r="O1149" s="5">
        <f t="shared" si="1"/>
        <v>2196</v>
      </c>
      <c r="P1149" s="5">
        <f t="shared" si="2"/>
        <v>1202.8013559772344</v>
      </c>
      <c r="Q1149" s="5" t="s">
        <v>46</v>
      </c>
      <c r="R1149" s="5" t="s">
        <v>32</v>
      </c>
      <c r="S1149" s="6">
        <v>45286</v>
      </c>
      <c r="T1149" s="5">
        <v>6</v>
      </c>
      <c r="U1149" s="5">
        <v>4</v>
      </c>
      <c r="V1149" s="5" t="s">
        <v>89</v>
      </c>
      <c r="W1149" s="5">
        <f t="shared" si="3"/>
        <v>1</v>
      </c>
    </row>
    <row r="1150" spans="1:23" ht="15.75" customHeight="1" x14ac:dyDescent="0.25">
      <c r="A1150" s="5" t="s">
        <v>1533</v>
      </c>
      <c r="B1150" s="6">
        <v>45277</v>
      </c>
      <c r="C1150" s="5" t="s">
        <v>199</v>
      </c>
      <c r="D1150" s="5" t="s">
        <v>86</v>
      </c>
      <c r="E1150" s="5" t="s">
        <v>60</v>
      </c>
      <c r="F1150" s="5" t="s">
        <v>61</v>
      </c>
      <c r="G1150" s="5" t="s">
        <v>43</v>
      </c>
      <c r="H1150" s="5" t="s">
        <v>44</v>
      </c>
      <c r="I1150" s="5" t="s">
        <v>45</v>
      </c>
      <c r="J1150" s="5">
        <v>233</v>
      </c>
      <c r="K1150" s="7">
        <v>257.93414854901823</v>
      </c>
      <c r="L1150" s="5">
        <v>1</v>
      </c>
      <c r="M1150" s="5">
        <v>0</v>
      </c>
      <c r="N1150" s="8">
        <f t="shared" si="0"/>
        <v>257.93414854901823</v>
      </c>
      <c r="O1150" s="5">
        <f t="shared" si="1"/>
        <v>233</v>
      </c>
      <c r="P1150" s="5">
        <f t="shared" si="2"/>
        <v>24.934148549018232</v>
      </c>
      <c r="Q1150" s="5" t="s">
        <v>46</v>
      </c>
      <c r="R1150" s="5" t="s">
        <v>32</v>
      </c>
      <c r="S1150" s="6">
        <v>45286</v>
      </c>
      <c r="T1150" s="5">
        <v>4</v>
      </c>
      <c r="U1150" s="5">
        <v>2</v>
      </c>
      <c r="V1150" s="5" t="s">
        <v>33</v>
      </c>
      <c r="W1150" s="5">
        <f t="shared" si="3"/>
        <v>0</v>
      </c>
    </row>
    <row r="1151" spans="1:23" ht="15.75" customHeight="1" x14ac:dyDescent="0.25">
      <c r="A1151" s="5" t="s">
        <v>1534</v>
      </c>
      <c r="B1151" s="6">
        <v>45277</v>
      </c>
      <c r="C1151" s="5" t="s">
        <v>1314</v>
      </c>
      <c r="D1151" s="5" t="s">
        <v>188</v>
      </c>
      <c r="E1151" s="5" t="s">
        <v>26</v>
      </c>
      <c r="F1151" s="5" t="s">
        <v>27</v>
      </c>
      <c r="G1151" s="5" t="s">
        <v>43</v>
      </c>
      <c r="H1151" s="5" t="s">
        <v>44</v>
      </c>
      <c r="I1151" s="5" t="s">
        <v>45</v>
      </c>
      <c r="J1151" s="5">
        <v>701</v>
      </c>
      <c r="K1151" s="7">
        <v>953.02502653834563</v>
      </c>
      <c r="L1151" s="5">
        <v>4</v>
      </c>
      <c r="M1151" s="5">
        <v>10</v>
      </c>
      <c r="N1151" s="8">
        <f t="shared" si="0"/>
        <v>3430.8900955380445</v>
      </c>
      <c r="O1151" s="5">
        <f t="shared" si="1"/>
        <v>2804</v>
      </c>
      <c r="P1151" s="5">
        <f t="shared" si="2"/>
        <v>626.89009553804453</v>
      </c>
      <c r="Q1151" s="5" t="s">
        <v>31</v>
      </c>
      <c r="R1151" s="5" t="s">
        <v>32</v>
      </c>
      <c r="S1151" s="6">
        <v>45282</v>
      </c>
      <c r="T1151" s="5">
        <v>2</v>
      </c>
      <c r="U1151" s="5">
        <v>4</v>
      </c>
      <c r="V1151" s="5" t="s">
        <v>33</v>
      </c>
      <c r="W1151" s="5">
        <f t="shared" si="3"/>
        <v>0</v>
      </c>
    </row>
    <row r="1152" spans="1:23" ht="15.75" customHeight="1" x14ac:dyDescent="0.25">
      <c r="A1152" s="5" t="s">
        <v>1535</v>
      </c>
      <c r="B1152" s="6">
        <v>45277</v>
      </c>
      <c r="C1152" s="5" t="s">
        <v>450</v>
      </c>
      <c r="D1152" s="5" t="s">
        <v>184</v>
      </c>
      <c r="E1152" s="5" t="s">
        <v>69</v>
      </c>
      <c r="F1152" s="5" t="s">
        <v>55</v>
      </c>
      <c r="G1152" s="5" t="s">
        <v>75</v>
      </c>
      <c r="H1152" s="5" t="s">
        <v>76</v>
      </c>
      <c r="I1152" s="5" t="s">
        <v>77</v>
      </c>
      <c r="J1152" s="5">
        <v>632</v>
      </c>
      <c r="K1152" s="7">
        <v>832.12434945925986</v>
      </c>
      <c r="L1152" s="5">
        <v>3</v>
      </c>
      <c r="M1152" s="5">
        <v>0</v>
      </c>
      <c r="N1152" s="8">
        <f t="shared" si="0"/>
        <v>2496.3730483777795</v>
      </c>
      <c r="O1152" s="5">
        <f t="shared" si="1"/>
        <v>1896</v>
      </c>
      <c r="P1152" s="5">
        <f t="shared" si="2"/>
        <v>600.37304837777947</v>
      </c>
      <c r="Q1152" s="5" t="s">
        <v>31</v>
      </c>
      <c r="R1152" s="5" t="s">
        <v>32</v>
      </c>
      <c r="S1152" s="6">
        <v>45283</v>
      </c>
      <c r="T1152" s="5">
        <v>3</v>
      </c>
      <c r="U1152" s="5">
        <v>3</v>
      </c>
      <c r="V1152" s="5" t="s">
        <v>33</v>
      </c>
      <c r="W1152" s="5">
        <f t="shared" si="3"/>
        <v>0</v>
      </c>
    </row>
    <row r="1153" spans="1:23" ht="15.75" customHeight="1" x14ac:dyDescent="0.25">
      <c r="A1153" s="5" t="s">
        <v>1536</v>
      </c>
      <c r="B1153" s="6">
        <v>45277</v>
      </c>
      <c r="C1153" s="5" t="s">
        <v>282</v>
      </c>
      <c r="D1153" s="5" t="s">
        <v>59</v>
      </c>
      <c r="E1153" s="5" t="s">
        <v>60</v>
      </c>
      <c r="F1153" s="5" t="s">
        <v>61</v>
      </c>
      <c r="G1153" s="5" t="s">
        <v>119</v>
      </c>
      <c r="H1153" s="5" t="s">
        <v>76</v>
      </c>
      <c r="I1153" s="5" t="s">
        <v>120</v>
      </c>
      <c r="J1153" s="5">
        <v>76387</v>
      </c>
      <c r="K1153" s="7">
        <v>126487.66050376181</v>
      </c>
      <c r="L1153" s="5">
        <v>2</v>
      </c>
      <c r="M1153" s="5">
        <v>10</v>
      </c>
      <c r="N1153" s="8">
        <f t="shared" si="0"/>
        <v>227677.78890677128</v>
      </c>
      <c r="O1153" s="5">
        <f t="shared" si="1"/>
        <v>152774</v>
      </c>
      <c r="P1153" s="5">
        <f t="shared" si="2"/>
        <v>74903.788906771282</v>
      </c>
      <c r="Q1153" s="5" t="s">
        <v>31</v>
      </c>
      <c r="R1153" s="5" t="s">
        <v>32</v>
      </c>
      <c r="S1153" s="6">
        <v>45286</v>
      </c>
      <c r="T1153" s="5">
        <v>6</v>
      </c>
      <c r="U1153" s="5">
        <v>4</v>
      </c>
      <c r="V1153" s="5" t="s">
        <v>89</v>
      </c>
      <c r="W1153" s="5">
        <f t="shared" si="3"/>
        <v>1</v>
      </c>
    </row>
    <row r="1154" spans="1:23" ht="15.75" customHeight="1" x14ac:dyDescent="0.25">
      <c r="A1154" s="5" t="s">
        <v>1537</v>
      </c>
      <c r="B1154" s="6">
        <v>45277</v>
      </c>
      <c r="C1154" s="5" t="s">
        <v>263</v>
      </c>
      <c r="D1154" s="5" t="s">
        <v>25</v>
      </c>
      <c r="E1154" s="5" t="s">
        <v>49</v>
      </c>
      <c r="F1154" s="5" t="s">
        <v>50</v>
      </c>
      <c r="G1154" s="5" t="s">
        <v>106</v>
      </c>
      <c r="H1154" s="5" t="s">
        <v>98</v>
      </c>
      <c r="I1154" s="5" t="s">
        <v>107</v>
      </c>
      <c r="J1154" s="5">
        <v>799</v>
      </c>
      <c r="K1154" s="7">
        <v>1026.8574224527447</v>
      </c>
      <c r="L1154" s="5">
        <v>2</v>
      </c>
      <c r="M1154" s="5">
        <v>10</v>
      </c>
      <c r="N1154" s="8">
        <f t="shared" si="0"/>
        <v>1848.3433604149404</v>
      </c>
      <c r="O1154" s="5">
        <f t="shared" si="1"/>
        <v>1598</v>
      </c>
      <c r="P1154" s="5">
        <f t="shared" si="2"/>
        <v>250.34336041494043</v>
      </c>
      <c r="Q1154" s="5" t="s">
        <v>31</v>
      </c>
      <c r="R1154" s="5" t="s">
        <v>32</v>
      </c>
      <c r="S1154" s="6">
        <v>45285</v>
      </c>
      <c r="T1154" s="5">
        <v>3</v>
      </c>
      <c r="U1154" s="5">
        <v>4</v>
      </c>
      <c r="V1154" s="5" t="s">
        <v>33</v>
      </c>
      <c r="W1154" s="5">
        <f t="shared" si="3"/>
        <v>0</v>
      </c>
    </row>
    <row r="1155" spans="1:23" ht="15.75" customHeight="1" x14ac:dyDescent="0.25">
      <c r="A1155" s="5" t="s">
        <v>1538</v>
      </c>
      <c r="B1155" s="6">
        <v>45277</v>
      </c>
      <c r="C1155" s="5" t="s">
        <v>1247</v>
      </c>
      <c r="D1155" s="5" t="s">
        <v>42</v>
      </c>
      <c r="E1155" s="5" t="s">
        <v>69</v>
      </c>
      <c r="F1155" s="5" t="s">
        <v>55</v>
      </c>
      <c r="G1155" s="5" t="s">
        <v>75</v>
      </c>
      <c r="H1155" s="5" t="s">
        <v>76</v>
      </c>
      <c r="I1155" s="5" t="s">
        <v>77</v>
      </c>
      <c r="J1155" s="5">
        <v>779</v>
      </c>
      <c r="K1155" s="7">
        <v>1245.9181427888568</v>
      </c>
      <c r="L1155" s="5">
        <v>5</v>
      </c>
      <c r="M1155" s="5">
        <v>20</v>
      </c>
      <c r="N1155" s="8">
        <f t="shared" si="0"/>
        <v>4983.6725711554282</v>
      </c>
      <c r="O1155" s="5">
        <f t="shared" si="1"/>
        <v>3895</v>
      </c>
      <c r="P1155" s="5">
        <f t="shared" si="2"/>
        <v>1088.6725711554282</v>
      </c>
      <c r="Q1155" s="5" t="s">
        <v>31</v>
      </c>
      <c r="R1155" s="5" t="s">
        <v>32</v>
      </c>
      <c r="S1155" s="6">
        <v>45286</v>
      </c>
      <c r="T1155" s="5">
        <v>2</v>
      </c>
      <c r="U1155" s="5">
        <v>4</v>
      </c>
      <c r="V1155" s="5" t="s">
        <v>33</v>
      </c>
      <c r="W1155" s="5">
        <f t="shared" si="3"/>
        <v>0</v>
      </c>
    </row>
    <row r="1156" spans="1:23" ht="15.75" customHeight="1" x14ac:dyDescent="0.25">
      <c r="A1156" s="5" t="s">
        <v>1539</v>
      </c>
      <c r="B1156" s="6">
        <v>45278</v>
      </c>
      <c r="C1156" s="5" t="s">
        <v>1209</v>
      </c>
      <c r="D1156" s="5" t="s">
        <v>116</v>
      </c>
      <c r="E1156" s="5" t="s">
        <v>69</v>
      </c>
      <c r="F1156" s="5" t="s">
        <v>55</v>
      </c>
      <c r="G1156" s="5" t="s">
        <v>28</v>
      </c>
      <c r="H1156" s="5" t="s">
        <v>29</v>
      </c>
      <c r="I1156" s="5" t="s">
        <v>30</v>
      </c>
      <c r="J1156" s="5">
        <v>3507</v>
      </c>
      <c r="K1156" s="7">
        <v>3774.2261576321166</v>
      </c>
      <c r="L1156" s="5">
        <v>4</v>
      </c>
      <c r="M1156" s="5">
        <v>20</v>
      </c>
      <c r="N1156" s="8">
        <f t="shared" si="0"/>
        <v>12077.523704422774</v>
      </c>
      <c r="O1156" s="5">
        <f t="shared" si="1"/>
        <v>14028</v>
      </c>
      <c r="P1156" s="5">
        <f t="shared" si="2"/>
        <v>-1950.4762955772258</v>
      </c>
      <c r="Q1156" s="5" t="s">
        <v>46</v>
      </c>
      <c r="R1156" s="5" t="s">
        <v>32</v>
      </c>
      <c r="S1156" s="6">
        <v>45288</v>
      </c>
      <c r="T1156" s="5">
        <v>3</v>
      </c>
      <c r="U1156" s="5">
        <v>4</v>
      </c>
      <c r="V1156" s="5" t="s">
        <v>33</v>
      </c>
      <c r="W1156" s="5">
        <f t="shared" si="3"/>
        <v>0</v>
      </c>
    </row>
    <row r="1157" spans="1:23" ht="15.75" customHeight="1" x14ac:dyDescent="0.25">
      <c r="A1157" s="5" t="s">
        <v>1540</v>
      </c>
      <c r="B1157" s="6">
        <v>45278</v>
      </c>
      <c r="C1157" s="5" t="s">
        <v>378</v>
      </c>
      <c r="D1157" s="5" t="s">
        <v>116</v>
      </c>
      <c r="E1157" s="5" t="s">
        <v>37</v>
      </c>
      <c r="F1157" s="5" t="s">
        <v>38</v>
      </c>
      <c r="G1157" s="5" t="s">
        <v>75</v>
      </c>
      <c r="H1157" s="5" t="s">
        <v>76</v>
      </c>
      <c r="I1157" s="5" t="s">
        <v>77</v>
      </c>
      <c r="J1157" s="5">
        <v>1806</v>
      </c>
      <c r="K1157" s="7">
        <v>2581.6872673167522</v>
      </c>
      <c r="L1157" s="5">
        <v>3</v>
      </c>
      <c r="M1157" s="5">
        <v>0</v>
      </c>
      <c r="N1157" s="8">
        <f t="shared" si="0"/>
        <v>7745.0618019502563</v>
      </c>
      <c r="O1157" s="5">
        <f t="shared" si="1"/>
        <v>5418</v>
      </c>
      <c r="P1157" s="5">
        <f t="shared" si="2"/>
        <v>2327.0618019502563</v>
      </c>
      <c r="Q1157" s="5" t="s">
        <v>46</v>
      </c>
      <c r="R1157" s="5" t="s">
        <v>56</v>
      </c>
      <c r="T1157" s="5">
        <v>9</v>
      </c>
      <c r="U1157" s="5">
        <v>1</v>
      </c>
      <c r="W1157" s="5">
        <f t="shared" si="3"/>
        <v>0</v>
      </c>
    </row>
    <row r="1158" spans="1:23" ht="15.75" customHeight="1" x14ac:dyDescent="0.25">
      <c r="A1158" s="5" t="s">
        <v>1541</v>
      </c>
      <c r="B1158" s="6">
        <v>45278</v>
      </c>
      <c r="C1158" s="5" t="s">
        <v>670</v>
      </c>
      <c r="D1158" s="5" t="s">
        <v>135</v>
      </c>
      <c r="E1158" s="5" t="s">
        <v>80</v>
      </c>
      <c r="F1158" s="5" t="s">
        <v>80</v>
      </c>
      <c r="G1158" s="5" t="s">
        <v>119</v>
      </c>
      <c r="H1158" s="5" t="s">
        <v>76</v>
      </c>
      <c r="I1158" s="5" t="s">
        <v>120</v>
      </c>
      <c r="J1158" s="5">
        <v>76323</v>
      </c>
      <c r="K1158" s="7">
        <v>124047.30840476869</v>
      </c>
      <c r="L1158" s="5">
        <v>5</v>
      </c>
      <c r="M1158" s="5">
        <v>20</v>
      </c>
      <c r="N1158" s="8">
        <f t="shared" si="0"/>
        <v>496189.23361907474</v>
      </c>
      <c r="O1158" s="5">
        <f t="shared" si="1"/>
        <v>381615</v>
      </c>
      <c r="P1158" s="5">
        <f t="shared" si="2"/>
        <v>114574.23361907474</v>
      </c>
      <c r="Q1158" s="5" t="s">
        <v>83</v>
      </c>
      <c r="R1158" s="5" t="s">
        <v>32</v>
      </c>
      <c r="S1158" s="6">
        <v>45285</v>
      </c>
      <c r="T1158" s="5">
        <v>3</v>
      </c>
      <c r="U1158" s="5">
        <v>3</v>
      </c>
      <c r="V1158" s="5" t="s">
        <v>33</v>
      </c>
      <c r="W1158" s="5">
        <f t="shared" si="3"/>
        <v>0</v>
      </c>
    </row>
    <row r="1159" spans="1:23" ht="15.75" customHeight="1" x14ac:dyDescent="0.25">
      <c r="A1159" s="5" t="s">
        <v>1542</v>
      </c>
      <c r="B1159" s="6">
        <v>45279</v>
      </c>
      <c r="C1159" s="5" t="s">
        <v>632</v>
      </c>
      <c r="D1159" s="5" t="s">
        <v>146</v>
      </c>
      <c r="E1159" s="5" t="s">
        <v>69</v>
      </c>
      <c r="F1159" s="5" t="s">
        <v>55</v>
      </c>
      <c r="G1159" s="5" t="s">
        <v>43</v>
      </c>
      <c r="H1159" s="5" t="s">
        <v>44</v>
      </c>
      <c r="I1159" s="5" t="s">
        <v>45</v>
      </c>
      <c r="J1159" s="5">
        <v>687</v>
      </c>
      <c r="K1159" s="7">
        <v>848.77114750950238</v>
      </c>
      <c r="L1159" s="5">
        <v>4</v>
      </c>
      <c r="M1159" s="5">
        <v>0</v>
      </c>
      <c r="N1159" s="8">
        <f t="shared" si="0"/>
        <v>3395.0845900380095</v>
      </c>
      <c r="O1159" s="5">
        <f t="shared" si="1"/>
        <v>2748</v>
      </c>
      <c r="P1159" s="5">
        <f t="shared" si="2"/>
        <v>647.08459003800954</v>
      </c>
      <c r="Q1159" s="5" t="s">
        <v>46</v>
      </c>
      <c r="R1159" s="5" t="s">
        <v>32</v>
      </c>
      <c r="S1159" s="6">
        <v>45289</v>
      </c>
      <c r="T1159" s="5">
        <v>6</v>
      </c>
      <c r="U1159" s="5">
        <v>3</v>
      </c>
      <c r="V1159" s="5" t="s">
        <v>33</v>
      </c>
      <c r="W1159" s="5">
        <f t="shared" si="3"/>
        <v>0</v>
      </c>
    </row>
    <row r="1160" spans="1:23" ht="15.75" customHeight="1" x14ac:dyDescent="0.25">
      <c r="A1160" s="5" t="s">
        <v>1543</v>
      </c>
      <c r="B1160" s="6">
        <v>45279</v>
      </c>
      <c r="C1160" s="5" t="s">
        <v>1139</v>
      </c>
      <c r="D1160" s="5" t="s">
        <v>150</v>
      </c>
      <c r="E1160" s="5" t="s">
        <v>60</v>
      </c>
      <c r="F1160" s="5" t="s">
        <v>61</v>
      </c>
      <c r="G1160" s="5" t="s">
        <v>106</v>
      </c>
      <c r="H1160" s="5" t="s">
        <v>98</v>
      </c>
      <c r="I1160" s="5" t="s">
        <v>107</v>
      </c>
      <c r="J1160" s="5">
        <v>671</v>
      </c>
      <c r="K1160" s="7">
        <v>745.59655985292727</v>
      </c>
      <c r="L1160" s="5">
        <v>5</v>
      </c>
      <c r="M1160" s="5">
        <v>0</v>
      </c>
      <c r="N1160" s="8">
        <f t="shared" si="0"/>
        <v>3727.9827992646365</v>
      </c>
      <c r="O1160" s="5">
        <f t="shared" si="1"/>
        <v>3355</v>
      </c>
      <c r="P1160" s="5">
        <f t="shared" si="2"/>
        <v>372.98279926463647</v>
      </c>
      <c r="Q1160" s="5" t="s">
        <v>39</v>
      </c>
      <c r="R1160" s="5" t="s">
        <v>32</v>
      </c>
      <c r="S1160" s="6">
        <v>45288</v>
      </c>
      <c r="T1160" s="5">
        <v>4</v>
      </c>
      <c r="U1160" s="5">
        <v>4</v>
      </c>
      <c r="V1160" s="5" t="s">
        <v>33</v>
      </c>
      <c r="W1160" s="5">
        <f t="shared" si="3"/>
        <v>0</v>
      </c>
    </row>
    <row r="1161" spans="1:23" ht="15.75" customHeight="1" x14ac:dyDescent="0.25">
      <c r="A1161" s="5" t="s">
        <v>1544</v>
      </c>
      <c r="B1161" s="6">
        <v>45280</v>
      </c>
      <c r="C1161" s="5" t="s">
        <v>304</v>
      </c>
      <c r="D1161" s="5" t="s">
        <v>138</v>
      </c>
      <c r="E1161" s="5" t="s">
        <v>37</v>
      </c>
      <c r="F1161" s="5" t="s">
        <v>38</v>
      </c>
      <c r="G1161" s="5" t="s">
        <v>92</v>
      </c>
      <c r="H1161" s="5" t="s">
        <v>44</v>
      </c>
      <c r="I1161" s="5" t="s">
        <v>45</v>
      </c>
      <c r="J1161" s="5">
        <v>936</v>
      </c>
      <c r="K1161" s="7">
        <v>1458.9261729941818</v>
      </c>
      <c r="L1161" s="5">
        <v>5</v>
      </c>
      <c r="M1161" s="5">
        <v>0</v>
      </c>
      <c r="N1161" s="8">
        <f t="shared" si="0"/>
        <v>7294.630864970909</v>
      </c>
      <c r="O1161" s="5">
        <f t="shared" si="1"/>
        <v>4680</v>
      </c>
      <c r="P1161" s="5">
        <f t="shared" si="2"/>
        <v>2614.630864970909</v>
      </c>
      <c r="Q1161" s="5" t="s">
        <v>39</v>
      </c>
      <c r="R1161" s="5" t="s">
        <v>32</v>
      </c>
      <c r="S1161" s="6">
        <v>45287</v>
      </c>
      <c r="T1161" s="5">
        <v>1</v>
      </c>
      <c r="U1161" s="5">
        <v>5</v>
      </c>
      <c r="V1161" s="5" t="s">
        <v>33</v>
      </c>
      <c r="W1161" s="5">
        <f t="shared" si="3"/>
        <v>0</v>
      </c>
    </row>
    <row r="1162" spans="1:23" ht="15.75" customHeight="1" x14ac:dyDescent="0.25">
      <c r="A1162" s="5" t="s">
        <v>1545</v>
      </c>
      <c r="B1162" s="6">
        <v>45280</v>
      </c>
      <c r="C1162" s="5" t="s">
        <v>601</v>
      </c>
      <c r="D1162" s="5" t="s">
        <v>148</v>
      </c>
      <c r="E1162" s="5" t="s">
        <v>54</v>
      </c>
      <c r="F1162" s="5" t="s">
        <v>55</v>
      </c>
      <c r="G1162" s="5" t="s">
        <v>106</v>
      </c>
      <c r="H1162" s="5" t="s">
        <v>98</v>
      </c>
      <c r="I1162" s="5" t="s">
        <v>107</v>
      </c>
      <c r="J1162" s="5">
        <v>757</v>
      </c>
      <c r="K1162" s="7">
        <v>1134.6240757578882</v>
      </c>
      <c r="L1162" s="5">
        <v>4</v>
      </c>
      <c r="M1162" s="5">
        <v>20</v>
      </c>
      <c r="N1162" s="8">
        <f t="shared" si="0"/>
        <v>3630.7970424252426</v>
      </c>
      <c r="O1162" s="5">
        <f t="shared" si="1"/>
        <v>3028</v>
      </c>
      <c r="P1162" s="5">
        <f t="shared" si="2"/>
        <v>602.79704242524258</v>
      </c>
      <c r="Q1162" s="5" t="s">
        <v>83</v>
      </c>
      <c r="R1162" s="5" t="s">
        <v>56</v>
      </c>
      <c r="T1162" s="5">
        <v>7</v>
      </c>
      <c r="U1162" s="5">
        <v>4</v>
      </c>
      <c r="W1162" s="5">
        <f t="shared" si="3"/>
        <v>0</v>
      </c>
    </row>
    <row r="1163" spans="1:23" ht="15.75" customHeight="1" x14ac:dyDescent="0.25">
      <c r="A1163" s="5" t="s">
        <v>1546</v>
      </c>
      <c r="B1163" s="6">
        <v>45281</v>
      </c>
      <c r="C1163" s="5" t="s">
        <v>851</v>
      </c>
      <c r="D1163" s="5" t="s">
        <v>86</v>
      </c>
      <c r="E1163" s="5" t="s">
        <v>26</v>
      </c>
      <c r="F1163" s="5" t="s">
        <v>27</v>
      </c>
      <c r="G1163" s="5" t="s">
        <v>124</v>
      </c>
      <c r="H1163" s="5" t="s">
        <v>76</v>
      </c>
      <c r="I1163" s="5" t="s">
        <v>125</v>
      </c>
      <c r="J1163" s="5">
        <v>67077</v>
      </c>
      <c r="K1163" s="7">
        <v>103004.41864879279</v>
      </c>
      <c r="L1163" s="5">
        <v>4</v>
      </c>
      <c r="M1163" s="5">
        <v>0</v>
      </c>
      <c r="N1163" s="8">
        <f t="shared" si="0"/>
        <v>412017.67459517118</v>
      </c>
      <c r="O1163" s="5">
        <f t="shared" si="1"/>
        <v>268308</v>
      </c>
      <c r="P1163" s="5">
        <f t="shared" si="2"/>
        <v>143709.67459517118</v>
      </c>
      <c r="Q1163" s="5" t="s">
        <v>31</v>
      </c>
      <c r="R1163" s="5" t="s">
        <v>32</v>
      </c>
      <c r="S1163" s="6">
        <v>45294</v>
      </c>
      <c r="T1163" s="5">
        <v>6</v>
      </c>
      <c r="U1163" s="5">
        <v>4</v>
      </c>
      <c r="V1163" s="5" t="s">
        <v>89</v>
      </c>
      <c r="W1163" s="5">
        <f t="shared" si="3"/>
        <v>1</v>
      </c>
    </row>
    <row r="1164" spans="1:23" ht="15.75" customHeight="1" x14ac:dyDescent="0.25">
      <c r="A1164" s="5" t="s">
        <v>1547</v>
      </c>
      <c r="B1164" s="6">
        <v>45281</v>
      </c>
      <c r="C1164" s="5" t="s">
        <v>601</v>
      </c>
      <c r="D1164" s="5" t="s">
        <v>135</v>
      </c>
      <c r="E1164" s="5" t="s">
        <v>112</v>
      </c>
      <c r="F1164" s="5" t="s">
        <v>113</v>
      </c>
      <c r="G1164" s="5" t="s">
        <v>139</v>
      </c>
      <c r="H1164" s="5" t="s">
        <v>76</v>
      </c>
      <c r="I1164" s="5" t="s">
        <v>140</v>
      </c>
      <c r="J1164" s="5">
        <v>46800</v>
      </c>
      <c r="K1164" s="7">
        <v>64909.591184149467</v>
      </c>
      <c r="L1164" s="5">
        <v>3</v>
      </c>
      <c r="M1164" s="5">
        <v>0</v>
      </c>
      <c r="N1164" s="8">
        <f t="shared" si="0"/>
        <v>194728.7735524484</v>
      </c>
      <c r="O1164" s="5">
        <f t="shared" si="1"/>
        <v>140400</v>
      </c>
      <c r="P1164" s="5">
        <f t="shared" si="2"/>
        <v>54328.773552448401</v>
      </c>
      <c r="Q1164" s="5" t="s">
        <v>83</v>
      </c>
      <c r="R1164" s="5" t="s">
        <v>32</v>
      </c>
      <c r="S1164" s="6">
        <v>45294</v>
      </c>
      <c r="T1164" s="5">
        <v>6</v>
      </c>
      <c r="U1164" s="5">
        <v>2</v>
      </c>
      <c r="V1164" s="5" t="s">
        <v>33</v>
      </c>
      <c r="W1164" s="5">
        <f t="shared" si="3"/>
        <v>0</v>
      </c>
    </row>
    <row r="1165" spans="1:23" ht="15.75" customHeight="1" x14ac:dyDescent="0.25">
      <c r="A1165" s="5" t="s">
        <v>1548</v>
      </c>
      <c r="B1165" s="6">
        <v>45281</v>
      </c>
      <c r="C1165" s="5" t="s">
        <v>227</v>
      </c>
      <c r="D1165" s="5" t="s">
        <v>181</v>
      </c>
      <c r="E1165" s="5" t="s">
        <v>37</v>
      </c>
      <c r="F1165" s="5" t="s">
        <v>38</v>
      </c>
      <c r="G1165" s="5" t="s">
        <v>87</v>
      </c>
      <c r="H1165" s="5" t="s">
        <v>29</v>
      </c>
      <c r="I1165" s="5" t="s">
        <v>88</v>
      </c>
      <c r="J1165" s="5">
        <v>52593</v>
      </c>
      <c r="K1165" s="7">
        <v>78527.780535519356</v>
      </c>
      <c r="L1165" s="5">
        <v>3</v>
      </c>
      <c r="M1165" s="5">
        <v>10</v>
      </c>
      <c r="N1165" s="8">
        <f t="shared" si="0"/>
        <v>212025.00744590227</v>
      </c>
      <c r="O1165" s="5">
        <f t="shared" si="1"/>
        <v>157779</v>
      </c>
      <c r="P1165" s="5">
        <f t="shared" si="2"/>
        <v>54246.007445902273</v>
      </c>
      <c r="Q1165" s="5" t="s">
        <v>31</v>
      </c>
      <c r="R1165" s="5" t="s">
        <v>32</v>
      </c>
      <c r="S1165" s="6">
        <v>45292</v>
      </c>
      <c r="T1165" s="5">
        <v>4</v>
      </c>
      <c r="U1165" s="5">
        <v>3</v>
      </c>
      <c r="V1165" s="5" t="s">
        <v>33</v>
      </c>
      <c r="W1165" s="5">
        <f t="shared" si="3"/>
        <v>0</v>
      </c>
    </row>
    <row r="1166" spans="1:23" ht="15.75" customHeight="1" x14ac:dyDescent="0.25">
      <c r="A1166" s="5" t="s">
        <v>1549</v>
      </c>
      <c r="B1166" s="6">
        <v>45281</v>
      </c>
      <c r="C1166" s="5" t="s">
        <v>474</v>
      </c>
      <c r="D1166" s="5" t="s">
        <v>150</v>
      </c>
      <c r="E1166" s="5" t="s">
        <v>37</v>
      </c>
      <c r="F1166" s="5" t="s">
        <v>38</v>
      </c>
      <c r="G1166" s="5" t="s">
        <v>75</v>
      </c>
      <c r="H1166" s="5" t="s">
        <v>76</v>
      </c>
      <c r="I1166" s="5" t="s">
        <v>77</v>
      </c>
      <c r="J1166" s="5">
        <v>1688</v>
      </c>
      <c r="K1166" s="7">
        <v>2065.6526374739574</v>
      </c>
      <c r="L1166" s="5">
        <v>2</v>
      </c>
      <c r="M1166" s="5">
        <v>10</v>
      </c>
      <c r="N1166" s="8">
        <f t="shared" si="0"/>
        <v>3718.1747474531235</v>
      </c>
      <c r="O1166" s="5">
        <f t="shared" si="1"/>
        <v>3376</v>
      </c>
      <c r="P1166" s="5">
        <f t="shared" si="2"/>
        <v>342.17474745312347</v>
      </c>
      <c r="Q1166" s="5" t="s">
        <v>46</v>
      </c>
      <c r="R1166" s="5" t="s">
        <v>56</v>
      </c>
      <c r="T1166" s="5">
        <v>8</v>
      </c>
      <c r="U1166" s="5">
        <v>2</v>
      </c>
      <c r="W1166" s="5">
        <f t="shared" si="3"/>
        <v>0</v>
      </c>
    </row>
    <row r="1167" spans="1:23" ht="15.75" customHeight="1" x14ac:dyDescent="0.25">
      <c r="A1167" s="5" t="s">
        <v>1550</v>
      </c>
      <c r="B1167" s="6">
        <v>45281</v>
      </c>
      <c r="C1167" s="5" t="s">
        <v>494</v>
      </c>
      <c r="D1167" s="5" t="s">
        <v>135</v>
      </c>
      <c r="E1167" s="5" t="s">
        <v>26</v>
      </c>
      <c r="F1167" s="5" t="s">
        <v>27</v>
      </c>
      <c r="G1167" s="5" t="s">
        <v>92</v>
      </c>
      <c r="H1167" s="5" t="s">
        <v>44</v>
      </c>
      <c r="I1167" s="5" t="s">
        <v>45</v>
      </c>
      <c r="J1167" s="5">
        <v>1382</v>
      </c>
      <c r="K1167" s="7">
        <v>2342.4648681896629</v>
      </c>
      <c r="L1167" s="5">
        <v>3</v>
      </c>
      <c r="M1167" s="5">
        <v>10</v>
      </c>
      <c r="N1167" s="8">
        <f t="shared" si="0"/>
        <v>6324.6551441120891</v>
      </c>
      <c r="O1167" s="5">
        <f t="shared" si="1"/>
        <v>4146</v>
      </c>
      <c r="P1167" s="5">
        <f t="shared" si="2"/>
        <v>2178.6551441120891</v>
      </c>
      <c r="Q1167" s="5" t="s">
        <v>46</v>
      </c>
      <c r="R1167" s="5" t="s">
        <v>56</v>
      </c>
      <c r="T1167" s="5">
        <v>10</v>
      </c>
      <c r="U1167" s="5">
        <v>1</v>
      </c>
      <c r="W1167" s="5">
        <f t="shared" si="3"/>
        <v>0</v>
      </c>
    </row>
    <row r="1168" spans="1:23" ht="15.75" customHeight="1" x14ac:dyDescent="0.25">
      <c r="A1168" s="5" t="s">
        <v>1551</v>
      </c>
      <c r="B1168" s="6">
        <v>45282</v>
      </c>
      <c r="C1168" s="5" t="s">
        <v>1295</v>
      </c>
      <c r="D1168" s="5" t="s">
        <v>42</v>
      </c>
      <c r="E1168" s="5" t="s">
        <v>60</v>
      </c>
      <c r="F1168" s="5" t="s">
        <v>61</v>
      </c>
      <c r="G1168" s="5" t="s">
        <v>119</v>
      </c>
      <c r="H1168" s="5" t="s">
        <v>76</v>
      </c>
      <c r="I1168" s="5" t="s">
        <v>120</v>
      </c>
      <c r="J1168" s="5">
        <v>77392</v>
      </c>
      <c r="K1168" s="7">
        <v>109159.86634233031</v>
      </c>
      <c r="L1168" s="5">
        <v>4</v>
      </c>
      <c r="M1168" s="5">
        <v>20</v>
      </c>
      <c r="N1168" s="8">
        <f t="shared" si="0"/>
        <v>349311.57229545701</v>
      </c>
      <c r="O1168" s="5">
        <f t="shared" si="1"/>
        <v>309568</v>
      </c>
      <c r="P1168" s="5">
        <f t="shared" si="2"/>
        <v>39743.572295457008</v>
      </c>
      <c r="Q1168" s="5" t="s">
        <v>83</v>
      </c>
      <c r="R1168" s="5" t="s">
        <v>32</v>
      </c>
      <c r="S1168" s="6">
        <v>45291</v>
      </c>
      <c r="T1168" s="5">
        <v>3</v>
      </c>
      <c r="U1168" s="5">
        <v>3</v>
      </c>
      <c r="V1168" s="5" t="s">
        <v>33</v>
      </c>
      <c r="W1168" s="5">
        <f t="shared" si="3"/>
        <v>0</v>
      </c>
    </row>
    <row r="1169" spans="1:23" ht="15.75" customHeight="1" x14ac:dyDescent="0.25">
      <c r="A1169" s="5" t="s">
        <v>1552</v>
      </c>
      <c r="B1169" s="6">
        <v>45282</v>
      </c>
      <c r="C1169" s="5" t="s">
        <v>239</v>
      </c>
      <c r="D1169" s="5" t="s">
        <v>208</v>
      </c>
      <c r="E1169" s="5" t="s">
        <v>49</v>
      </c>
      <c r="F1169" s="5" t="s">
        <v>50</v>
      </c>
      <c r="G1169" s="5" t="s">
        <v>87</v>
      </c>
      <c r="H1169" s="5" t="s">
        <v>29</v>
      </c>
      <c r="I1169" s="5" t="s">
        <v>88</v>
      </c>
      <c r="J1169" s="5">
        <v>41213</v>
      </c>
      <c r="K1169" s="7">
        <v>69808.626393614046</v>
      </c>
      <c r="L1169" s="5">
        <v>4</v>
      </c>
      <c r="M1169" s="5">
        <v>0</v>
      </c>
      <c r="N1169" s="8">
        <f t="shared" si="0"/>
        <v>279234.50557445618</v>
      </c>
      <c r="O1169" s="5">
        <f t="shared" si="1"/>
        <v>164852</v>
      </c>
      <c r="P1169" s="5">
        <f t="shared" si="2"/>
        <v>114382.50557445618</v>
      </c>
      <c r="Q1169" s="5" t="s">
        <v>46</v>
      </c>
      <c r="R1169" s="5" t="s">
        <v>32</v>
      </c>
      <c r="S1169" s="6">
        <v>45292</v>
      </c>
      <c r="T1169" s="5">
        <v>5</v>
      </c>
      <c r="U1169" s="5">
        <v>3</v>
      </c>
      <c r="V1169" s="5" t="s">
        <v>33</v>
      </c>
      <c r="W1169" s="5">
        <f t="shared" si="3"/>
        <v>0</v>
      </c>
    </row>
    <row r="1170" spans="1:23" ht="15.75" customHeight="1" x14ac:dyDescent="0.25">
      <c r="A1170" s="5" t="s">
        <v>1553</v>
      </c>
      <c r="B1170" s="6">
        <v>45283</v>
      </c>
      <c r="C1170" s="5" t="s">
        <v>109</v>
      </c>
      <c r="D1170" s="5" t="s">
        <v>86</v>
      </c>
      <c r="E1170" s="5" t="s">
        <v>26</v>
      </c>
      <c r="F1170" s="5" t="s">
        <v>27</v>
      </c>
      <c r="G1170" s="5" t="s">
        <v>139</v>
      </c>
      <c r="H1170" s="5" t="s">
        <v>76</v>
      </c>
      <c r="I1170" s="5" t="s">
        <v>140</v>
      </c>
      <c r="J1170" s="5">
        <v>42357</v>
      </c>
      <c r="K1170" s="7">
        <v>60711.804223408966</v>
      </c>
      <c r="L1170" s="5">
        <v>4</v>
      </c>
      <c r="M1170" s="5">
        <v>0</v>
      </c>
      <c r="N1170" s="8">
        <f t="shared" si="0"/>
        <v>242847.21689363586</v>
      </c>
      <c r="O1170" s="5">
        <f t="shared" si="1"/>
        <v>169428</v>
      </c>
      <c r="P1170" s="5">
        <f t="shared" si="2"/>
        <v>73419.216893635865</v>
      </c>
      <c r="Q1170" s="5" t="s">
        <v>46</v>
      </c>
      <c r="R1170" s="5" t="s">
        <v>32</v>
      </c>
      <c r="S1170" s="6">
        <v>45298</v>
      </c>
      <c r="T1170" s="5">
        <v>8</v>
      </c>
      <c r="U1170" s="5">
        <v>4</v>
      </c>
      <c r="V1170" s="5" t="s">
        <v>89</v>
      </c>
      <c r="W1170" s="5">
        <f t="shared" si="3"/>
        <v>1</v>
      </c>
    </row>
    <row r="1171" spans="1:23" ht="15.75" customHeight="1" x14ac:dyDescent="0.25">
      <c r="A1171" s="5" t="s">
        <v>1554</v>
      </c>
      <c r="B1171" s="6">
        <v>45283</v>
      </c>
      <c r="C1171" s="5" t="s">
        <v>220</v>
      </c>
      <c r="D1171" s="5" t="s">
        <v>184</v>
      </c>
      <c r="E1171" s="5" t="s">
        <v>26</v>
      </c>
      <c r="F1171" s="5" t="s">
        <v>27</v>
      </c>
      <c r="G1171" s="5" t="s">
        <v>119</v>
      </c>
      <c r="H1171" s="5" t="s">
        <v>76</v>
      </c>
      <c r="I1171" s="5" t="s">
        <v>120</v>
      </c>
      <c r="J1171" s="5">
        <v>35835</v>
      </c>
      <c r="K1171" s="7">
        <v>55243.774757737126</v>
      </c>
      <c r="L1171" s="5">
        <v>2</v>
      </c>
      <c r="M1171" s="5">
        <v>0</v>
      </c>
      <c r="N1171" s="8">
        <f t="shared" si="0"/>
        <v>110487.54951547425</v>
      </c>
      <c r="O1171" s="5">
        <f t="shared" si="1"/>
        <v>71670</v>
      </c>
      <c r="P1171" s="5">
        <f t="shared" si="2"/>
        <v>38817.549515474253</v>
      </c>
      <c r="Q1171" s="5" t="s">
        <v>46</v>
      </c>
      <c r="R1171" s="5" t="s">
        <v>32</v>
      </c>
      <c r="S1171" s="6">
        <v>45293</v>
      </c>
      <c r="T1171" s="5">
        <v>5</v>
      </c>
      <c r="U1171" s="5">
        <v>3</v>
      </c>
      <c r="V1171" s="5" t="s">
        <v>33</v>
      </c>
      <c r="W1171" s="5">
        <f t="shared" si="3"/>
        <v>0</v>
      </c>
    </row>
    <row r="1172" spans="1:23" ht="15.75" customHeight="1" x14ac:dyDescent="0.25">
      <c r="A1172" s="5" t="s">
        <v>1555</v>
      </c>
      <c r="B1172" s="6">
        <v>45285</v>
      </c>
      <c r="C1172" s="5" t="s">
        <v>813</v>
      </c>
      <c r="D1172" s="5" t="s">
        <v>188</v>
      </c>
      <c r="E1172" s="5" t="s">
        <v>54</v>
      </c>
      <c r="F1172" s="5" t="s">
        <v>55</v>
      </c>
      <c r="G1172" s="5" t="s">
        <v>28</v>
      </c>
      <c r="H1172" s="5" t="s">
        <v>29</v>
      </c>
      <c r="I1172" s="5" t="s">
        <v>30</v>
      </c>
      <c r="J1172" s="5">
        <v>4395</v>
      </c>
      <c r="K1172" s="7">
        <v>5752.5509378619345</v>
      </c>
      <c r="L1172" s="5">
        <v>1</v>
      </c>
      <c r="M1172" s="5">
        <v>10</v>
      </c>
      <c r="N1172" s="8">
        <f t="shared" si="0"/>
        <v>5177.2958440757411</v>
      </c>
      <c r="O1172" s="5">
        <f t="shared" si="1"/>
        <v>4395</v>
      </c>
      <c r="P1172" s="5">
        <f t="shared" si="2"/>
        <v>782.29584407574112</v>
      </c>
      <c r="Q1172" s="5" t="s">
        <v>83</v>
      </c>
      <c r="R1172" s="5" t="s">
        <v>32</v>
      </c>
      <c r="S1172" s="6">
        <v>45298</v>
      </c>
      <c r="T1172" s="5">
        <v>8</v>
      </c>
      <c r="U1172" s="5">
        <v>4</v>
      </c>
      <c r="V1172" s="5" t="s">
        <v>89</v>
      </c>
      <c r="W1172" s="5">
        <f t="shared" si="3"/>
        <v>1</v>
      </c>
    </row>
    <row r="1173" spans="1:23" ht="15.75" customHeight="1" x14ac:dyDescent="0.25">
      <c r="A1173" s="5" t="s">
        <v>1556</v>
      </c>
      <c r="B1173" s="6">
        <v>45285</v>
      </c>
      <c r="C1173" s="5" t="s">
        <v>408</v>
      </c>
      <c r="D1173" s="5" t="s">
        <v>150</v>
      </c>
      <c r="E1173" s="5" t="s">
        <v>49</v>
      </c>
      <c r="F1173" s="5" t="s">
        <v>50</v>
      </c>
      <c r="G1173" s="5" t="s">
        <v>43</v>
      </c>
      <c r="H1173" s="5" t="s">
        <v>44</v>
      </c>
      <c r="I1173" s="5" t="s">
        <v>45</v>
      </c>
      <c r="J1173" s="5">
        <v>465</v>
      </c>
      <c r="K1173" s="7">
        <v>763.61290865887827</v>
      </c>
      <c r="L1173" s="5">
        <v>5</v>
      </c>
      <c r="M1173" s="5">
        <v>10</v>
      </c>
      <c r="N1173" s="8">
        <f t="shared" si="0"/>
        <v>3436.2580889649521</v>
      </c>
      <c r="O1173" s="5">
        <f t="shared" si="1"/>
        <v>2325</v>
      </c>
      <c r="P1173" s="5">
        <f t="shared" si="2"/>
        <v>1111.2580889649521</v>
      </c>
      <c r="Q1173" s="5" t="s">
        <v>39</v>
      </c>
      <c r="R1173" s="5" t="s">
        <v>56</v>
      </c>
      <c r="T1173" s="5">
        <v>7</v>
      </c>
      <c r="U1173" s="5">
        <v>4</v>
      </c>
      <c r="W1173" s="5">
        <f t="shared" si="3"/>
        <v>0</v>
      </c>
    </row>
    <row r="1174" spans="1:23" ht="15.75" customHeight="1" x14ac:dyDescent="0.25">
      <c r="A1174" s="5" t="s">
        <v>1557</v>
      </c>
      <c r="B1174" s="6">
        <v>45285</v>
      </c>
      <c r="C1174" s="5" t="s">
        <v>1062</v>
      </c>
      <c r="D1174" s="5" t="s">
        <v>188</v>
      </c>
      <c r="E1174" s="5" t="s">
        <v>54</v>
      </c>
      <c r="F1174" s="5" t="s">
        <v>55</v>
      </c>
      <c r="G1174" s="5" t="s">
        <v>70</v>
      </c>
      <c r="H1174" s="5" t="s">
        <v>44</v>
      </c>
      <c r="I1174" s="5" t="s">
        <v>71</v>
      </c>
      <c r="J1174" s="5">
        <v>1196</v>
      </c>
      <c r="K1174" s="7">
        <v>1875.8494619286907</v>
      </c>
      <c r="L1174" s="5">
        <v>4</v>
      </c>
      <c r="M1174" s="5">
        <v>15</v>
      </c>
      <c r="N1174" s="8">
        <f t="shared" si="0"/>
        <v>6377.8881705575486</v>
      </c>
      <c r="O1174" s="5">
        <f t="shared" si="1"/>
        <v>4784</v>
      </c>
      <c r="P1174" s="5">
        <f t="shared" si="2"/>
        <v>1593.8881705575486</v>
      </c>
      <c r="Q1174" s="5" t="s">
        <v>31</v>
      </c>
      <c r="R1174" s="5" t="s">
        <v>32</v>
      </c>
      <c r="S1174" s="6">
        <v>45293</v>
      </c>
      <c r="T1174" s="5">
        <v>2</v>
      </c>
      <c r="U1174" s="5">
        <v>5</v>
      </c>
      <c r="V1174" s="5" t="s">
        <v>33</v>
      </c>
      <c r="W1174" s="5">
        <f t="shared" si="3"/>
        <v>0</v>
      </c>
    </row>
    <row r="1175" spans="1:23" ht="15.75" customHeight="1" x14ac:dyDescent="0.25">
      <c r="A1175" s="5" t="s">
        <v>1558</v>
      </c>
      <c r="B1175" s="6">
        <v>45285</v>
      </c>
      <c r="C1175" s="5" t="s">
        <v>235</v>
      </c>
      <c r="D1175" s="5" t="s">
        <v>86</v>
      </c>
      <c r="E1175" s="5" t="s">
        <v>112</v>
      </c>
      <c r="F1175" s="5" t="s">
        <v>113</v>
      </c>
      <c r="G1175" s="5" t="s">
        <v>81</v>
      </c>
      <c r="H1175" s="5" t="s">
        <v>44</v>
      </c>
      <c r="I1175" s="5" t="s">
        <v>82</v>
      </c>
      <c r="J1175" s="5">
        <v>1250</v>
      </c>
      <c r="K1175" s="7">
        <v>2243.1865649310535</v>
      </c>
      <c r="L1175" s="5">
        <v>1</v>
      </c>
      <c r="M1175" s="5">
        <v>20</v>
      </c>
      <c r="N1175" s="8">
        <f t="shared" si="0"/>
        <v>1794.5492519448428</v>
      </c>
      <c r="O1175" s="5">
        <f t="shared" si="1"/>
        <v>1250</v>
      </c>
      <c r="P1175" s="5">
        <f t="shared" si="2"/>
        <v>544.54925194484281</v>
      </c>
      <c r="Q1175" s="5" t="s">
        <v>83</v>
      </c>
      <c r="R1175" s="5" t="s">
        <v>56</v>
      </c>
      <c r="T1175" s="5">
        <v>7</v>
      </c>
      <c r="U1175" s="5">
        <v>2</v>
      </c>
      <c r="W1175" s="5">
        <f t="shared" si="3"/>
        <v>0</v>
      </c>
    </row>
    <row r="1176" spans="1:23" ht="15.75" customHeight="1" x14ac:dyDescent="0.25">
      <c r="A1176" s="5" t="s">
        <v>1559</v>
      </c>
      <c r="B1176" s="6">
        <v>45286</v>
      </c>
      <c r="C1176" s="5" t="s">
        <v>334</v>
      </c>
      <c r="D1176" s="5" t="s">
        <v>42</v>
      </c>
      <c r="E1176" s="5" t="s">
        <v>26</v>
      </c>
      <c r="F1176" s="5" t="s">
        <v>27</v>
      </c>
      <c r="G1176" s="5" t="s">
        <v>139</v>
      </c>
      <c r="H1176" s="5" t="s">
        <v>76</v>
      </c>
      <c r="I1176" s="5" t="s">
        <v>140</v>
      </c>
      <c r="J1176" s="5">
        <v>41746</v>
      </c>
      <c r="K1176" s="7">
        <v>63438.310607610554</v>
      </c>
      <c r="L1176" s="5">
        <v>4</v>
      </c>
      <c r="M1176" s="5">
        <v>15</v>
      </c>
      <c r="N1176" s="8">
        <f t="shared" si="0"/>
        <v>215690.25606587587</v>
      </c>
      <c r="O1176" s="5">
        <f t="shared" si="1"/>
        <v>166984</v>
      </c>
      <c r="P1176" s="5">
        <f t="shared" si="2"/>
        <v>48706.256065875874</v>
      </c>
      <c r="Q1176" s="5" t="s">
        <v>46</v>
      </c>
      <c r="R1176" s="5" t="s">
        <v>32</v>
      </c>
      <c r="S1176" s="6">
        <v>45298</v>
      </c>
      <c r="T1176" s="5">
        <v>5</v>
      </c>
      <c r="U1176" s="5">
        <v>4</v>
      </c>
      <c r="V1176" s="5" t="s">
        <v>33</v>
      </c>
      <c r="W1176" s="5">
        <f t="shared" si="3"/>
        <v>0</v>
      </c>
    </row>
    <row r="1177" spans="1:23" ht="15.75" customHeight="1" x14ac:dyDescent="0.25">
      <c r="A1177" s="5" t="s">
        <v>1560</v>
      </c>
      <c r="B1177" s="6">
        <v>45286</v>
      </c>
      <c r="C1177" s="5" t="s">
        <v>1198</v>
      </c>
      <c r="D1177" s="5" t="s">
        <v>150</v>
      </c>
      <c r="E1177" s="5" t="s">
        <v>60</v>
      </c>
      <c r="F1177" s="5" t="s">
        <v>61</v>
      </c>
      <c r="G1177" s="5" t="s">
        <v>28</v>
      </c>
      <c r="H1177" s="5" t="s">
        <v>29</v>
      </c>
      <c r="I1177" s="5" t="s">
        <v>30</v>
      </c>
      <c r="J1177" s="5">
        <v>6771</v>
      </c>
      <c r="K1177" s="7">
        <v>8695.1325475208741</v>
      </c>
      <c r="L1177" s="5">
        <v>3</v>
      </c>
      <c r="M1177" s="5">
        <v>0</v>
      </c>
      <c r="N1177" s="8">
        <f t="shared" si="0"/>
        <v>26085.397642562624</v>
      </c>
      <c r="O1177" s="5">
        <f t="shared" si="1"/>
        <v>20313</v>
      </c>
      <c r="P1177" s="5">
        <f t="shared" si="2"/>
        <v>5772.3976425626242</v>
      </c>
      <c r="Q1177" s="5" t="s">
        <v>31</v>
      </c>
      <c r="R1177" s="5" t="s">
        <v>56</v>
      </c>
      <c r="T1177" s="5">
        <v>7</v>
      </c>
      <c r="U1177" s="5">
        <v>3</v>
      </c>
      <c r="W1177" s="5">
        <f t="shared" si="3"/>
        <v>0</v>
      </c>
    </row>
    <row r="1178" spans="1:23" ht="15.75" customHeight="1" x14ac:dyDescent="0.25">
      <c r="A1178" s="5" t="s">
        <v>1561</v>
      </c>
      <c r="B1178" s="6">
        <v>45286</v>
      </c>
      <c r="C1178" s="5" t="s">
        <v>396</v>
      </c>
      <c r="D1178" s="5" t="s">
        <v>184</v>
      </c>
      <c r="E1178" s="5" t="s">
        <v>49</v>
      </c>
      <c r="F1178" s="5" t="s">
        <v>50</v>
      </c>
      <c r="G1178" s="5" t="s">
        <v>43</v>
      </c>
      <c r="H1178" s="5" t="s">
        <v>44</v>
      </c>
      <c r="I1178" s="5" t="s">
        <v>45</v>
      </c>
      <c r="J1178" s="5">
        <v>262</v>
      </c>
      <c r="K1178" s="7">
        <v>290.38579122853963</v>
      </c>
      <c r="L1178" s="5">
        <v>1</v>
      </c>
      <c r="M1178" s="5">
        <v>10</v>
      </c>
      <c r="N1178" s="8">
        <f t="shared" si="0"/>
        <v>261.34721210568568</v>
      </c>
      <c r="O1178" s="5">
        <f t="shared" si="1"/>
        <v>262</v>
      </c>
      <c r="P1178" s="5">
        <f t="shared" si="2"/>
        <v>-0.65278789431431505</v>
      </c>
      <c r="Q1178" s="5" t="s">
        <v>83</v>
      </c>
      <c r="R1178" s="5" t="s">
        <v>32</v>
      </c>
      <c r="S1178" s="6">
        <v>45294</v>
      </c>
      <c r="T1178" s="5">
        <v>4</v>
      </c>
      <c r="U1178" s="5">
        <v>3</v>
      </c>
      <c r="V1178" s="5" t="s">
        <v>33</v>
      </c>
      <c r="W1178" s="5">
        <f t="shared" si="3"/>
        <v>0</v>
      </c>
    </row>
    <row r="1179" spans="1:23" ht="15.75" customHeight="1" x14ac:dyDescent="0.25">
      <c r="A1179" s="5" t="s">
        <v>1562</v>
      </c>
      <c r="B1179" s="6">
        <v>45286</v>
      </c>
      <c r="C1179" s="5" t="s">
        <v>765</v>
      </c>
      <c r="D1179" s="5" t="s">
        <v>208</v>
      </c>
      <c r="E1179" s="5" t="s">
        <v>37</v>
      </c>
      <c r="F1179" s="5" t="s">
        <v>38</v>
      </c>
      <c r="G1179" s="5" t="s">
        <v>70</v>
      </c>
      <c r="H1179" s="5" t="s">
        <v>44</v>
      </c>
      <c r="I1179" s="5" t="s">
        <v>71</v>
      </c>
      <c r="J1179" s="5">
        <v>1827</v>
      </c>
      <c r="K1179" s="7">
        <v>2306.2664172116451</v>
      </c>
      <c r="L1179" s="5">
        <v>2</v>
      </c>
      <c r="M1179" s="5">
        <v>20</v>
      </c>
      <c r="N1179" s="8">
        <f t="shared" si="0"/>
        <v>3690.0262675386325</v>
      </c>
      <c r="O1179" s="5">
        <f t="shared" si="1"/>
        <v>3654</v>
      </c>
      <c r="P1179" s="5">
        <f t="shared" si="2"/>
        <v>36.02626753863251</v>
      </c>
      <c r="Q1179" s="5" t="s">
        <v>46</v>
      </c>
      <c r="R1179" s="5" t="s">
        <v>32</v>
      </c>
      <c r="S1179" s="6">
        <v>45294</v>
      </c>
      <c r="T1179" s="5">
        <v>2</v>
      </c>
      <c r="U1179" s="5">
        <v>5</v>
      </c>
      <c r="V1179" s="5" t="s">
        <v>33</v>
      </c>
      <c r="W1179" s="5">
        <f t="shared" si="3"/>
        <v>0</v>
      </c>
    </row>
    <row r="1180" spans="1:23" ht="15.75" customHeight="1" x14ac:dyDescent="0.25">
      <c r="A1180" s="5" t="s">
        <v>1563</v>
      </c>
      <c r="B1180" s="6">
        <v>45286</v>
      </c>
      <c r="C1180" s="5" t="s">
        <v>459</v>
      </c>
      <c r="D1180" s="5" t="s">
        <v>150</v>
      </c>
      <c r="E1180" s="5" t="s">
        <v>60</v>
      </c>
      <c r="F1180" s="5" t="s">
        <v>61</v>
      </c>
      <c r="G1180" s="5" t="s">
        <v>87</v>
      </c>
      <c r="H1180" s="5" t="s">
        <v>29</v>
      </c>
      <c r="I1180" s="5" t="s">
        <v>88</v>
      </c>
      <c r="J1180" s="5">
        <v>24788</v>
      </c>
      <c r="K1180" s="7">
        <v>33836.796284206481</v>
      </c>
      <c r="L1180" s="5">
        <v>2</v>
      </c>
      <c r="M1180" s="5">
        <v>0</v>
      </c>
      <c r="N1180" s="8">
        <f t="shared" si="0"/>
        <v>67673.592568412962</v>
      </c>
      <c r="O1180" s="5">
        <f t="shared" si="1"/>
        <v>49576</v>
      </c>
      <c r="P1180" s="5">
        <f t="shared" si="2"/>
        <v>18097.592568412962</v>
      </c>
      <c r="Q1180" s="5" t="s">
        <v>39</v>
      </c>
      <c r="R1180" s="5" t="s">
        <v>32</v>
      </c>
      <c r="S1180" s="6">
        <v>45295</v>
      </c>
      <c r="T1180" s="5">
        <v>2</v>
      </c>
      <c r="U1180" s="5">
        <v>5</v>
      </c>
      <c r="V1180" s="5" t="s">
        <v>33</v>
      </c>
      <c r="W1180" s="5">
        <f t="shared" si="3"/>
        <v>0</v>
      </c>
    </row>
    <row r="1181" spans="1:23" ht="15.75" customHeight="1" x14ac:dyDescent="0.25">
      <c r="A1181" s="5" t="s">
        <v>1564</v>
      </c>
      <c r="B1181" s="6">
        <v>45287</v>
      </c>
      <c r="C1181" s="5" t="s">
        <v>410</v>
      </c>
      <c r="D1181" s="5" t="s">
        <v>181</v>
      </c>
      <c r="E1181" s="5" t="s">
        <v>80</v>
      </c>
      <c r="F1181" s="5" t="s">
        <v>80</v>
      </c>
      <c r="G1181" s="5" t="s">
        <v>87</v>
      </c>
      <c r="H1181" s="5" t="s">
        <v>29</v>
      </c>
      <c r="I1181" s="5" t="s">
        <v>88</v>
      </c>
      <c r="J1181" s="5">
        <v>27418</v>
      </c>
      <c r="K1181" s="7">
        <v>45118.097585303862</v>
      </c>
      <c r="L1181" s="5">
        <v>3</v>
      </c>
      <c r="M1181" s="5">
        <v>15</v>
      </c>
      <c r="N1181" s="8">
        <f t="shared" si="0"/>
        <v>115051.14884252485</v>
      </c>
      <c r="O1181" s="5">
        <f t="shared" si="1"/>
        <v>82254</v>
      </c>
      <c r="P1181" s="5">
        <f t="shared" si="2"/>
        <v>32797.148842524854</v>
      </c>
      <c r="Q1181" s="5" t="s">
        <v>31</v>
      </c>
      <c r="R1181" s="5" t="s">
        <v>32</v>
      </c>
      <c r="S1181" s="6">
        <v>45294</v>
      </c>
      <c r="T1181" s="5">
        <v>3</v>
      </c>
      <c r="U1181" s="5">
        <v>3</v>
      </c>
      <c r="V1181" s="5" t="s">
        <v>33</v>
      </c>
      <c r="W1181" s="5">
        <f t="shared" si="3"/>
        <v>0</v>
      </c>
    </row>
    <row r="1182" spans="1:23" ht="15.75" customHeight="1" x14ac:dyDescent="0.25">
      <c r="A1182" s="5" t="s">
        <v>1565</v>
      </c>
      <c r="B1182" s="6">
        <v>45287</v>
      </c>
      <c r="C1182" s="5" t="s">
        <v>1566</v>
      </c>
      <c r="D1182" s="5" t="s">
        <v>116</v>
      </c>
      <c r="E1182" s="5" t="s">
        <v>54</v>
      </c>
      <c r="F1182" s="5" t="s">
        <v>55</v>
      </c>
      <c r="G1182" s="5" t="s">
        <v>106</v>
      </c>
      <c r="H1182" s="5" t="s">
        <v>98</v>
      </c>
      <c r="I1182" s="5" t="s">
        <v>107</v>
      </c>
      <c r="J1182" s="5">
        <v>817</v>
      </c>
      <c r="K1182" s="7">
        <v>1043.5576777016317</v>
      </c>
      <c r="L1182" s="5">
        <v>5</v>
      </c>
      <c r="M1182" s="5">
        <v>5</v>
      </c>
      <c r="N1182" s="8">
        <f t="shared" si="0"/>
        <v>4956.8989690827511</v>
      </c>
      <c r="O1182" s="5">
        <f t="shared" si="1"/>
        <v>4085</v>
      </c>
      <c r="P1182" s="5">
        <f t="shared" si="2"/>
        <v>871.89896908275114</v>
      </c>
      <c r="Q1182" s="5" t="s">
        <v>39</v>
      </c>
      <c r="R1182" s="5" t="s">
        <v>32</v>
      </c>
      <c r="S1182" s="6">
        <v>45291</v>
      </c>
      <c r="T1182" s="5">
        <v>1</v>
      </c>
      <c r="U1182" s="5">
        <v>5</v>
      </c>
      <c r="V1182" s="5" t="s">
        <v>33</v>
      </c>
      <c r="W1182" s="5">
        <f t="shared" si="3"/>
        <v>0</v>
      </c>
    </row>
    <row r="1183" spans="1:23" ht="15.75" customHeight="1" x14ac:dyDescent="0.25">
      <c r="A1183" s="5" t="s">
        <v>1567</v>
      </c>
      <c r="B1183" s="6">
        <v>45287</v>
      </c>
      <c r="C1183" s="5" t="s">
        <v>197</v>
      </c>
      <c r="D1183" s="5" t="s">
        <v>135</v>
      </c>
      <c r="E1183" s="5" t="s">
        <v>49</v>
      </c>
      <c r="F1183" s="5" t="s">
        <v>50</v>
      </c>
      <c r="G1183" s="5" t="s">
        <v>43</v>
      </c>
      <c r="H1183" s="5" t="s">
        <v>44</v>
      </c>
      <c r="I1183" s="5" t="s">
        <v>45</v>
      </c>
      <c r="J1183" s="5">
        <v>455</v>
      </c>
      <c r="K1183" s="7">
        <v>600.76527486414977</v>
      </c>
      <c r="L1183" s="5">
        <v>1</v>
      </c>
      <c r="M1183" s="5">
        <v>15</v>
      </c>
      <c r="N1183" s="8">
        <f t="shared" si="0"/>
        <v>510.65048363452729</v>
      </c>
      <c r="O1183" s="5">
        <f t="shared" si="1"/>
        <v>455</v>
      </c>
      <c r="P1183" s="5">
        <f t="shared" si="2"/>
        <v>55.650483634527291</v>
      </c>
      <c r="Q1183" s="5" t="s">
        <v>31</v>
      </c>
      <c r="R1183" s="5" t="s">
        <v>32</v>
      </c>
      <c r="S1183" s="6">
        <v>45294</v>
      </c>
      <c r="T1183" s="5">
        <v>3</v>
      </c>
      <c r="U1183" s="5">
        <v>3</v>
      </c>
      <c r="V1183" s="5" t="s">
        <v>33</v>
      </c>
      <c r="W1183" s="5">
        <f t="shared" si="3"/>
        <v>0</v>
      </c>
    </row>
    <row r="1184" spans="1:23" ht="15.75" customHeight="1" x14ac:dyDescent="0.25">
      <c r="A1184" s="5" t="s">
        <v>1568</v>
      </c>
      <c r="B1184" s="6">
        <v>45287</v>
      </c>
      <c r="C1184" s="5" t="s">
        <v>212</v>
      </c>
      <c r="D1184" s="5" t="s">
        <v>25</v>
      </c>
      <c r="E1184" s="5" t="s">
        <v>60</v>
      </c>
      <c r="F1184" s="5" t="s">
        <v>61</v>
      </c>
      <c r="G1184" s="5" t="s">
        <v>87</v>
      </c>
      <c r="H1184" s="5" t="s">
        <v>29</v>
      </c>
      <c r="I1184" s="5" t="s">
        <v>88</v>
      </c>
      <c r="J1184" s="5">
        <v>26995</v>
      </c>
      <c r="K1184" s="7">
        <v>38240.155503383423</v>
      </c>
      <c r="L1184" s="5">
        <v>4</v>
      </c>
      <c r="M1184" s="5">
        <v>0</v>
      </c>
      <c r="N1184" s="8">
        <f t="shared" si="0"/>
        <v>152960.62201353369</v>
      </c>
      <c r="O1184" s="5">
        <f t="shared" si="1"/>
        <v>107980</v>
      </c>
      <c r="P1184" s="5">
        <f t="shared" si="2"/>
        <v>44980.622013533692</v>
      </c>
      <c r="Q1184" s="5" t="s">
        <v>83</v>
      </c>
      <c r="R1184" s="5" t="s">
        <v>32</v>
      </c>
      <c r="S1184" s="6">
        <v>45301</v>
      </c>
      <c r="T1184" s="5">
        <v>8</v>
      </c>
      <c r="U1184" s="5">
        <v>3</v>
      </c>
      <c r="V1184" s="5" t="s">
        <v>33</v>
      </c>
      <c r="W1184" s="5">
        <f t="shared" si="3"/>
        <v>0</v>
      </c>
    </row>
    <row r="1185" spans="1:23" ht="15.75" customHeight="1" x14ac:dyDescent="0.25">
      <c r="A1185" s="5" t="s">
        <v>1569</v>
      </c>
      <c r="B1185" s="6">
        <v>45288</v>
      </c>
      <c r="C1185" s="5" t="s">
        <v>346</v>
      </c>
      <c r="D1185" s="5" t="s">
        <v>116</v>
      </c>
      <c r="E1185" s="5" t="s">
        <v>60</v>
      </c>
      <c r="F1185" s="5" t="s">
        <v>61</v>
      </c>
      <c r="G1185" s="5" t="s">
        <v>81</v>
      </c>
      <c r="H1185" s="5" t="s">
        <v>44</v>
      </c>
      <c r="I1185" s="5" t="s">
        <v>82</v>
      </c>
      <c r="J1185" s="5">
        <v>2294</v>
      </c>
      <c r="K1185" s="7">
        <v>3476.3274241216668</v>
      </c>
      <c r="L1185" s="5">
        <v>5</v>
      </c>
      <c r="M1185" s="5">
        <v>5</v>
      </c>
      <c r="N1185" s="8">
        <f t="shared" si="0"/>
        <v>16512.555264577917</v>
      </c>
      <c r="O1185" s="5">
        <f t="shared" si="1"/>
        <v>11470</v>
      </c>
      <c r="P1185" s="5">
        <f t="shared" si="2"/>
        <v>5042.5552645779171</v>
      </c>
      <c r="Q1185" s="5" t="s">
        <v>31</v>
      </c>
      <c r="R1185" s="5" t="s">
        <v>56</v>
      </c>
      <c r="T1185" s="5">
        <v>8</v>
      </c>
      <c r="U1185" s="5">
        <v>4</v>
      </c>
      <c r="W1185" s="5">
        <f t="shared" si="3"/>
        <v>0</v>
      </c>
    </row>
    <row r="1186" spans="1:23" ht="15.75" customHeight="1" x14ac:dyDescent="0.25">
      <c r="A1186" s="5" t="s">
        <v>1570</v>
      </c>
      <c r="B1186" s="6">
        <v>45288</v>
      </c>
      <c r="C1186" s="5" t="s">
        <v>848</v>
      </c>
      <c r="D1186" s="5" t="s">
        <v>53</v>
      </c>
      <c r="E1186" s="5" t="s">
        <v>69</v>
      </c>
      <c r="F1186" s="5" t="s">
        <v>55</v>
      </c>
      <c r="G1186" s="5" t="s">
        <v>43</v>
      </c>
      <c r="H1186" s="5" t="s">
        <v>44</v>
      </c>
      <c r="I1186" s="5" t="s">
        <v>45</v>
      </c>
      <c r="J1186" s="5">
        <v>673</v>
      </c>
      <c r="K1186" s="7">
        <v>744.7503535730317</v>
      </c>
      <c r="L1186" s="5">
        <v>4</v>
      </c>
      <c r="M1186" s="5">
        <v>20</v>
      </c>
      <c r="N1186" s="8">
        <f t="shared" si="0"/>
        <v>2383.2011314337014</v>
      </c>
      <c r="O1186" s="5">
        <f t="shared" si="1"/>
        <v>2692</v>
      </c>
      <c r="P1186" s="5">
        <f t="shared" si="2"/>
        <v>-308.79886856629855</v>
      </c>
      <c r="Q1186" s="5" t="s">
        <v>46</v>
      </c>
      <c r="R1186" s="5" t="s">
        <v>32</v>
      </c>
      <c r="S1186" s="6">
        <v>45300</v>
      </c>
      <c r="T1186" s="5">
        <v>6</v>
      </c>
      <c r="U1186" s="5">
        <v>4</v>
      </c>
      <c r="V1186" s="5" t="s">
        <v>89</v>
      </c>
      <c r="W1186" s="5">
        <f t="shared" si="3"/>
        <v>1</v>
      </c>
    </row>
    <row r="1187" spans="1:23" ht="15.75" customHeight="1" x14ac:dyDescent="0.25">
      <c r="A1187" s="5" t="s">
        <v>1571</v>
      </c>
      <c r="B1187" s="6">
        <v>45288</v>
      </c>
      <c r="C1187" s="5" t="s">
        <v>974</v>
      </c>
      <c r="D1187" s="5" t="s">
        <v>86</v>
      </c>
      <c r="E1187" s="5" t="s">
        <v>26</v>
      </c>
      <c r="F1187" s="5" t="s">
        <v>27</v>
      </c>
      <c r="G1187" s="5" t="s">
        <v>119</v>
      </c>
      <c r="H1187" s="5" t="s">
        <v>76</v>
      </c>
      <c r="I1187" s="5" t="s">
        <v>120</v>
      </c>
      <c r="J1187" s="5">
        <v>65539</v>
      </c>
      <c r="K1187" s="7">
        <v>77434.604696846</v>
      </c>
      <c r="L1187" s="5">
        <v>5</v>
      </c>
      <c r="M1187" s="5">
        <v>20</v>
      </c>
      <c r="N1187" s="8">
        <f t="shared" si="0"/>
        <v>309738.418787384</v>
      </c>
      <c r="O1187" s="5">
        <f t="shared" si="1"/>
        <v>327695</v>
      </c>
      <c r="P1187" s="5">
        <f t="shared" si="2"/>
        <v>-17956.581212616002</v>
      </c>
      <c r="Q1187" s="5" t="s">
        <v>39</v>
      </c>
      <c r="R1187" s="5" t="s">
        <v>32</v>
      </c>
      <c r="S1187" s="6">
        <v>45296</v>
      </c>
      <c r="T1187" s="5">
        <v>5</v>
      </c>
      <c r="U1187" s="5">
        <v>3</v>
      </c>
      <c r="V1187" s="5" t="s">
        <v>33</v>
      </c>
      <c r="W1187" s="5">
        <f t="shared" si="3"/>
        <v>0</v>
      </c>
    </row>
    <row r="1188" spans="1:23" ht="15.75" customHeight="1" x14ac:dyDescent="0.25">
      <c r="A1188" s="5" t="s">
        <v>1572</v>
      </c>
      <c r="B1188" s="6">
        <v>45288</v>
      </c>
      <c r="C1188" s="5" t="s">
        <v>596</v>
      </c>
      <c r="D1188" s="5" t="s">
        <v>138</v>
      </c>
      <c r="E1188" s="5" t="s">
        <v>112</v>
      </c>
      <c r="F1188" s="5" t="s">
        <v>113</v>
      </c>
      <c r="G1188" s="5" t="s">
        <v>70</v>
      </c>
      <c r="H1188" s="5" t="s">
        <v>44</v>
      </c>
      <c r="I1188" s="5" t="s">
        <v>71</v>
      </c>
      <c r="J1188" s="5">
        <v>1821</v>
      </c>
      <c r="K1188" s="7">
        <v>2932.8434243311031</v>
      </c>
      <c r="L1188" s="5">
        <v>1</v>
      </c>
      <c r="M1188" s="5">
        <v>0</v>
      </c>
      <c r="N1188" s="8">
        <f t="shared" si="0"/>
        <v>2932.8434243311031</v>
      </c>
      <c r="O1188" s="5">
        <f t="shared" si="1"/>
        <v>1821</v>
      </c>
      <c r="P1188" s="5">
        <f t="shared" si="2"/>
        <v>1111.8434243311031</v>
      </c>
      <c r="Q1188" s="5" t="s">
        <v>46</v>
      </c>
      <c r="R1188" s="5" t="s">
        <v>32</v>
      </c>
      <c r="S1188" s="6">
        <v>45295</v>
      </c>
      <c r="T1188" s="5">
        <v>3</v>
      </c>
      <c r="U1188" s="5">
        <v>3</v>
      </c>
      <c r="V1188" s="5" t="s">
        <v>33</v>
      </c>
      <c r="W1188" s="5">
        <f t="shared" si="3"/>
        <v>0</v>
      </c>
    </row>
    <row r="1189" spans="1:23" ht="15.75" customHeight="1" x14ac:dyDescent="0.25">
      <c r="A1189" s="5" t="s">
        <v>1573</v>
      </c>
      <c r="B1189" s="6">
        <v>45288</v>
      </c>
      <c r="C1189" s="5" t="s">
        <v>259</v>
      </c>
      <c r="D1189" s="5" t="s">
        <v>59</v>
      </c>
      <c r="E1189" s="5" t="s">
        <v>37</v>
      </c>
      <c r="F1189" s="5" t="s">
        <v>38</v>
      </c>
      <c r="G1189" s="5" t="s">
        <v>75</v>
      </c>
      <c r="H1189" s="5" t="s">
        <v>76</v>
      </c>
      <c r="I1189" s="5" t="s">
        <v>77</v>
      </c>
      <c r="J1189" s="5">
        <v>1702</v>
      </c>
      <c r="K1189" s="7">
        <v>2186.9905169953599</v>
      </c>
      <c r="L1189" s="5">
        <v>4</v>
      </c>
      <c r="M1189" s="5">
        <v>5</v>
      </c>
      <c r="N1189" s="8">
        <f t="shared" si="0"/>
        <v>8310.5639645823667</v>
      </c>
      <c r="O1189" s="5">
        <f t="shared" si="1"/>
        <v>6808</v>
      </c>
      <c r="P1189" s="5">
        <f t="shared" si="2"/>
        <v>1502.5639645823667</v>
      </c>
      <c r="Q1189" s="5" t="s">
        <v>31</v>
      </c>
      <c r="R1189" s="5" t="s">
        <v>32</v>
      </c>
      <c r="S1189" s="6">
        <v>45295</v>
      </c>
      <c r="T1189" s="5">
        <v>4</v>
      </c>
      <c r="U1189" s="5">
        <v>2</v>
      </c>
      <c r="V1189" s="5" t="s">
        <v>33</v>
      </c>
      <c r="W1189" s="5">
        <f t="shared" si="3"/>
        <v>0</v>
      </c>
    </row>
    <row r="1190" spans="1:23" ht="15.75" customHeight="1" x14ac:dyDescent="0.25">
      <c r="A1190" s="5" t="s">
        <v>1574</v>
      </c>
      <c r="B1190" s="6">
        <v>45289</v>
      </c>
      <c r="C1190" s="5" t="s">
        <v>611</v>
      </c>
      <c r="D1190" s="5" t="s">
        <v>188</v>
      </c>
      <c r="E1190" s="5" t="s">
        <v>54</v>
      </c>
      <c r="F1190" s="5" t="s">
        <v>55</v>
      </c>
      <c r="G1190" s="5" t="s">
        <v>70</v>
      </c>
      <c r="H1190" s="5" t="s">
        <v>44</v>
      </c>
      <c r="I1190" s="5" t="s">
        <v>71</v>
      </c>
      <c r="J1190" s="5">
        <v>1323</v>
      </c>
      <c r="K1190" s="7">
        <v>1987.7490739616171</v>
      </c>
      <c r="L1190" s="5">
        <v>3</v>
      </c>
      <c r="M1190" s="5">
        <v>10</v>
      </c>
      <c r="N1190" s="8">
        <f t="shared" si="0"/>
        <v>5366.9224996963667</v>
      </c>
      <c r="O1190" s="5">
        <f t="shared" si="1"/>
        <v>3969</v>
      </c>
      <c r="P1190" s="5">
        <f t="shared" si="2"/>
        <v>1397.9224996963667</v>
      </c>
      <c r="Q1190" s="5" t="s">
        <v>39</v>
      </c>
      <c r="R1190" s="5" t="s">
        <v>32</v>
      </c>
      <c r="S1190" s="6">
        <v>45296</v>
      </c>
      <c r="T1190" s="5">
        <v>2</v>
      </c>
      <c r="U1190" s="5">
        <v>4</v>
      </c>
      <c r="V1190" s="5" t="s">
        <v>33</v>
      </c>
      <c r="W1190" s="5">
        <f t="shared" si="3"/>
        <v>0</v>
      </c>
    </row>
    <row r="1191" spans="1:23" ht="15.75" customHeight="1" x14ac:dyDescent="0.25">
      <c r="A1191" s="5" t="s">
        <v>1575</v>
      </c>
      <c r="B1191" s="6">
        <v>45289</v>
      </c>
      <c r="C1191" s="5" t="s">
        <v>571</v>
      </c>
      <c r="D1191" s="5" t="s">
        <v>53</v>
      </c>
      <c r="E1191" s="5" t="s">
        <v>80</v>
      </c>
      <c r="F1191" s="5" t="s">
        <v>80</v>
      </c>
      <c r="G1191" s="5" t="s">
        <v>43</v>
      </c>
      <c r="H1191" s="5" t="s">
        <v>44</v>
      </c>
      <c r="I1191" s="5" t="s">
        <v>45</v>
      </c>
      <c r="J1191" s="5">
        <v>637</v>
      </c>
      <c r="K1191" s="7">
        <v>812.01401934568059</v>
      </c>
      <c r="L1191" s="5">
        <v>4</v>
      </c>
      <c r="M1191" s="5">
        <v>0</v>
      </c>
      <c r="N1191" s="8">
        <f t="shared" si="0"/>
        <v>3248.0560773827224</v>
      </c>
      <c r="O1191" s="5">
        <f t="shared" si="1"/>
        <v>2548</v>
      </c>
      <c r="P1191" s="5">
        <f t="shared" si="2"/>
        <v>700.05607738272238</v>
      </c>
      <c r="Q1191" s="5" t="s">
        <v>39</v>
      </c>
      <c r="R1191" s="5" t="s">
        <v>56</v>
      </c>
      <c r="T1191" s="5">
        <v>7</v>
      </c>
      <c r="U1191" s="5">
        <v>2</v>
      </c>
      <c r="W1191" s="5">
        <f t="shared" si="3"/>
        <v>0</v>
      </c>
    </row>
    <row r="1192" spans="1:23" ht="15.75" customHeight="1" x14ac:dyDescent="0.25">
      <c r="A1192" s="5" t="s">
        <v>1576</v>
      </c>
      <c r="B1192" s="6">
        <v>45290</v>
      </c>
      <c r="C1192" s="5" t="s">
        <v>884</v>
      </c>
      <c r="D1192" s="5" t="s">
        <v>74</v>
      </c>
      <c r="E1192" s="5" t="s">
        <v>54</v>
      </c>
      <c r="F1192" s="5" t="s">
        <v>55</v>
      </c>
      <c r="G1192" s="5" t="s">
        <v>81</v>
      </c>
      <c r="H1192" s="5" t="s">
        <v>44</v>
      </c>
      <c r="I1192" s="5" t="s">
        <v>82</v>
      </c>
      <c r="J1192" s="5">
        <v>2645</v>
      </c>
      <c r="K1192" s="7">
        <v>3597.7870070919162</v>
      </c>
      <c r="L1192" s="5">
        <v>3</v>
      </c>
      <c r="M1192" s="5">
        <v>5</v>
      </c>
      <c r="N1192" s="8">
        <f t="shared" si="0"/>
        <v>10253.692970211961</v>
      </c>
      <c r="O1192" s="5">
        <f t="shared" si="1"/>
        <v>7935</v>
      </c>
      <c r="P1192" s="5">
        <f t="shared" si="2"/>
        <v>2318.6929702119614</v>
      </c>
      <c r="Q1192" s="5" t="s">
        <v>39</v>
      </c>
      <c r="R1192" s="5" t="s">
        <v>56</v>
      </c>
      <c r="T1192" s="5">
        <v>10</v>
      </c>
      <c r="U1192" s="5">
        <v>1</v>
      </c>
      <c r="W1192" s="5">
        <f t="shared" si="3"/>
        <v>0</v>
      </c>
    </row>
    <row r="1193" spans="1:23" ht="15.75" customHeight="1" x14ac:dyDescent="0.25">
      <c r="A1193" s="5" t="s">
        <v>1577</v>
      </c>
      <c r="B1193" s="6">
        <v>45290</v>
      </c>
      <c r="C1193" s="5" t="s">
        <v>635</v>
      </c>
      <c r="D1193" s="5" t="s">
        <v>36</v>
      </c>
      <c r="E1193" s="5" t="s">
        <v>37</v>
      </c>
      <c r="F1193" s="5" t="s">
        <v>38</v>
      </c>
      <c r="G1193" s="5" t="s">
        <v>28</v>
      </c>
      <c r="H1193" s="5" t="s">
        <v>29</v>
      </c>
      <c r="I1193" s="5" t="s">
        <v>30</v>
      </c>
      <c r="J1193" s="5">
        <v>4361</v>
      </c>
      <c r="K1193" s="7">
        <v>4543.0859256377362</v>
      </c>
      <c r="L1193" s="5">
        <v>3</v>
      </c>
      <c r="M1193" s="5">
        <v>10</v>
      </c>
      <c r="N1193" s="8">
        <f t="shared" si="0"/>
        <v>12266.331999221888</v>
      </c>
      <c r="O1193" s="5">
        <f t="shared" si="1"/>
        <v>13083</v>
      </c>
      <c r="P1193" s="5">
        <f t="shared" si="2"/>
        <v>-816.6680007781124</v>
      </c>
      <c r="Q1193" s="5" t="s">
        <v>46</v>
      </c>
      <c r="R1193" s="5" t="s">
        <v>32</v>
      </c>
      <c r="S1193" s="6">
        <v>45298</v>
      </c>
      <c r="T1193" s="5">
        <v>5</v>
      </c>
      <c r="U1193" s="5">
        <v>4</v>
      </c>
      <c r="V1193" s="5" t="s">
        <v>33</v>
      </c>
      <c r="W1193" s="5">
        <f t="shared" si="3"/>
        <v>0</v>
      </c>
    </row>
    <row r="1194" spans="1:23" ht="15.75" customHeight="1" x14ac:dyDescent="0.25">
      <c r="A1194" s="5" t="s">
        <v>1578</v>
      </c>
      <c r="B1194" s="6">
        <v>45291</v>
      </c>
      <c r="C1194" s="5" t="s">
        <v>1374</v>
      </c>
      <c r="D1194" s="5" t="s">
        <v>148</v>
      </c>
      <c r="E1194" s="5" t="s">
        <v>37</v>
      </c>
      <c r="F1194" s="5" t="s">
        <v>38</v>
      </c>
      <c r="G1194" s="5" t="s">
        <v>106</v>
      </c>
      <c r="H1194" s="5" t="s">
        <v>98</v>
      </c>
      <c r="I1194" s="5" t="s">
        <v>107</v>
      </c>
      <c r="J1194" s="5">
        <v>773</v>
      </c>
      <c r="K1194" s="7">
        <v>1209.0271375313939</v>
      </c>
      <c r="L1194" s="5">
        <v>5</v>
      </c>
      <c r="M1194" s="5">
        <v>5</v>
      </c>
      <c r="N1194" s="8">
        <f t="shared" si="0"/>
        <v>5742.8789032741215</v>
      </c>
      <c r="O1194" s="5">
        <f t="shared" si="1"/>
        <v>3865</v>
      </c>
      <c r="P1194" s="5">
        <f t="shared" si="2"/>
        <v>1877.8789032741215</v>
      </c>
      <c r="Q1194" s="5" t="s">
        <v>46</v>
      </c>
      <c r="R1194" s="5" t="s">
        <v>32</v>
      </c>
      <c r="S1194" s="6">
        <v>45299</v>
      </c>
      <c r="T1194" s="5">
        <v>1</v>
      </c>
      <c r="U1194" s="5">
        <v>4</v>
      </c>
      <c r="V1194" s="5" t="s">
        <v>33</v>
      </c>
      <c r="W1194" s="5">
        <f t="shared" si="3"/>
        <v>0</v>
      </c>
    </row>
    <row r="1195" spans="1:23" ht="15.75" customHeight="1" x14ac:dyDescent="0.25">
      <c r="A1195" s="5" t="s">
        <v>1579</v>
      </c>
      <c r="B1195" s="6">
        <v>45291</v>
      </c>
      <c r="C1195" s="5" t="s">
        <v>775</v>
      </c>
      <c r="D1195" s="5" t="s">
        <v>184</v>
      </c>
      <c r="E1195" s="5" t="s">
        <v>69</v>
      </c>
      <c r="F1195" s="5" t="s">
        <v>55</v>
      </c>
      <c r="G1195" s="5" t="s">
        <v>81</v>
      </c>
      <c r="H1195" s="5" t="s">
        <v>44</v>
      </c>
      <c r="I1195" s="5" t="s">
        <v>82</v>
      </c>
      <c r="J1195" s="5">
        <v>897</v>
      </c>
      <c r="K1195" s="7">
        <v>1500.7374147485591</v>
      </c>
      <c r="L1195" s="5">
        <v>3</v>
      </c>
      <c r="M1195" s="5">
        <v>10</v>
      </c>
      <c r="N1195" s="8">
        <f t="shared" si="0"/>
        <v>4051.9910198211101</v>
      </c>
      <c r="O1195" s="5">
        <f t="shared" si="1"/>
        <v>2691</v>
      </c>
      <c r="P1195" s="5">
        <f t="shared" si="2"/>
        <v>1360.9910198211101</v>
      </c>
      <c r="Q1195" s="5" t="s">
        <v>83</v>
      </c>
      <c r="R1195" s="5" t="s">
        <v>32</v>
      </c>
      <c r="S1195" s="6">
        <v>45301</v>
      </c>
      <c r="T1195" s="5">
        <v>4</v>
      </c>
      <c r="U1195" s="5">
        <v>2</v>
      </c>
      <c r="V1195" s="5" t="s">
        <v>33</v>
      </c>
      <c r="W1195" s="5">
        <f t="shared" si="3"/>
        <v>0</v>
      </c>
    </row>
    <row r="1196" spans="1:23" ht="15.75" customHeight="1" x14ac:dyDescent="0.25">
      <c r="A1196" s="5" t="s">
        <v>1580</v>
      </c>
      <c r="B1196" s="6">
        <v>45291</v>
      </c>
      <c r="C1196" s="5" t="s">
        <v>796</v>
      </c>
      <c r="D1196" s="5" t="s">
        <v>150</v>
      </c>
      <c r="E1196" s="5" t="s">
        <v>60</v>
      </c>
      <c r="F1196" s="5" t="s">
        <v>61</v>
      </c>
      <c r="G1196" s="5" t="s">
        <v>70</v>
      </c>
      <c r="H1196" s="5" t="s">
        <v>44</v>
      </c>
      <c r="I1196" s="5" t="s">
        <v>71</v>
      </c>
      <c r="J1196" s="5">
        <v>1521</v>
      </c>
      <c r="K1196" s="7">
        <v>2151.2347821694248</v>
      </c>
      <c r="L1196" s="5">
        <v>1</v>
      </c>
      <c r="M1196" s="5">
        <v>20</v>
      </c>
      <c r="N1196" s="8">
        <f t="shared" si="0"/>
        <v>1720.9878257355399</v>
      </c>
      <c r="O1196" s="5">
        <f t="shared" si="1"/>
        <v>1521</v>
      </c>
      <c r="P1196" s="5">
        <f t="shared" si="2"/>
        <v>199.9878257355399</v>
      </c>
      <c r="Q1196" s="5" t="s">
        <v>83</v>
      </c>
      <c r="R1196" s="5" t="s">
        <v>32</v>
      </c>
      <c r="S1196" s="6">
        <v>45300</v>
      </c>
      <c r="T1196" s="5">
        <v>4</v>
      </c>
      <c r="U1196" s="5">
        <v>4</v>
      </c>
      <c r="V1196" s="5" t="s">
        <v>33</v>
      </c>
      <c r="W1196" s="5">
        <f t="shared" si="3"/>
        <v>0</v>
      </c>
    </row>
    <row r="1197" spans="1:23" ht="15.75" customHeight="1" x14ac:dyDescent="0.25">
      <c r="A1197" s="5" t="s">
        <v>1581</v>
      </c>
      <c r="B1197" s="6">
        <v>45291</v>
      </c>
      <c r="C1197" s="5" t="s">
        <v>496</v>
      </c>
      <c r="D1197" s="5" t="s">
        <v>25</v>
      </c>
      <c r="E1197" s="5" t="s">
        <v>49</v>
      </c>
      <c r="F1197" s="5" t="s">
        <v>50</v>
      </c>
      <c r="G1197" s="5" t="s">
        <v>81</v>
      </c>
      <c r="H1197" s="5" t="s">
        <v>44</v>
      </c>
      <c r="I1197" s="5" t="s">
        <v>82</v>
      </c>
      <c r="J1197" s="5">
        <v>2146</v>
      </c>
      <c r="K1197" s="7">
        <v>2267.9274692544418</v>
      </c>
      <c r="L1197" s="5">
        <v>4</v>
      </c>
      <c r="M1197" s="5">
        <v>15</v>
      </c>
      <c r="N1197" s="8">
        <f t="shared" si="0"/>
        <v>7710.9533954651015</v>
      </c>
      <c r="O1197" s="5">
        <f t="shared" si="1"/>
        <v>8584</v>
      </c>
      <c r="P1197" s="5">
        <f t="shared" si="2"/>
        <v>-873.04660453489851</v>
      </c>
      <c r="Q1197" s="5" t="s">
        <v>39</v>
      </c>
      <c r="R1197" s="5" t="s">
        <v>56</v>
      </c>
      <c r="T1197" s="5">
        <v>9</v>
      </c>
      <c r="U1197" s="5">
        <v>1</v>
      </c>
      <c r="W1197" s="5">
        <f t="shared" si="3"/>
        <v>0</v>
      </c>
    </row>
    <row r="1198" spans="1:23" ht="15.75" customHeight="1" x14ac:dyDescent="0.25">
      <c r="A1198" s="8" t="s">
        <v>1582</v>
      </c>
      <c r="B1198" s="10">
        <v>45291</v>
      </c>
      <c r="C1198" s="8" t="s">
        <v>796</v>
      </c>
      <c r="D1198" s="8" t="s">
        <v>150</v>
      </c>
      <c r="E1198" s="8" t="s">
        <v>60</v>
      </c>
      <c r="F1198" s="8" t="s">
        <v>61</v>
      </c>
      <c r="G1198" s="8" t="s">
        <v>81</v>
      </c>
      <c r="H1198" s="8" t="s">
        <v>44</v>
      </c>
      <c r="I1198" s="8" t="s">
        <v>82</v>
      </c>
      <c r="J1198" s="8">
        <v>2700</v>
      </c>
      <c r="K1198" s="11">
        <v>3470</v>
      </c>
      <c r="L1198" s="8">
        <v>2</v>
      </c>
      <c r="M1198" s="8">
        <v>5</v>
      </c>
      <c r="N1198" s="8">
        <f t="shared" si="0"/>
        <v>6593</v>
      </c>
      <c r="O1198" s="5">
        <f t="shared" si="1"/>
        <v>5400</v>
      </c>
      <c r="P1198" s="5">
        <f t="shared" si="2"/>
        <v>1193</v>
      </c>
      <c r="Q1198" s="8" t="s">
        <v>83</v>
      </c>
      <c r="R1198" s="8" t="s">
        <v>32</v>
      </c>
      <c r="S1198" s="10">
        <v>45296</v>
      </c>
      <c r="T1198" s="8">
        <v>2</v>
      </c>
      <c r="U1198" s="8">
        <v>4</v>
      </c>
      <c r="V1198" s="8" t="s">
        <v>33</v>
      </c>
      <c r="W1198" s="8">
        <v>0</v>
      </c>
    </row>
    <row r="1199" spans="1:23" ht="15.75" customHeight="1" x14ac:dyDescent="0.25">
      <c r="A1199" s="8" t="s">
        <v>1583</v>
      </c>
      <c r="B1199" s="12">
        <v>45657</v>
      </c>
      <c r="C1199" s="8" t="s">
        <v>496</v>
      </c>
      <c r="D1199" s="8" t="s">
        <v>25</v>
      </c>
      <c r="E1199" s="8" t="s">
        <v>49</v>
      </c>
      <c r="F1199" s="8" t="s">
        <v>50</v>
      </c>
      <c r="G1199" s="8" t="s">
        <v>106</v>
      </c>
      <c r="H1199" s="8" t="s">
        <v>98</v>
      </c>
      <c r="I1199" s="8" t="s">
        <v>107</v>
      </c>
      <c r="J1199" s="8">
        <v>793</v>
      </c>
      <c r="K1199" s="11">
        <v>900</v>
      </c>
      <c r="L1199" s="8">
        <v>3</v>
      </c>
      <c r="M1199" s="8">
        <v>0</v>
      </c>
      <c r="N1199" s="8">
        <f t="shared" si="0"/>
        <v>2700</v>
      </c>
      <c r="O1199" s="5">
        <f t="shared" si="1"/>
        <v>2379</v>
      </c>
      <c r="P1199" s="5">
        <f t="shared" si="2"/>
        <v>321</v>
      </c>
      <c r="Q1199" s="8" t="s">
        <v>46</v>
      </c>
      <c r="R1199" s="8" t="s">
        <v>32</v>
      </c>
      <c r="S1199" s="10">
        <v>45298</v>
      </c>
      <c r="T1199" s="8">
        <v>1</v>
      </c>
      <c r="U1199" s="8">
        <v>5</v>
      </c>
      <c r="V1199" s="8" t="s">
        <v>33</v>
      </c>
      <c r="W1199" s="8">
        <v>0</v>
      </c>
    </row>
    <row r="1200" spans="1:23" ht="15.75" customHeight="1" x14ac:dyDescent="0.25">
      <c r="B1200" s="6"/>
      <c r="K1200" s="7"/>
      <c r="N1200" s="8"/>
    </row>
    <row r="1201" spans="2:14" ht="15.75" customHeight="1" x14ac:dyDescent="0.25">
      <c r="B1201" s="6"/>
      <c r="K1201" s="7"/>
      <c r="N1201" s="8"/>
    </row>
    <row r="1202" spans="2:14" ht="15.75" customHeight="1" x14ac:dyDescent="0.25">
      <c r="B1202" s="6"/>
      <c r="K1202" s="7"/>
      <c r="N1202" s="8"/>
    </row>
    <row r="1203" spans="2:14" ht="15.75" customHeight="1" x14ac:dyDescent="0.25">
      <c r="B1203" s="6"/>
      <c r="K1203" s="7"/>
      <c r="N1203" s="8"/>
    </row>
    <row r="1204" spans="2:14" ht="15.75" customHeight="1" x14ac:dyDescent="0.25">
      <c r="B1204" s="6"/>
      <c r="K1204" s="7"/>
      <c r="N1204" s="8"/>
    </row>
    <row r="1205" spans="2:14" ht="15.75" customHeight="1" x14ac:dyDescent="0.25">
      <c r="B1205" s="6"/>
      <c r="K1205" s="7"/>
      <c r="N1205" s="8"/>
    </row>
    <row r="1206" spans="2:14" ht="15.75" customHeight="1" x14ac:dyDescent="0.25">
      <c r="B1206" s="6"/>
      <c r="K1206" s="7"/>
      <c r="N1206" s="8"/>
    </row>
    <row r="1207" spans="2:14" ht="15.75" customHeight="1" x14ac:dyDescent="0.25">
      <c r="B1207" s="6"/>
      <c r="K1207" s="7"/>
      <c r="N1207" s="8"/>
    </row>
    <row r="1208" spans="2:14" ht="15.75" customHeight="1" x14ac:dyDescent="0.25">
      <c r="B1208" s="6"/>
      <c r="K1208" s="7"/>
      <c r="N1208" s="8"/>
    </row>
    <row r="1209" spans="2:14" ht="15.75" customHeight="1" x14ac:dyDescent="0.25">
      <c r="B1209" s="6"/>
      <c r="K1209" s="7"/>
      <c r="N1209" s="8"/>
    </row>
    <row r="1210" spans="2:14" ht="15.75" customHeight="1" x14ac:dyDescent="0.25">
      <c r="B1210" s="6"/>
      <c r="K1210" s="7"/>
      <c r="N1210" s="8"/>
    </row>
    <row r="1211" spans="2:14" ht="15.75" customHeight="1" x14ac:dyDescent="0.25">
      <c r="B1211" s="6"/>
      <c r="K1211" s="7"/>
      <c r="N1211" s="8"/>
    </row>
    <row r="1212" spans="2:14" ht="15.75" customHeight="1" x14ac:dyDescent="0.25">
      <c r="B1212" s="6"/>
      <c r="K1212" s="7"/>
      <c r="N1212" s="8"/>
    </row>
    <row r="1213" spans="2:14" ht="15.75" customHeight="1" x14ac:dyDescent="0.25">
      <c r="B1213" s="6"/>
      <c r="K1213" s="7"/>
      <c r="N1213" s="8"/>
    </row>
    <row r="1214" spans="2:14" ht="15.75" customHeight="1" x14ac:dyDescent="0.25">
      <c r="B1214" s="6"/>
      <c r="K1214" s="7"/>
      <c r="N1214" s="8"/>
    </row>
    <row r="1215" spans="2:14" ht="15.75" customHeight="1" x14ac:dyDescent="0.25">
      <c r="B1215" s="6"/>
      <c r="K1215" s="7"/>
      <c r="N1215" s="8"/>
    </row>
    <row r="1216" spans="2:14" ht="15.75" customHeight="1" x14ac:dyDescent="0.25">
      <c r="B1216" s="6"/>
      <c r="K1216" s="7"/>
      <c r="N1216" s="8"/>
    </row>
    <row r="1217" spans="2:14" ht="15.75" customHeight="1" x14ac:dyDescent="0.25">
      <c r="B1217" s="6"/>
      <c r="K1217" s="7"/>
      <c r="N1217" s="8"/>
    </row>
    <row r="1218" spans="2:14" ht="15.75" customHeight="1" x14ac:dyDescent="0.25">
      <c r="B1218" s="6"/>
      <c r="K1218" s="7"/>
      <c r="N1218" s="8"/>
    </row>
    <row r="1219" spans="2:14" ht="15.75" customHeight="1" x14ac:dyDescent="0.25">
      <c r="B1219" s="6"/>
      <c r="K1219" s="7"/>
      <c r="N1219" s="8"/>
    </row>
    <row r="1220" spans="2:14" ht="15.75" customHeight="1" x14ac:dyDescent="0.25">
      <c r="B1220" s="6"/>
      <c r="K1220" s="7"/>
      <c r="N1220" s="8"/>
    </row>
    <row r="1221" spans="2:14" ht="15.75" customHeight="1" x14ac:dyDescent="0.25">
      <c r="B1221" s="6"/>
      <c r="K1221" s="7"/>
      <c r="N1221" s="8"/>
    </row>
    <row r="1222" spans="2:14" ht="15.75" customHeight="1" x14ac:dyDescent="0.25">
      <c r="B1222" s="6"/>
      <c r="K1222" s="7"/>
      <c r="N1222" s="8"/>
    </row>
    <row r="1223" spans="2:14" ht="15.75" customHeight="1" x14ac:dyDescent="0.25">
      <c r="B1223" s="6"/>
      <c r="K1223" s="7"/>
      <c r="N1223" s="8"/>
    </row>
    <row r="1224" spans="2:14" ht="15.75" customHeight="1" x14ac:dyDescent="0.25">
      <c r="B1224" s="6"/>
      <c r="K1224" s="7"/>
      <c r="N1224" s="8"/>
    </row>
    <row r="1225" spans="2:14" ht="15.75" customHeight="1" x14ac:dyDescent="0.25">
      <c r="B1225" s="6"/>
      <c r="K1225" s="7"/>
      <c r="N1225" s="8"/>
    </row>
    <row r="1226" spans="2:14" ht="15.75" customHeight="1" x14ac:dyDescent="0.25">
      <c r="B1226" s="6"/>
      <c r="K1226" s="7"/>
      <c r="N1226" s="8"/>
    </row>
    <row r="1227" spans="2:14" ht="15.75" customHeight="1" x14ac:dyDescent="0.25">
      <c r="B1227" s="6"/>
      <c r="K1227" s="7"/>
      <c r="N1227" s="8"/>
    </row>
    <row r="1228" spans="2:14" ht="15.75" customHeight="1" x14ac:dyDescent="0.25">
      <c r="B1228" s="6"/>
      <c r="K1228" s="7"/>
      <c r="N1228" s="8"/>
    </row>
    <row r="1229" spans="2:14" ht="15.75" customHeight="1" x14ac:dyDescent="0.25">
      <c r="B1229" s="6"/>
      <c r="K1229" s="7"/>
      <c r="N1229" s="8"/>
    </row>
    <row r="1230" spans="2:14" ht="15.75" customHeight="1" x14ac:dyDescent="0.25">
      <c r="B1230" s="6"/>
      <c r="K1230" s="7"/>
      <c r="N1230" s="8"/>
    </row>
    <row r="1231" spans="2:14" ht="15.75" customHeight="1" x14ac:dyDescent="0.25">
      <c r="B1231" s="6"/>
      <c r="K1231" s="7"/>
      <c r="N1231" s="8"/>
    </row>
    <row r="1232" spans="2:14" ht="15.75" customHeight="1" x14ac:dyDescent="0.25">
      <c r="B1232" s="6"/>
      <c r="K1232" s="7"/>
      <c r="N1232" s="8"/>
    </row>
    <row r="1233" spans="2:14" ht="15.75" customHeight="1" x14ac:dyDescent="0.25">
      <c r="B1233" s="6"/>
      <c r="K1233" s="7"/>
      <c r="N1233" s="8"/>
    </row>
    <row r="1234" spans="2:14" ht="15.75" customHeight="1" x14ac:dyDescent="0.25">
      <c r="B1234" s="6"/>
      <c r="K1234" s="7"/>
      <c r="N1234" s="8"/>
    </row>
    <row r="1235" spans="2:14" ht="15.75" customHeight="1" x14ac:dyDescent="0.25">
      <c r="B1235" s="6"/>
      <c r="K1235" s="7"/>
      <c r="N1235" s="8"/>
    </row>
    <row r="1236" spans="2:14" ht="15.75" customHeight="1" x14ac:dyDescent="0.25">
      <c r="B1236" s="6"/>
      <c r="K1236" s="7"/>
      <c r="N1236" s="8"/>
    </row>
    <row r="1237" spans="2:14" ht="15.75" customHeight="1" x14ac:dyDescent="0.25">
      <c r="B1237" s="6"/>
      <c r="K1237" s="7"/>
      <c r="N1237" s="8"/>
    </row>
    <row r="1238" spans="2:14" ht="15.75" customHeight="1" x14ac:dyDescent="0.25">
      <c r="B1238" s="6"/>
      <c r="K1238" s="7"/>
      <c r="N1238" s="8"/>
    </row>
    <row r="1239" spans="2:14" ht="15.75" customHeight="1" x14ac:dyDescent="0.25">
      <c r="B1239" s="6"/>
      <c r="K1239" s="7"/>
      <c r="N1239" s="8"/>
    </row>
    <row r="1240" spans="2:14" ht="15.75" customHeight="1" x14ac:dyDescent="0.25">
      <c r="B1240" s="6"/>
      <c r="K1240" s="7"/>
      <c r="N1240" s="8"/>
    </row>
    <row r="1241" spans="2:14" ht="15.75" customHeight="1" x14ac:dyDescent="0.25">
      <c r="B1241" s="6"/>
      <c r="K1241" s="7"/>
      <c r="N1241" s="8"/>
    </row>
    <row r="1242" spans="2:14" ht="15.75" customHeight="1" x14ac:dyDescent="0.25">
      <c r="B1242" s="6"/>
      <c r="K1242" s="7"/>
      <c r="N1242" s="8"/>
    </row>
    <row r="1243" spans="2:14" ht="15.75" customHeight="1" x14ac:dyDescent="0.25">
      <c r="B1243" s="6"/>
      <c r="K1243" s="7"/>
      <c r="N1243" s="8"/>
    </row>
    <row r="1244" spans="2:14" ht="15.75" customHeight="1" x14ac:dyDescent="0.25">
      <c r="B1244" s="6"/>
      <c r="K1244" s="7"/>
      <c r="N1244" s="8"/>
    </row>
    <row r="1245" spans="2:14" ht="15.75" customHeight="1" x14ac:dyDescent="0.25">
      <c r="B1245" s="6"/>
      <c r="K1245" s="7"/>
      <c r="N1245" s="8"/>
    </row>
    <row r="1246" spans="2:14" ht="15.75" customHeight="1" x14ac:dyDescent="0.25">
      <c r="B1246" s="6"/>
      <c r="K1246" s="7"/>
      <c r="N1246" s="8"/>
    </row>
    <row r="1247" spans="2:14" ht="15.75" customHeight="1" x14ac:dyDescent="0.25">
      <c r="B1247" s="6"/>
      <c r="K1247" s="7"/>
      <c r="N1247" s="8"/>
    </row>
    <row r="1248" spans="2:14" ht="15.75" customHeight="1" x14ac:dyDescent="0.25">
      <c r="B1248" s="6"/>
      <c r="K1248" s="7"/>
      <c r="N1248" s="8"/>
    </row>
    <row r="1249" spans="2:14" ht="15.75" customHeight="1" x14ac:dyDescent="0.25">
      <c r="B1249" s="6"/>
      <c r="K1249" s="7"/>
      <c r="N1249" s="8"/>
    </row>
    <row r="1250" spans="2:14" ht="15.75" customHeight="1" x14ac:dyDescent="0.25">
      <c r="B1250" s="6"/>
      <c r="K1250" s="7"/>
      <c r="N1250" s="8"/>
    </row>
    <row r="1251" spans="2:14" ht="15.75" customHeight="1" x14ac:dyDescent="0.25">
      <c r="B1251" s="6"/>
      <c r="K1251" s="7"/>
      <c r="N1251" s="8"/>
    </row>
    <row r="1252" spans="2:14" ht="15.75" customHeight="1" x14ac:dyDescent="0.25">
      <c r="B1252" s="6"/>
      <c r="K1252" s="7"/>
      <c r="N1252" s="8"/>
    </row>
    <row r="1253" spans="2:14" ht="15.75" customHeight="1" x14ac:dyDescent="0.25">
      <c r="B1253" s="6"/>
      <c r="K1253" s="7"/>
      <c r="N1253" s="8"/>
    </row>
    <row r="1254" spans="2:14" ht="15.75" customHeight="1" x14ac:dyDescent="0.25">
      <c r="B1254" s="6"/>
      <c r="K1254" s="7"/>
      <c r="N1254" s="8"/>
    </row>
    <row r="1255" spans="2:14" ht="15.75" customHeight="1" x14ac:dyDescent="0.25">
      <c r="B1255" s="6"/>
      <c r="K1255" s="7"/>
      <c r="N1255" s="8"/>
    </row>
    <row r="1256" spans="2:14" ht="15.75" customHeight="1" x14ac:dyDescent="0.25">
      <c r="B1256" s="6"/>
      <c r="K1256" s="7"/>
      <c r="N1256" s="8"/>
    </row>
    <row r="1257" spans="2:14" ht="15.75" customHeight="1" x14ac:dyDescent="0.25">
      <c r="B1257" s="6"/>
      <c r="K1257" s="7"/>
      <c r="N1257" s="8"/>
    </row>
    <row r="1258" spans="2:14" ht="15.75" customHeight="1" x14ac:dyDescent="0.25">
      <c r="B1258" s="6"/>
      <c r="K1258" s="7"/>
      <c r="N1258" s="8"/>
    </row>
    <row r="1259" spans="2:14" ht="15.75" customHeight="1" x14ac:dyDescent="0.25">
      <c r="B1259" s="6"/>
      <c r="K1259" s="7"/>
      <c r="N1259" s="8"/>
    </row>
    <row r="1260" spans="2:14" ht="15.75" customHeight="1" x14ac:dyDescent="0.25">
      <c r="B1260" s="6"/>
      <c r="K1260" s="7"/>
      <c r="N1260" s="8"/>
    </row>
    <row r="1261" spans="2:14" ht="15.75" customHeight="1" x14ac:dyDescent="0.25">
      <c r="B1261" s="6"/>
      <c r="K1261" s="7"/>
      <c r="N1261" s="8"/>
    </row>
    <row r="1262" spans="2:14" ht="15.75" customHeight="1" x14ac:dyDescent="0.25">
      <c r="B1262" s="6"/>
      <c r="K1262" s="7"/>
      <c r="N1262" s="8"/>
    </row>
    <row r="1263" spans="2:14" ht="15.75" customHeight="1" x14ac:dyDescent="0.25">
      <c r="B1263" s="6"/>
      <c r="K1263" s="7"/>
      <c r="N1263" s="8"/>
    </row>
    <row r="1264" spans="2:14" ht="15.75" customHeight="1" x14ac:dyDescent="0.25">
      <c r="B1264" s="6"/>
      <c r="K1264" s="7"/>
      <c r="N1264" s="8"/>
    </row>
    <row r="1265" spans="2:14" ht="15.75" customHeight="1" x14ac:dyDescent="0.25">
      <c r="B1265" s="6"/>
      <c r="K1265" s="7"/>
      <c r="N1265" s="8"/>
    </row>
    <row r="1266" spans="2:14" ht="15.75" customHeight="1" x14ac:dyDescent="0.25">
      <c r="B1266" s="6"/>
      <c r="K1266" s="7"/>
      <c r="N1266" s="8"/>
    </row>
    <row r="1267" spans="2:14" ht="15.75" customHeight="1" x14ac:dyDescent="0.25">
      <c r="B1267" s="6"/>
      <c r="K1267" s="7"/>
      <c r="N1267" s="8"/>
    </row>
    <row r="1268" spans="2:14" ht="15.75" customHeight="1" x14ac:dyDescent="0.25">
      <c r="B1268" s="6"/>
      <c r="K1268" s="7"/>
      <c r="N1268" s="8"/>
    </row>
    <row r="1269" spans="2:14" ht="15.75" customHeight="1" x14ac:dyDescent="0.25">
      <c r="B1269" s="6"/>
      <c r="K1269" s="7"/>
      <c r="N1269" s="8"/>
    </row>
    <row r="1270" spans="2:14" ht="15.75" customHeight="1" x14ac:dyDescent="0.25">
      <c r="B1270" s="6"/>
      <c r="K1270" s="7"/>
      <c r="N1270" s="8"/>
    </row>
    <row r="1271" spans="2:14" ht="15.75" customHeight="1" x14ac:dyDescent="0.25">
      <c r="B1271" s="6"/>
      <c r="K1271" s="7"/>
      <c r="N1271" s="8"/>
    </row>
    <row r="1272" spans="2:14" ht="15.75" customHeight="1" x14ac:dyDescent="0.25">
      <c r="B1272" s="6"/>
      <c r="K1272" s="7"/>
      <c r="N1272" s="8"/>
    </row>
    <row r="1273" spans="2:14" ht="15.75" customHeight="1" x14ac:dyDescent="0.25">
      <c r="B1273" s="6"/>
      <c r="K1273" s="7"/>
      <c r="N1273" s="8"/>
    </row>
    <row r="1274" spans="2:14" ht="15.75" customHeight="1" x14ac:dyDescent="0.25">
      <c r="B1274" s="6"/>
      <c r="K1274" s="7"/>
      <c r="N1274" s="8"/>
    </row>
    <row r="1275" spans="2:14" ht="15.75" customHeight="1" x14ac:dyDescent="0.25">
      <c r="B1275" s="6"/>
      <c r="K1275" s="7"/>
      <c r="N1275" s="8"/>
    </row>
    <row r="1276" spans="2:14" ht="15.75" customHeight="1" x14ac:dyDescent="0.25">
      <c r="B1276" s="6"/>
      <c r="K1276" s="7"/>
      <c r="N1276" s="8"/>
    </row>
    <row r="1277" spans="2:14" ht="15.75" customHeight="1" x14ac:dyDescent="0.25">
      <c r="B1277" s="6"/>
      <c r="K1277" s="7"/>
      <c r="N1277" s="8"/>
    </row>
    <row r="1278" spans="2:14" ht="15.75" customHeight="1" x14ac:dyDescent="0.25">
      <c r="B1278" s="6"/>
      <c r="K1278" s="7"/>
      <c r="N1278" s="8"/>
    </row>
    <row r="1279" spans="2:14" ht="15.75" customHeight="1" x14ac:dyDescent="0.25">
      <c r="B1279" s="6"/>
      <c r="K1279" s="7"/>
      <c r="N1279" s="8"/>
    </row>
    <row r="1280" spans="2:14" ht="15.75" customHeight="1" x14ac:dyDescent="0.25">
      <c r="B1280" s="6"/>
      <c r="K1280" s="7"/>
      <c r="N1280" s="8"/>
    </row>
    <row r="1281" spans="2:14" ht="15.75" customHeight="1" x14ac:dyDescent="0.25">
      <c r="B1281" s="6"/>
      <c r="K1281" s="7"/>
      <c r="N1281" s="8"/>
    </row>
    <row r="1282" spans="2:14" ht="15.75" customHeight="1" x14ac:dyDescent="0.25">
      <c r="B1282" s="6"/>
      <c r="K1282" s="7"/>
      <c r="N1282" s="8"/>
    </row>
    <row r="1283" spans="2:14" ht="15.75" customHeight="1" x14ac:dyDescent="0.25">
      <c r="B1283" s="6"/>
      <c r="K1283" s="7"/>
      <c r="N1283" s="8"/>
    </row>
    <row r="1284" spans="2:14" ht="15.75" customHeight="1" x14ac:dyDescent="0.25">
      <c r="B1284" s="6"/>
      <c r="K1284" s="7"/>
      <c r="N1284" s="8"/>
    </row>
    <row r="1285" spans="2:14" ht="15.75" customHeight="1" x14ac:dyDescent="0.25">
      <c r="B1285" s="6"/>
      <c r="K1285" s="7"/>
      <c r="N1285" s="8"/>
    </row>
    <row r="1286" spans="2:14" ht="15.75" customHeight="1" x14ac:dyDescent="0.25">
      <c r="B1286" s="6"/>
      <c r="K1286" s="7"/>
      <c r="N1286" s="8"/>
    </row>
    <row r="1287" spans="2:14" ht="15.75" customHeight="1" x14ac:dyDescent="0.25">
      <c r="B1287" s="6"/>
      <c r="K1287" s="7"/>
      <c r="N1287" s="8"/>
    </row>
    <row r="1288" spans="2:14" ht="15.75" customHeight="1" x14ac:dyDescent="0.25">
      <c r="B1288" s="6"/>
      <c r="K1288" s="7"/>
      <c r="N1288" s="8"/>
    </row>
    <row r="1289" spans="2:14" ht="15.75" customHeight="1" x14ac:dyDescent="0.25">
      <c r="B1289" s="6"/>
      <c r="K1289" s="7"/>
      <c r="N1289" s="8"/>
    </row>
    <row r="1290" spans="2:14" ht="15.75" customHeight="1" x14ac:dyDescent="0.25">
      <c r="B1290" s="6"/>
      <c r="K1290" s="7"/>
      <c r="N1290" s="8"/>
    </row>
    <row r="1291" spans="2:14" ht="15.75" customHeight="1" x14ac:dyDescent="0.25">
      <c r="B1291" s="6"/>
      <c r="K1291" s="7"/>
      <c r="N1291" s="8"/>
    </row>
    <row r="1292" spans="2:14" ht="15.75" customHeight="1" x14ac:dyDescent="0.25">
      <c r="B1292" s="6"/>
      <c r="K1292" s="7"/>
      <c r="N1292" s="8"/>
    </row>
    <row r="1293" spans="2:14" ht="15.75" customHeight="1" x14ac:dyDescent="0.25">
      <c r="B1293" s="6"/>
      <c r="K1293" s="7"/>
      <c r="N1293" s="8"/>
    </row>
    <row r="1294" spans="2:14" ht="15.75" customHeight="1" x14ac:dyDescent="0.25">
      <c r="B1294" s="6"/>
      <c r="K1294" s="7"/>
      <c r="N1294" s="8"/>
    </row>
    <row r="1295" spans="2:14" ht="15.75" customHeight="1" x14ac:dyDescent="0.25">
      <c r="B1295" s="6"/>
      <c r="K1295" s="7"/>
      <c r="N1295" s="8"/>
    </row>
    <row r="1296" spans="2:14" ht="15.75" customHeight="1" x14ac:dyDescent="0.25">
      <c r="B1296" s="6"/>
      <c r="K1296" s="7"/>
      <c r="N1296" s="8"/>
    </row>
    <row r="1297" spans="2:14" ht="15.75" customHeight="1" x14ac:dyDescent="0.25">
      <c r="B1297" s="6"/>
      <c r="K1297" s="7"/>
      <c r="N1297" s="8"/>
    </row>
    <row r="1298" spans="2:14" ht="15.75" customHeight="1" x14ac:dyDescent="0.25">
      <c r="B1298" s="6"/>
      <c r="K1298" s="7"/>
      <c r="N1298" s="8"/>
    </row>
    <row r="1299" spans="2:14" ht="15.75" customHeight="1" x14ac:dyDescent="0.25">
      <c r="B1299" s="6"/>
      <c r="K1299" s="7"/>
      <c r="N1299" s="8"/>
    </row>
    <row r="1300" spans="2:14" ht="15.75" customHeight="1" x14ac:dyDescent="0.25">
      <c r="B1300" s="6"/>
      <c r="K1300" s="7"/>
      <c r="N1300" s="8"/>
    </row>
    <row r="1301" spans="2:14" ht="15.75" customHeight="1" x14ac:dyDescent="0.25">
      <c r="B1301" s="6"/>
      <c r="K1301" s="7"/>
      <c r="N1301" s="8"/>
    </row>
    <row r="1302" spans="2:14" ht="15.75" customHeight="1" x14ac:dyDescent="0.25">
      <c r="B1302" s="6"/>
      <c r="K1302" s="7"/>
      <c r="N1302" s="8"/>
    </row>
    <row r="1303" spans="2:14" ht="15.75" customHeight="1" x14ac:dyDescent="0.25">
      <c r="B1303" s="6"/>
      <c r="K1303" s="7"/>
      <c r="N1303" s="8"/>
    </row>
    <row r="1304" spans="2:14" ht="15.75" customHeight="1" x14ac:dyDescent="0.25">
      <c r="B1304" s="6"/>
      <c r="K1304" s="7"/>
      <c r="N1304" s="8"/>
    </row>
    <row r="1305" spans="2:14" ht="15.75" customHeight="1" x14ac:dyDescent="0.25">
      <c r="B1305" s="6"/>
      <c r="K1305" s="7"/>
      <c r="N1305" s="8"/>
    </row>
    <row r="1306" spans="2:14" ht="15.75" customHeight="1" x14ac:dyDescent="0.25">
      <c r="B1306" s="6"/>
      <c r="K1306" s="7"/>
      <c r="N1306" s="8"/>
    </row>
    <row r="1307" spans="2:14" ht="15.75" customHeight="1" x14ac:dyDescent="0.25">
      <c r="B1307" s="6"/>
      <c r="K1307" s="7"/>
      <c r="N1307" s="8"/>
    </row>
    <row r="1308" spans="2:14" ht="15.75" customHeight="1" x14ac:dyDescent="0.25">
      <c r="B1308" s="6"/>
      <c r="K1308" s="7"/>
      <c r="N1308" s="8"/>
    </row>
    <row r="1309" spans="2:14" ht="15.75" customHeight="1" x14ac:dyDescent="0.25">
      <c r="B1309" s="6"/>
      <c r="K1309" s="7"/>
      <c r="N1309" s="8"/>
    </row>
    <row r="1310" spans="2:14" ht="15.75" customHeight="1" x14ac:dyDescent="0.25">
      <c r="B1310" s="6"/>
      <c r="K1310" s="7"/>
      <c r="N1310" s="8"/>
    </row>
    <row r="1311" spans="2:14" ht="15.75" customHeight="1" x14ac:dyDescent="0.25">
      <c r="B1311" s="6"/>
      <c r="K1311" s="7"/>
      <c r="N1311" s="8"/>
    </row>
    <row r="1312" spans="2:14" ht="15.75" customHeight="1" x14ac:dyDescent="0.25">
      <c r="B1312" s="6"/>
      <c r="K1312" s="7"/>
      <c r="N1312" s="8"/>
    </row>
    <row r="1313" spans="2:14" ht="15.75" customHeight="1" x14ac:dyDescent="0.25">
      <c r="B1313" s="6"/>
      <c r="K1313" s="7"/>
      <c r="N1313" s="8"/>
    </row>
    <row r="1314" spans="2:14" ht="15.75" customHeight="1" x14ac:dyDescent="0.25">
      <c r="B1314" s="6"/>
      <c r="K1314" s="7"/>
      <c r="N1314" s="8"/>
    </row>
    <row r="1315" spans="2:14" ht="15.75" customHeight="1" x14ac:dyDescent="0.25">
      <c r="B1315" s="6"/>
      <c r="K1315" s="7"/>
      <c r="N1315" s="8"/>
    </row>
    <row r="1316" spans="2:14" ht="15.75" customHeight="1" x14ac:dyDescent="0.25">
      <c r="B1316" s="6"/>
      <c r="K1316" s="7"/>
      <c r="N1316" s="8"/>
    </row>
    <row r="1317" spans="2:14" ht="15.75" customHeight="1" x14ac:dyDescent="0.25">
      <c r="B1317" s="6"/>
      <c r="K1317" s="7"/>
      <c r="N1317" s="8"/>
    </row>
    <row r="1318" spans="2:14" ht="15.75" customHeight="1" x14ac:dyDescent="0.25">
      <c r="B1318" s="6"/>
      <c r="K1318" s="7"/>
      <c r="N1318" s="8"/>
    </row>
    <row r="1319" spans="2:14" ht="15.75" customHeight="1" x14ac:dyDescent="0.25">
      <c r="B1319" s="6"/>
      <c r="K1319" s="7"/>
      <c r="N1319" s="8"/>
    </row>
    <row r="1320" spans="2:14" ht="15.75" customHeight="1" x14ac:dyDescent="0.25">
      <c r="B1320" s="6"/>
      <c r="K1320" s="7"/>
      <c r="N1320" s="8"/>
    </row>
    <row r="1321" spans="2:14" ht="15.75" customHeight="1" x14ac:dyDescent="0.25">
      <c r="B1321" s="6"/>
      <c r="K1321" s="7"/>
      <c r="N1321" s="8"/>
    </row>
    <row r="1322" spans="2:14" ht="15.75" customHeight="1" x14ac:dyDescent="0.25">
      <c r="B1322" s="6"/>
      <c r="K1322" s="7"/>
      <c r="N1322" s="8"/>
    </row>
    <row r="1323" spans="2:14" ht="15.75" customHeight="1" x14ac:dyDescent="0.25">
      <c r="B1323" s="6"/>
      <c r="K1323" s="7"/>
      <c r="N1323" s="8"/>
    </row>
    <row r="1324" spans="2:14" ht="15.75" customHeight="1" x14ac:dyDescent="0.25">
      <c r="B1324" s="6"/>
      <c r="K1324" s="7"/>
      <c r="N1324" s="8"/>
    </row>
    <row r="1325" spans="2:14" ht="15.75" customHeight="1" x14ac:dyDescent="0.25">
      <c r="B1325" s="6"/>
      <c r="K1325" s="7"/>
      <c r="N1325" s="8"/>
    </row>
    <row r="1326" spans="2:14" ht="15.75" customHeight="1" x14ac:dyDescent="0.25">
      <c r="B1326" s="6"/>
      <c r="K1326" s="7"/>
      <c r="N1326" s="8"/>
    </row>
    <row r="1327" spans="2:14" ht="15.75" customHeight="1" x14ac:dyDescent="0.25">
      <c r="B1327" s="6"/>
      <c r="K1327" s="7"/>
      <c r="N1327" s="8"/>
    </row>
    <row r="1328" spans="2:14" ht="15.75" customHeight="1" x14ac:dyDescent="0.25">
      <c r="B1328" s="6"/>
      <c r="K1328" s="7"/>
      <c r="N1328" s="8"/>
    </row>
    <row r="1329" spans="2:14" ht="15.75" customHeight="1" x14ac:dyDescent="0.25">
      <c r="B1329" s="6"/>
      <c r="K1329" s="7"/>
      <c r="N1329" s="8"/>
    </row>
    <row r="1330" spans="2:14" ht="15.75" customHeight="1" x14ac:dyDescent="0.25">
      <c r="B1330" s="6"/>
      <c r="K1330" s="7"/>
      <c r="N1330" s="8"/>
    </row>
    <row r="1331" spans="2:14" ht="15.75" customHeight="1" x14ac:dyDescent="0.25">
      <c r="B1331" s="6"/>
      <c r="K1331" s="7"/>
      <c r="N1331" s="8"/>
    </row>
    <row r="1332" spans="2:14" ht="15.75" customHeight="1" x14ac:dyDescent="0.25">
      <c r="B1332" s="6"/>
      <c r="K1332" s="7"/>
      <c r="N1332" s="8"/>
    </row>
    <row r="1333" spans="2:14" ht="15.75" customHeight="1" x14ac:dyDescent="0.25">
      <c r="B1333" s="6"/>
      <c r="K1333" s="7"/>
      <c r="N1333" s="8"/>
    </row>
    <row r="1334" spans="2:14" ht="15.75" customHeight="1" x14ac:dyDescent="0.25">
      <c r="B1334" s="6"/>
      <c r="K1334" s="7"/>
      <c r="N1334" s="8"/>
    </row>
    <row r="1335" spans="2:14" ht="15.75" customHeight="1" x14ac:dyDescent="0.25">
      <c r="B1335" s="6"/>
      <c r="K1335" s="7"/>
      <c r="N1335" s="8"/>
    </row>
    <row r="1336" spans="2:14" ht="15.75" customHeight="1" x14ac:dyDescent="0.25">
      <c r="B1336" s="6"/>
      <c r="K1336" s="7"/>
      <c r="N1336" s="8"/>
    </row>
    <row r="1337" spans="2:14" ht="15.75" customHeight="1" x14ac:dyDescent="0.25">
      <c r="B1337" s="6"/>
      <c r="K1337" s="7"/>
      <c r="N1337" s="8"/>
    </row>
    <row r="1338" spans="2:14" ht="15.75" customHeight="1" x14ac:dyDescent="0.25">
      <c r="B1338" s="6"/>
      <c r="K1338" s="7"/>
      <c r="N1338" s="8"/>
    </row>
    <row r="1339" spans="2:14" ht="15.75" customHeight="1" x14ac:dyDescent="0.25">
      <c r="B1339" s="6"/>
      <c r="K1339" s="7"/>
      <c r="N1339" s="8"/>
    </row>
    <row r="1340" spans="2:14" ht="15.75" customHeight="1" x14ac:dyDescent="0.25">
      <c r="B1340" s="6"/>
      <c r="K1340" s="7"/>
      <c r="N1340" s="8"/>
    </row>
    <row r="1341" spans="2:14" ht="15.75" customHeight="1" x14ac:dyDescent="0.25">
      <c r="B1341" s="6"/>
      <c r="K1341" s="7"/>
      <c r="N1341" s="8"/>
    </row>
    <row r="1342" spans="2:14" ht="15.75" customHeight="1" x14ac:dyDescent="0.25">
      <c r="B1342" s="6"/>
      <c r="K1342" s="7"/>
      <c r="N1342" s="8"/>
    </row>
    <row r="1343" spans="2:14" ht="15.75" customHeight="1" x14ac:dyDescent="0.25">
      <c r="B1343" s="6"/>
      <c r="K1343" s="7"/>
      <c r="N1343" s="8"/>
    </row>
    <row r="1344" spans="2:14" ht="15.75" customHeight="1" x14ac:dyDescent="0.25">
      <c r="B1344" s="6"/>
      <c r="K1344" s="7"/>
      <c r="N1344" s="8"/>
    </row>
    <row r="1345" spans="2:14" ht="15.75" customHeight="1" x14ac:dyDescent="0.25">
      <c r="B1345" s="6"/>
      <c r="K1345" s="7"/>
      <c r="N1345" s="8"/>
    </row>
    <row r="1346" spans="2:14" ht="15.75" customHeight="1" x14ac:dyDescent="0.25">
      <c r="B1346" s="6"/>
      <c r="K1346" s="7"/>
      <c r="N1346" s="8"/>
    </row>
    <row r="1347" spans="2:14" ht="15.75" customHeight="1" x14ac:dyDescent="0.25">
      <c r="B1347" s="6"/>
      <c r="K1347" s="7"/>
      <c r="N1347" s="8"/>
    </row>
    <row r="1348" spans="2:14" ht="15.75" customHeight="1" x14ac:dyDescent="0.25">
      <c r="B1348" s="6"/>
      <c r="K1348" s="7"/>
      <c r="N1348" s="8"/>
    </row>
    <row r="1349" spans="2:14" ht="15.75" customHeight="1" x14ac:dyDescent="0.25">
      <c r="B1349" s="6"/>
      <c r="K1349" s="7"/>
      <c r="N1349" s="8"/>
    </row>
    <row r="1350" spans="2:14" ht="15.75" customHeight="1" x14ac:dyDescent="0.25">
      <c r="B1350" s="6"/>
      <c r="K1350" s="7"/>
      <c r="N1350" s="8"/>
    </row>
    <row r="1351" spans="2:14" ht="15.75" customHeight="1" x14ac:dyDescent="0.25">
      <c r="B1351" s="6"/>
      <c r="K1351" s="7"/>
      <c r="N1351" s="8"/>
    </row>
    <row r="1352" spans="2:14" ht="15.75" customHeight="1" x14ac:dyDescent="0.25">
      <c r="B1352" s="6"/>
      <c r="K1352" s="7"/>
      <c r="N1352" s="8"/>
    </row>
    <row r="1353" spans="2:14" ht="15.75" customHeight="1" x14ac:dyDescent="0.25">
      <c r="B1353" s="6"/>
      <c r="K1353" s="7"/>
      <c r="N1353" s="8"/>
    </row>
    <row r="1354" spans="2:14" ht="15.75" customHeight="1" x14ac:dyDescent="0.25">
      <c r="B1354" s="6"/>
      <c r="K1354" s="7"/>
      <c r="N1354" s="8"/>
    </row>
    <row r="1355" spans="2:14" ht="15.75" customHeight="1" x14ac:dyDescent="0.25">
      <c r="B1355" s="6"/>
      <c r="K1355" s="7"/>
      <c r="N1355" s="8"/>
    </row>
    <row r="1356" spans="2:14" ht="15.75" customHeight="1" x14ac:dyDescent="0.25">
      <c r="B1356" s="6"/>
      <c r="K1356" s="7"/>
      <c r="N1356" s="8"/>
    </row>
    <row r="1357" spans="2:14" ht="15.75" customHeight="1" x14ac:dyDescent="0.25">
      <c r="B1357" s="6"/>
      <c r="K1357" s="7"/>
      <c r="N1357" s="8"/>
    </row>
    <row r="1358" spans="2:14" ht="15.75" customHeight="1" x14ac:dyDescent="0.25">
      <c r="B1358" s="6"/>
      <c r="K1358" s="7"/>
      <c r="N1358" s="8"/>
    </row>
    <row r="1359" spans="2:14" ht="15.75" customHeight="1" x14ac:dyDescent="0.25">
      <c r="B1359" s="6"/>
      <c r="K1359" s="7"/>
      <c r="N1359" s="8"/>
    </row>
    <row r="1360" spans="2:14" ht="15.75" customHeight="1" x14ac:dyDescent="0.25">
      <c r="B1360" s="6"/>
      <c r="K1360" s="7"/>
      <c r="N1360" s="8"/>
    </row>
    <row r="1361" spans="2:14" ht="15.75" customHeight="1" x14ac:dyDescent="0.25">
      <c r="B1361" s="6"/>
      <c r="K1361" s="7"/>
      <c r="N1361" s="8"/>
    </row>
    <row r="1362" spans="2:14" ht="15.75" customHeight="1" x14ac:dyDescent="0.25">
      <c r="B1362" s="6"/>
      <c r="K1362" s="7"/>
      <c r="N1362" s="8"/>
    </row>
    <row r="1363" spans="2:14" ht="15.75" customHeight="1" x14ac:dyDescent="0.25">
      <c r="B1363" s="6"/>
      <c r="K1363" s="7"/>
      <c r="N1363" s="8"/>
    </row>
    <row r="1364" spans="2:14" ht="15.75" customHeight="1" x14ac:dyDescent="0.25">
      <c r="B1364" s="6"/>
      <c r="K1364" s="7"/>
      <c r="N1364" s="8"/>
    </row>
    <row r="1365" spans="2:14" ht="15.75" customHeight="1" x14ac:dyDescent="0.25">
      <c r="B1365" s="6"/>
      <c r="K1365" s="7"/>
      <c r="N1365" s="8"/>
    </row>
    <row r="1366" spans="2:14" ht="15.75" customHeight="1" x14ac:dyDescent="0.25">
      <c r="B1366" s="6"/>
      <c r="K1366" s="7"/>
      <c r="N1366" s="8"/>
    </row>
    <row r="1367" spans="2:14" ht="15.75" customHeight="1" x14ac:dyDescent="0.25">
      <c r="B1367" s="6"/>
      <c r="K1367" s="7"/>
      <c r="N1367" s="8"/>
    </row>
    <row r="1368" spans="2:14" ht="15.75" customHeight="1" x14ac:dyDescent="0.25">
      <c r="B1368" s="6"/>
      <c r="K1368" s="7"/>
      <c r="N1368" s="8"/>
    </row>
    <row r="1369" spans="2:14" ht="15.75" customHeight="1" x14ac:dyDescent="0.25">
      <c r="B1369" s="6"/>
      <c r="K1369" s="7"/>
      <c r="N1369" s="8"/>
    </row>
    <row r="1370" spans="2:14" ht="15.75" customHeight="1" x14ac:dyDescent="0.25">
      <c r="B1370" s="6"/>
      <c r="K1370" s="7"/>
      <c r="N1370" s="8"/>
    </row>
    <row r="1371" spans="2:14" ht="15.75" customHeight="1" x14ac:dyDescent="0.25">
      <c r="B1371" s="6"/>
      <c r="K1371" s="7"/>
      <c r="N1371" s="8"/>
    </row>
    <row r="1372" spans="2:14" ht="15.75" customHeight="1" x14ac:dyDescent="0.25">
      <c r="B1372" s="6"/>
      <c r="K1372" s="7"/>
      <c r="N1372" s="8"/>
    </row>
    <row r="1373" spans="2:14" ht="15.75" customHeight="1" x14ac:dyDescent="0.25">
      <c r="B1373" s="6"/>
      <c r="K1373" s="7"/>
      <c r="N1373" s="8"/>
    </row>
    <row r="1374" spans="2:14" ht="15.75" customHeight="1" x14ac:dyDescent="0.25">
      <c r="B1374" s="6"/>
      <c r="K1374" s="7"/>
      <c r="N1374" s="8"/>
    </row>
    <row r="1375" spans="2:14" ht="15.75" customHeight="1" x14ac:dyDescent="0.25">
      <c r="B1375" s="6"/>
      <c r="K1375" s="7"/>
      <c r="N1375" s="8"/>
    </row>
    <row r="1376" spans="2:14" ht="15.75" customHeight="1" x14ac:dyDescent="0.25">
      <c r="B1376" s="6"/>
      <c r="K1376" s="7"/>
      <c r="N1376" s="8"/>
    </row>
    <row r="1377" spans="2:14" ht="15.75" customHeight="1" x14ac:dyDescent="0.25">
      <c r="B1377" s="6"/>
      <c r="K1377" s="7"/>
      <c r="N1377" s="8"/>
    </row>
    <row r="1378" spans="2:14" ht="15.75" customHeight="1" x14ac:dyDescent="0.25">
      <c r="B1378" s="6"/>
      <c r="K1378" s="7"/>
      <c r="N1378" s="8"/>
    </row>
    <row r="1379" spans="2:14" ht="15.75" customHeight="1" x14ac:dyDescent="0.25">
      <c r="B1379" s="6"/>
      <c r="K1379" s="7"/>
      <c r="N1379" s="8"/>
    </row>
    <row r="1380" spans="2:14" ht="15.75" customHeight="1" x14ac:dyDescent="0.25">
      <c r="B1380" s="6"/>
      <c r="K1380" s="7"/>
      <c r="N1380" s="8"/>
    </row>
    <row r="1381" spans="2:14" ht="15.75" customHeight="1" x14ac:dyDescent="0.25">
      <c r="B1381" s="6"/>
      <c r="K1381" s="7"/>
      <c r="N1381" s="8"/>
    </row>
    <row r="1382" spans="2:14" ht="15.75" customHeight="1" x14ac:dyDescent="0.25">
      <c r="B1382" s="6"/>
      <c r="K1382" s="7"/>
      <c r="N1382" s="8"/>
    </row>
    <row r="1383" spans="2:14" ht="15.75" customHeight="1" x14ac:dyDescent="0.25">
      <c r="B1383" s="6"/>
      <c r="K1383" s="7"/>
      <c r="N1383" s="8"/>
    </row>
    <row r="1384" spans="2:14" ht="15.75" customHeight="1" x14ac:dyDescent="0.25">
      <c r="B1384" s="6"/>
      <c r="K1384" s="7"/>
      <c r="N1384" s="8"/>
    </row>
    <row r="1385" spans="2:14" ht="15.75" customHeight="1" x14ac:dyDescent="0.25">
      <c r="B1385" s="6"/>
      <c r="K1385" s="7"/>
      <c r="N1385" s="8"/>
    </row>
    <row r="1386" spans="2:14" ht="15.75" customHeight="1" x14ac:dyDescent="0.25">
      <c r="B1386" s="6"/>
      <c r="K1386" s="7"/>
      <c r="N1386" s="8"/>
    </row>
    <row r="1387" spans="2:14" ht="15.75" customHeight="1" x14ac:dyDescent="0.25">
      <c r="B1387" s="6"/>
      <c r="K1387" s="7"/>
      <c r="N1387" s="8"/>
    </row>
    <row r="1388" spans="2:14" ht="15.75" customHeight="1" x14ac:dyDescent="0.25">
      <c r="B1388" s="6"/>
      <c r="K1388" s="7"/>
      <c r="N1388" s="8"/>
    </row>
    <row r="1389" spans="2:14" ht="15.75" customHeight="1" x14ac:dyDescent="0.25">
      <c r="B1389" s="6"/>
      <c r="K1389" s="7"/>
      <c r="N1389" s="8"/>
    </row>
    <row r="1390" spans="2:14" ht="15.75" customHeight="1" x14ac:dyDescent="0.25">
      <c r="B1390" s="6"/>
      <c r="K1390" s="7"/>
      <c r="N1390" s="8"/>
    </row>
    <row r="1391" spans="2:14" ht="15.75" customHeight="1" x14ac:dyDescent="0.25">
      <c r="B1391" s="6"/>
      <c r="K1391" s="7"/>
      <c r="N1391" s="8"/>
    </row>
    <row r="1392" spans="2:14" ht="15.75" customHeight="1" x14ac:dyDescent="0.25">
      <c r="B1392" s="6"/>
      <c r="K1392" s="7"/>
      <c r="N1392" s="8"/>
    </row>
    <row r="1393" spans="2:14" ht="15.75" customHeight="1" x14ac:dyDescent="0.25">
      <c r="B1393" s="6"/>
      <c r="K1393" s="7"/>
      <c r="N1393" s="8"/>
    </row>
    <row r="1394" spans="2:14" ht="15.75" customHeight="1" x14ac:dyDescent="0.25">
      <c r="B1394" s="6"/>
      <c r="K1394" s="7"/>
      <c r="N1394" s="8"/>
    </row>
    <row r="1395" spans="2:14" ht="15.75" customHeight="1" x14ac:dyDescent="0.25">
      <c r="B1395" s="6"/>
      <c r="K1395" s="7"/>
      <c r="N1395" s="8"/>
    </row>
    <row r="1396" spans="2:14" ht="15.75" customHeight="1" x14ac:dyDescent="0.25">
      <c r="B1396" s="6"/>
      <c r="K1396" s="7"/>
      <c r="N1396" s="8"/>
    </row>
    <row r="1397" spans="2:14" ht="15.75" customHeight="1" x14ac:dyDescent="0.25">
      <c r="B1397" s="6"/>
      <c r="K1397" s="7"/>
      <c r="N1397" s="8"/>
    </row>
    <row r="1398" spans="2:14" ht="15.75" customHeight="1" x14ac:dyDescent="0.25">
      <c r="B1398" s="6"/>
      <c r="K1398" s="7"/>
      <c r="N1398" s="8"/>
    </row>
    <row r="1399" spans="2:14" ht="15.75" customHeight="1" x14ac:dyDescent="0.25">
      <c r="B1399" s="6"/>
      <c r="K1399" s="7"/>
      <c r="N1399" s="8"/>
    </row>
    <row r="1400" spans="2:14" ht="15.75" customHeight="1" x14ac:dyDescent="0.25">
      <c r="B1400" s="6"/>
      <c r="K1400" s="7"/>
      <c r="N1400" s="8"/>
    </row>
    <row r="1401" spans="2:14" ht="15.75" customHeight="1" x14ac:dyDescent="0.25">
      <c r="B1401" s="6"/>
      <c r="K1401" s="7"/>
      <c r="N1401" s="8"/>
    </row>
    <row r="1402" spans="2:14" ht="15.75" customHeight="1" x14ac:dyDescent="0.25">
      <c r="B1402" s="6"/>
      <c r="K1402" s="7"/>
      <c r="N1402" s="8"/>
    </row>
    <row r="1403" spans="2:14" ht="15.75" customHeight="1" x14ac:dyDescent="0.25">
      <c r="B1403" s="6"/>
      <c r="K1403" s="7"/>
      <c r="N1403" s="8"/>
    </row>
    <row r="1404" spans="2:14" ht="15.75" customHeight="1" x14ac:dyDescent="0.25">
      <c r="B1404" s="6"/>
      <c r="K1404" s="7"/>
      <c r="N1404" s="8"/>
    </row>
    <row r="1405" spans="2:14" ht="15.75" customHeight="1" x14ac:dyDescent="0.25">
      <c r="B1405" s="6"/>
      <c r="K1405" s="7"/>
      <c r="N1405" s="8"/>
    </row>
    <row r="1406" spans="2:14" ht="15.75" customHeight="1" x14ac:dyDescent="0.25">
      <c r="B1406" s="6"/>
      <c r="K1406" s="7"/>
      <c r="N1406" s="8"/>
    </row>
    <row r="1407" spans="2:14" ht="15.75" customHeight="1" x14ac:dyDescent="0.25">
      <c r="B1407" s="6"/>
      <c r="K1407" s="7"/>
      <c r="N1407" s="8"/>
    </row>
    <row r="1408" spans="2:14" ht="15.75" customHeight="1" x14ac:dyDescent="0.25">
      <c r="B1408" s="6"/>
      <c r="K1408" s="7"/>
      <c r="N1408" s="8"/>
    </row>
    <row r="1409" spans="2:14" ht="15.75" customHeight="1" x14ac:dyDescent="0.25">
      <c r="B1409" s="6"/>
      <c r="K1409" s="7"/>
      <c r="N1409" s="8"/>
    </row>
    <row r="1410" spans="2:14" ht="15.75" customHeight="1" x14ac:dyDescent="0.25">
      <c r="B1410" s="6"/>
      <c r="K1410" s="7"/>
      <c r="N1410" s="8"/>
    </row>
    <row r="1411" spans="2:14" ht="15.75" customHeight="1" x14ac:dyDescent="0.25">
      <c r="B1411" s="6"/>
      <c r="K1411" s="7"/>
      <c r="N1411" s="8"/>
    </row>
    <row r="1412" spans="2:14" ht="15.75" customHeight="1" x14ac:dyDescent="0.25">
      <c r="B1412" s="6"/>
      <c r="K1412" s="7"/>
      <c r="N1412" s="8"/>
    </row>
    <row r="1413" spans="2:14" ht="15.75" customHeight="1" x14ac:dyDescent="0.25">
      <c r="B1413" s="6"/>
      <c r="K1413" s="7"/>
      <c r="N1413" s="8"/>
    </row>
    <row r="1414" spans="2:14" ht="15.75" customHeight="1" x14ac:dyDescent="0.25">
      <c r="B1414" s="6"/>
      <c r="K1414" s="7"/>
      <c r="N1414" s="8"/>
    </row>
    <row r="1415" spans="2:14" ht="15.75" customHeight="1" x14ac:dyDescent="0.25">
      <c r="B1415" s="6"/>
      <c r="K1415" s="7"/>
      <c r="N1415" s="8"/>
    </row>
    <row r="1416" spans="2:14" ht="15.75" customHeight="1" x14ac:dyDescent="0.25">
      <c r="B1416" s="6"/>
      <c r="K1416" s="7"/>
      <c r="N1416" s="8"/>
    </row>
    <row r="1417" spans="2:14" ht="15.75" customHeight="1" x14ac:dyDescent="0.25">
      <c r="B1417" s="6"/>
      <c r="K1417" s="7"/>
      <c r="N1417" s="8"/>
    </row>
    <row r="1418" spans="2:14" ht="15.75" customHeight="1" x14ac:dyDescent="0.25">
      <c r="B1418" s="6"/>
      <c r="K1418" s="7"/>
      <c r="N1418" s="8"/>
    </row>
    <row r="1419" spans="2:14" ht="15.75" customHeight="1" x14ac:dyDescent="0.25">
      <c r="B1419" s="6"/>
      <c r="K1419" s="7"/>
      <c r="N1419" s="8"/>
    </row>
    <row r="1420" spans="2:14" ht="15.75" customHeight="1" x14ac:dyDescent="0.25">
      <c r="B1420" s="6"/>
      <c r="K1420" s="7"/>
      <c r="N1420" s="8"/>
    </row>
    <row r="1421" spans="2:14" ht="15.75" customHeight="1" x14ac:dyDescent="0.25">
      <c r="B1421" s="6"/>
      <c r="K1421" s="7"/>
      <c r="N1421" s="8"/>
    </row>
    <row r="1422" spans="2:14" ht="15.75" customHeight="1" x14ac:dyDescent="0.25">
      <c r="B1422" s="6"/>
      <c r="K1422" s="7"/>
      <c r="N1422" s="8"/>
    </row>
    <row r="1423" spans="2:14" ht="15.75" customHeight="1" x14ac:dyDescent="0.25">
      <c r="B1423" s="6"/>
      <c r="K1423" s="7"/>
      <c r="N1423" s="8"/>
    </row>
    <row r="1424" spans="2:14" ht="15.75" customHeight="1" x14ac:dyDescent="0.25">
      <c r="B1424" s="6"/>
      <c r="K1424" s="7"/>
      <c r="N1424" s="8"/>
    </row>
    <row r="1425" spans="2:14" ht="15.75" customHeight="1" x14ac:dyDescent="0.25">
      <c r="B1425" s="6"/>
      <c r="K1425" s="7"/>
      <c r="N1425" s="8"/>
    </row>
    <row r="1426" spans="2:14" ht="15.75" customHeight="1" x14ac:dyDescent="0.25">
      <c r="B1426" s="6"/>
      <c r="K1426" s="7"/>
      <c r="N1426" s="8"/>
    </row>
    <row r="1427" spans="2:14" ht="15.75" customHeight="1" x14ac:dyDescent="0.25">
      <c r="B1427" s="6"/>
      <c r="K1427" s="7"/>
      <c r="N1427" s="8"/>
    </row>
    <row r="1428" spans="2:14" ht="15.75" customHeight="1" x14ac:dyDescent="0.25">
      <c r="B1428" s="6"/>
      <c r="K1428" s="7"/>
      <c r="N1428" s="8"/>
    </row>
    <row r="1429" spans="2:14" ht="15.75" customHeight="1" x14ac:dyDescent="0.25">
      <c r="B1429" s="6"/>
      <c r="K1429" s="7"/>
      <c r="N1429" s="8"/>
    </row>
    <row r="1430" spans="2:14" ht="15.75" customHeight="1" x14ac:dyDescent="0.25">
      <c r="B1430" s="6"/>
      <c r="K1430" s="7"/>
      <c r="N1430" s="8"/>
    </row>
    <row r="1431" spans="2:14" ht="15.75" customHeight="1" x14ac:dyDescent="0.25">
      <c r="B1431" s="6"/>
      <c r="K1431" s="7"/>
      <c r="N1431" s="8"/>
    </row>
    <row r="1432" spans="2:14" ht="15.75" customHeight="1" x14ac:dyDescent="0.25">
      <c r="B1432" s="6"/>
      <c r="K1432" s="7"/>
      <c r="N1432" s="8"/>
    </row>
    <row r="1433" spans="2:14" ht="15.75" customHeight="1" x14ac:dyDescent="0.25">
      <c r="B1433" s="6"/>
      <c r="K1433" s="7"/>
      <c r="N1433" s="8"/>
    </row>
    <row r="1434" spans="2:14" ht="15.75" customHeight="1" x14ac:dyDescent="0.25">
      <c r="B1434" s="6"/>
      <c r="K1434" s="7"/>
      <c r="N1434" s="8"/>
    </row>
    <row r="1435" spans="2:14" ht="15.75" customHeight="1" x14ac:dyDescent="0.25">
      <c r="B1435" s="6"/>
      <c r="K1435" s="7"/>
      <c r="N1435" s="8"/>
    </row>
    <row r="1436" spans="2:14" ht="15.75" customHeight="1" x14ac:dyDescent="0.25">
      <c r="B1436" s="6"/>
      <c r="K1436" s="7"/>
      <c r="N1436" s="8"/>
    </row>
    <row r="1437" spans="2:14" ht="15.75" customHeight="1" x14ac:dyDescent="0.25">
      <c r="B1437" s="6"/>
      <c r="K1437" s="7"/>
      <c r="N1437" s="8"/>
    </row>
    <row r="1438" spans="2:14" ht="15.75" customHeight="1" x14ac:dyDescent="0.25">
      <c r="B1438" s="6"/>
      <c r="K1438" s="7"/>
      <c r="N1438" s="8"/>
    </row>
    <row r="1439" spans="2:14" ht="15.75" customHeight="1" x14ac:dyDescent="0.25">
      <c r="B1439" s="6"/>
      <c r="K1439" s="7"/>
      <c r="N1439" s="8"/>
    </row>
    <row r="1440" spans="2:14" ht="15.75" customHeight="1" x14ac:dyDescent="0.25">
      <c r="B1440" s="6"/>
      <c r="K1440" s="7"/>
      <c r="N1440" s="8"/>
    </row>
    <row r="1441" spans="2:14" ht="15.75" customHeight="1" x14ac:dyDescent="0.25">
      <c r="B1441" s="6"/>
      <c r="K1441" s="7"/>
      <c r="N1441" s="8"/>
    </row>
    <row r="1442" spans="2:14" ht="15.75" customHeight="1" x14ac:dyDescent="0.25">
      <c r="B1442" s="6"/>
      <c r="K1442" s="7"/>
      <c r="N1442" s="8"/>
    </row>
    <row r="1443" spans="2:14" ht="15.75" customHeight="1" x14ac:dyDescent="0.25">
      <c r="B1443" s="6"/>
      <c r="K1443" s="7"/>
      <c r="N1443" s="8"/>
    </row>
    <row r="1444" spans="2:14" ht="15.75" customHeight="1" x14ac:dyDescent="0.25">
      <c r="B1444" s="6"/>
      <c r="K1444" s="7"/>
      <c r="N1444" s="8"/>
    </row>
    <row r="1445" spans="2:14" ht="15.75" customHeight="1" x14ac:dyDescent="0.25">
      <c r="B1445" s="6"/>
      <c r="K1445" s="7"/>
      <c r="N1445" s="8"/>
    </row>
    <row r="1446" spans="2:14" ht="15.75" customHeight="1" x14ac:dyDescent="0.25">
      <c r="B1446" s="6"/>
      <c r="K1446" s="7"/>
      <c r="N1446" s="8"/>
    </row>
    <row r="1447" spans="2:14" ht="15.75" customHeight="1" x14ac:dyDescent="0.25">
      <c r="B1447" s="6"/>
      <c r="K1447" s="7"/>
      <c r="N1447" s="8"/>
    </row>
    <row r="1448" spans="2:14" ht="15.75" customHeight="1" x14ac:dyDescent="0.25">
      <c r="B1448" s="6"/>
      <c r="K1448" s="7"/>
      <c r="N1448" s="8"/>
    </row>
    <row r="1449" spans="2:14" ht="15.75" customHeight="1" x14ac:dyDescent="0.25">
      <c r="B1449" s="6"/>
      <c r="K1449" s="7"/>
      <c r="N1449" s="8"/>
    </row>
    <row r="1450" spans="2:14" ht="15.75" customHeight="1" x14ac:dyDescent="0.25">
      <c r="B1450" s="6"/>
      <c r="K1450" s="7"/>
      <c r="N1450" s="8"/>
    </row>
    <row r="1451" spans="2:14" ht="15.75" customHeight="1" x14ac:dyDescent="0.25">
      <c r="B1451" s="6"/>
      <c r="K1451" s="7"/>
      <c r="N1451" s="8"/>
    </row>
    <row r="1452" spans="2:14" ht="15.75" customHeight="1" x14ac:dyDescent="0.25">
      <c r="B1452" s="6"/>
      <c r="K1452" s="7"/>
      <c r="N1452" s="8"/>
    </row>
    <row r="1453" spans="2:14" ht="15.75" customHeight="1" x14ac:dyDescent="0.25">
      <c r="B1453" s="6"/>
      <c r="K1453" s="7"/>
      <c r="N1453" s="8"/>
    </row>
    <row r="1454" spans="2:14" ht="15.75" customHeight="1" x14ac:dyDescent="0.25">
      <c r="B1454" s="6"/>
      <c r="K1454" s="7"/>
      <c r="N1454" s="8"/>
    </row>
    <row r="1455" spans="2:14" ht="15.75" customHeight="1" x14ac:dyDescent="0.25">
      <c r="B1455" s="6"/>
      <c r="K1455" s="7"/>
      <c r="N1455" s="8"/>
    </row>
    <row r="1456" spans="2:14" ht="15.75" customHeight="1" x14ac:dyDescent="0.25">
      <c r="B1456" s="6"/>
      <c r="K1456" s="7"/>
      <c r="N1456" s="8"/>
    </row>
    <row r="1457" spans="2:14" ht="15.75" customHeight="1" x14ac:dyDescent="0.25">
      <c r="B1457" s="6"/>
      <c r="K1457" s="7"/>
      <c r="N1457" s="8"/>
    </row>
    <row r="1458" spans="2:14" ht="15.75" customHeight="1" x14ac:dyDescent="0.25">
      <c r="B1458" s="6"/>
      <c r="K1458" s="7"/>
      <c r="N1458" s="8"/>
    </row>
    <row r="1459" spans="2:14" ht="15.75" customHeight="1" x14ac:dyDescent="0.25">
      <c r="B1459" s="6"/>
      <c r="K1459" s="7"/>
      <c r="N1459" s="8"/>
    </row>
    <row r="1460" spans="2:14" ht="15.75" customHeight="1" x14ac:dyDescent="0.25">
      <c r="B1460" s="6"/>
      <c r="K1460" s="7"/>
      <c r="N1460" s="8"/>
    </row>
    <row r="1461" spans="2:14" ht="15.75" customHeight="1" x14ac:dyDescent="0.25">
      <c r="B1461" s="6"/>
      <c r="K1461" s="7"/>
      <c r="N1461" s="8"/>
    </row>
    <row r="1462" spans="2:14" ht="15.75" customHeight="1" x14ac:dyDescent="0.25">
      <c r="B1462" s="6"/>
      <c r="K1462" s="7"/>
      <c r="N1462" s="8"/>
    </row>
    <row r="1463" spans="2:14" ht="15.75" customHeight="1" x14ac:dyDescent="0.25">
      <c r="B1463" s="6"/>
      <c r="K1463" s="7"/>
      <c r="N1463" s="8"/>
    </row>
    <row r="1464" spans="2:14" ht="15.75" customHeight="1" x14ac:dyDescent="0.25">
      <c r="B1464" s="6"/>
      <c r="K1464" s="7"/>
      <c r="N1464" s="8"/>
    </row>
    <row r="1465" spans="2:14" ht="15.75" customHeight="1" x14ac:dyDescent="0.25">
      <c r="B1465" s="6"/>
      <c r="K1465" s="7"/>
      <c r="N1465" s="8"/>
    </row>
    <row r="1466" spans="2:14" ht="15.75" customHeight="1" x14ac:dyDescent="0.25">
      <c r="B1466" s="6"/>
      <c r="K1466" s="7"/>
      <c r="N1466" s="8"/>
    </row>
    <row r="1467" spans="2:14" ht="15.75" customHeight="1" x14ac:dyDescent="0.25">
      <c r="B1467" s="6"/>
      <c r="K1467" s="7"/>
      <c r="N1467" s="8"/>
    </row>
    <row r="1468" spans="2:14" ht="15.75" customHeight="1" x14ac:dyDescent="0.25">
      <c r="B1468" s="6"/>
      <c r="K1468" s="7"/>
      <c r="N1468" s="8"/>
    </row>
    <row r="1469" spans="2:14" ht="15.75" customHeight="1" x14ac:dyDescent="0.25">
      <c r="B1469" s="6"/>
      <c r="K1469" s="7"/>
      <c r="N1469" s="8"/>
    </row>
    <row r="1470" spans="2:14" ht="15.75" customHeight="1" x14ac:dyDescent="0.25">
      <c r="B1470" s="6"/>
      <c r="K1470" s="7"/>
      <c r="N1470" s="8"/>
    </row>
    <row r="1471" spans="2:14" ht="15.75" customHeight="1" x14ac:dyDescent="0.25">
      <c r="B1471" s="6"/>
      <c r="K1471" s="7"/>
      <c r="N1471" s="8"/>
    </row>
    <row r="1472" spans="2:14" ht="15.75" customHeight="1" x14ac:dyDescent="0.25">
      <c r="B1472" s="6"/>
      <c r="K1472" s="7"/>
      <c r="N1472" s="8"/>
    </row>
    <row r="1473" spans="2:14" ht="15.75" customHeight="1" x14ac:dyDescent="0.25">
      <c r="B1473" s="6"/>
      <c r="K1473" s="7"/>
      <c r="N1473" s="8"/>
    </row>
    <row r="1474" spans="2:14" ht="15.75" customHeight="1" x14ac:dyDescent="0.25">
      <c r="B1474" s="6"/>
      <c r="K1474" s="7"/>
      <c r="N1474" s="8"/>
    </row>
    <row r="1475" spans="2:14" ht="15.75" customHeight="1" x14ac:dyDescent="0.25">
      <c r="B1475" s="6"/>
      <c r="K1475" s="7"/>
      <c r="N1475" s="8"/>
    </row>
    <row r="1476" spans="2:14" ht="15.75" customHeight="1" x14ac:dyDescent="0.25">
      <c r="B1476" s="6"/>
      <c r="K1476" s="7"/>
      <c r="N1476" s="8"/>
    </row>
    <row r="1477" spans="2:14" ht="15.75" customHeight="1" x14ac:dyDescent="0.25">
      <c r="B1477" s="6"/>
      <c r="K1477" s="7"/>
      <c r="N1477" s="8"/>
    </row>
    <row r="1478" spans="2:14" ht="15.75" customHeight="1" x14ac:dyDescent="0.25">
      <c r="B1478" s="6"/>
      <c r="K1478" s="7"/>
      <c r="N1478" s="8"/>
    </row>
    <row r="1479" spans="2:14" ht="15.75" customHeight="1" x14ac:dyDescent="0.25">
      <c r="B1479" s="6"/>
      <c r="K1479" s="7"/>
      <c r="N1479" s="8"/>
    </row>
    <row r="1480" spans="2:14" ht="15.75" customHeight="1" x14ac:dyDescent="0.25">
      <c r="B1480" s="6"/>
      <c r="K1480" s="7"/>
      <c r="N1480" s="8"/>
    </row>
    <row r="1481" spans="2:14" ht="15.75" customHeight="1" x14ac:dyDescent="0.25">
      <c r="B1481" s="6"/>
      <c r="K1481" s="7"/>
      <c r="N1481" s="8"/>
    </row>
    <row r="1482" spans="2:14" ht="15.75" customHeight="1" x14ac:dyDescent="0.25">
      <c r="B1482" s="6"/>
      <c r="K1482" s="7"/>
      <c r="N1482" s="8"/>
    </row>
    <row r="1483" spans="2:14" ht="15.75" customHeight="1" x14ac:dyDescent="0.25">
      <c r="B1483" s="6"/>
      <c r="K1483" s="7"/>
      <c r="N1483" s="8"/>
    </row>
    <row r="1484" spans="2:14" ht="15.75" customHeight="1" x14ac:dyDescent="0.25">
      <c r="B1484" s="6"/>
      <c r="K1484" s="7"/>
      <c r="N1484" s="8"/>
    </row>
    <row r="1485" spans="2:14" ht="15.75" customHeight="1" x14ac:dyDescent="0.25">
      <c r="B1485" s="6"/>
      <c r="K1485" s="7"/>
      <c r="N1485" s="8"/>
    </row>
    <row r="1486" spans="2:14" ht="15.75" customHeight="1" x14ac:dyDescent="0.25">
      <c r="B1486" s="6"/>
      <c r="K1486" s="7"/>
      <c r="N1486" s="8"/>
    </row>
    <row r="1487" spans="2:14" ht="15.75" customHeight="1" x14ac:dyDescent="0.25">
      <c r="B1487" s="6"/>
      <c r="K1487" s="7"/>
      <c r="N1487" s="8"/>
    </row>
    <row r="1488" spans="2:14" ht="15.75" customHeight="1" x14ac:dyDescent="0.25">
      <c r="B1488" s="6"/>
      <c r="K1488" s="7"/>
      <c r="N1488" s="8"/>
    </row>
    <row r="1489" spans="2:14" ht="15.75" customHeight="1" x14ac:dyDescent="0.25">
      <c r="B1489" s="6"/>
      <c r="K1489" s="7"/>
      <c r="N1489" s="8"/>
    </row>
    <row r="1490" spans="2:14" ht="15.75" customHeight="1" x14ac:dyDescent="0.25">
      <c r="B1490" s="6"/>
      <c r="K1490" s="7"/>
      <c r="N1490" s="8"/>
    </row>
    <row r="1491" spans="2:14" ht="15.75" customHeight="1" x14ac:dyDescent="0.25">
      <c r="B1491" s="6"/>
      <c r="K1491" s="7"/>
      <c r="N1491" s="8"/>
    </row>
    <row r="1492" spans="2:14" ht="15.75" customHeight="1" x14ac:dyDescent="0.25">
      <c r="B1492" s="6"/>
      <c r="K1492" s="7"/>
      <c r="N1492" s="8"/>
    </row>
    <row r="1493" spans="2:14" ht="15.75" customHeight="1" x14ac:dyDescent="0.25">
      <c r="B1493" s="6"/>
      <c r="K1493" s="7"/>
      <c r="N1493" s="8"/>
    </row>
    <row r="1494" spans="2:14" ht="15.75" customHeight="1" x14ac:dyDescent="0.25">
      <c r="B1494" s="6"/>
      <c r="K1494" s="7"/>
      <c r="N1494" s="8"/>
    </row>
    <row r="1495" spans="2:14" ht="15.75" customHeight="1" x14ac:dyDescent="0.25">
      <c r="B1495" s="6"/>
      <c r="K1495" s="7"/>
      <c r="N1495" s="8"/>
    </row>
    <row r="1496" spans="2:14" ht="15.75" customHeight="1" x14ac:dyDescent="0.25">
      <c r="B1496" s="6"/>
      <c r="K1496" s="7"/>
      <c r="N1496" s="8"/>
    </row>
    <row r="1497" spans="2:14" ht="15.75" customHeight="1" x14ac:dyDescent="0.25">
      <c r="B1497" s="6"/>
      <c r="K1497" s="7"/>
      <c r="N1497" s="8"/>
    </row>
    <row r="1498" spans="2:14" ht="15.75" customHeight="1" x14ac:dyDescent="0.25">
      <c r="B1498" s="6"/>
      <c r="K1498" s="7"/>
      <c r="N1498" s="8"/>
    </row>
    <row r="1499" spans="2:14" ht="15.75" customHeight="1" x14ac:dyDescent="0.25">
      <c r="B1499" s="6"/>
      <c r="K1499" s="7"/>
      <c r="N1499" s="8"/>
    </row>
    <row r="1500" spans="2:14" ht="15.75" customHeight="1" x14ac:dyDescent="0.25">
      <c r="B1500" s="6"/>
      <c r="K1500" s="7"/>
      <c r="N1500" s="8"/>
    </row>
    <row r="1501" spans="2:14" ht="15.75" customHeight="1" x14ac:dyDescent="0.25">
      <c r="B1501" s="6"/>
      <c r="K1501" s="7"/>
      <c r="N1501" s="8"/>
    </row>
    <row r="1502" spans="2:14" ht="15.75" customHeight="1" x14ac:dyDescent="0.25">
      <c r="B1502" s="6"/>
      <c r="K1502" s="7"/>
      <c r="N1502" s="8"/>
    </row>
    <row r="1503" spans="2:14" ht="15.75" customHeight="1" x14ac:dyDescent="0.25">
      <c r="B1503" s="6"/>
      <c r="K1503" s="7"/>
      <c r="N1503" s="8"/>
    </row>
    <row r="1504" spans="2:14" ht="15.75" customHeight="1" x14ac:dyDescent="0.25">
      <c r="B1504" s="6"/>
      <c r="K1504" s="7"/>
      <c r="N1504" s="8"/>
    </row>
    <row r="1505" spans="2:14" ht="15.75" customHeight="1" x14ac:dyDescent="0.25">
      <c r="B1505" s="6"/>
      <c r="K1505" s="7"/>
      <c r="N1505" s="8"/>
    </row>
    <row r="1506" spans="2:14" ht="15.75" customHeight="1" x14ac:dyDescent="0.25">
      <c r="B1506" s="6"/>
      <c r="K1506" s="7"/>
      <c r="N1506" s="8"/>
    </row>
    <row r="1507" spans="2:14" ht="15.75" customHeight="1" x14ac:dyDescent="0.25">
      <c r="B1507" s="6"/>
      <c r="K1507" s="7"/>
      <c r="N1507" s="8"/>
    </row>
    <row r="1508" spans="2:14" ht="15.75" customHeight="1" x14ac:dyDescent="0.25">
      <c r="B1508" s="6"/>
      <c r="K1508" s="7"/>
      <c r="N1508" s="8"/>
    </row>
    <row r="1509" spans="2:14" ht="15.75" customHeight="1" x14ac:dyDescent="0.25">
      <c r="B1509" s="6"/>
      <c r="K1509" s="7"/>
      <c r="N1509" s="8"/>
    </row>
    <row r="1510" spans="2:14" ht="15.75" customHeight="1" x14ac:dyDescent="0.25">
      <c r="B1510" s="6"/>
      <c r="K1510" s="7"/>
      <c r="N1510" s="8"/>
    </row>
    <row r="1511" spans="2:14" ht="15.75" customHeight="1" x14ac:dyDescent="0.25">
      <c r="B1511" s="6"/>
      <c r="K1511" s="7"/>
      <c r="N1511" s="8"/>
    </row>
    <row r="1512" spans="2:14" ht="15.75" customHeight="1" x14ac:dyDescent="0.25">
      <c r="B1512" s="6"/>
      <c r="K1512" s="7"/>
      <c r="N1512" s="8"/>
    </row>
    <row r="1513" spans="2:14" ht="15.75" customHeight="1" x14ac:dyDescent="0.25">
      <c r="B1513" s="6"/>
      <c r="K1513" s="7"/>
      <c r="N1513" s="8"/>
    </row>
    <row r="1514" spans="2:14" ht="15.75" customHeight="1" x14ac:dyDescent="0.25">
      <c r="B1514" s="6"/>
      <c r="K1514" s="7"/>
      <c r="N1514" s="8"/>
    </row>
    <row r="1515" spans="2:14" ht="15.75" customHeight="1" x14ac:dyDescent="0.25">
      <c r="B1515" s="6"/>
      <c r="K1515" s="7"/>
      <c r="N1515" s="8"/>
    </row>
    <row r="1516" spans="2:14" ht="15.75" customHeight="1" x14ac:dyDescent="0.25">
      <c r="B1516" s="6"/>
      <c r="K1516" s="7"/>
      <c r="N1516" s="8"/>
    </row>
    <row r="1517" spans="2:14" ht="15.75" customHeight="1" x14ac:dyDescent="0.25">
      <c r="B1517" s="6"/>
      <c r="K1517" s="7"/>
      <c r="N1517" s="8"/>
    </row>
    <row r="1518" spans="2:14" ht="15.75" customHeight="1" x14ac:dyDescent="0.25">
      <c r="B1518" s="6"/>
      <c r="K1518" s="7"/>
      <c r="N1518" s="8"/>
    </row>
    <row r="1519" spans="2:14" ht="15.75" customHeight="1" x14ac:dyDescent="0.25">
      <c r="B1519" s="6"/>
      <c r="K1519" s="7"/>
      <c r="N1519" s="8"/>
    </row>
    <row r="1520" spans="2:14" ht="15.75" customHeight="1" x14ac:dyDescent="0.25">
      <c r="B1520" s="6"/>
      <c r="K1520" s="7"/>
      <c r="N1520" s="8"/>
    </row>
    <row r="1521" spans="2:14" ht="15.75" customHeight="1" x14ac:dyDescent="0.25">
      <c r="B1521" s="6"/>
      <c r="K1521" s="7"/>
      <c r="N1521" s="8"/>
    </row>
    <row r="1522" spans="2:14" ht="15.75" customHeight="1" x14ac:dyDescent="0.25">
      <c r="B1522" s="6"/>
      <c r="K1522" s="7"/>
      <c r="N1522" s="8"/>
    </row>
    <row r="1523" spans="2:14" ht="15.75" customHeight="1" x14ac:dyDescent="0.25">
      <c r="B1523" s="6"/>
      <c r="K1523" s="7"/>
      <c r="N1523" s="8"/>
    </row>
    <row r="1524" spans="2:14" ht="15.75" customHeight="1" x14ac:dyDescent="0.25">
      <c r="B1524" s="6"/>
      <c r="K1524" s="7"/>
      <c r="N1524" s="8"/>
    </row>
    <row r="1525" spans="2:14" ht="15.75" customHeight="1" x14ac:dyDescent="0.25">
      <c r="B1525" s="6"/>
      <c r="K1525" s="7"/>
      <c r="N1525" s="8"/>
    </row>
    <row r="1526" spans="2:14" ht="15.75" customHeight="1" x14ac:dyDescent="0.25">
      <c r="B1526" s="6"/>
      <c r="K1526" s="7"/>
      <c r="N1526" s="8"/>
    </row>
    <row r="1527" spans="2:14" ht="15.75" customHeight="1" x14ac:dyDescent="0.25">
      <c r="B1527" s="6"/>
      <c r="K1527" s="7"/>
      <c r="N1527" s="8"/>
    </row>
    <row r="1528" spans="2:14" ht="15.75" customHeight="1" x14ac:dyDescent="0.25">
      <c r="B1528" s="6"/>
      <c r="K1528" s="7"/>
      <c r="N1528" s="8"/>
    </row>
    <row r="1529" spans="2:14" ht="15.75" customHeight="1" x14ac:dyDescent="0.25">
      <c r="B1529" s="6"/>
      <c r="K1529" s="7"/>
      <c r="N1529" s="8"/>
    </row>
    <row r="1530" spans="2:14" ht="15.75" customHeight="1" x14ac:dyDescent="0.25">
      <c r="B1530" s="6"/>
      <c r="K1530" s="7"/>
      <c r="N1530" s="8"/>
    </row>
    <row r="1531" spans="2:14" ht="15.75" customHeight="1" x14ac:dyDescent="0.25">
      <c r="B1531" s="6"/>
      <c r="K1531" s="7"/>
      <c r="N1531" s="8"/>
    </row>
    <row r="1532" spans="2:14" ht="15.75" customHeight="1" x14ac:dyDescent="0.25">
      <c r="B1532" s="6"/>
      <c r="K1532" s="7"/>
      <c r="N1532" s="8"/>
    </row>
    <row r="1533" spans="2:14" ht="15.75" customHeight="1" x14ac:dyDescent="0.25">
      <c r="B1533" s="6"/>
      <c r="K1533" s="7"/>
      <c r="N1533" s="8"/>
    </row>
    <row r="1534" spans="2:14" ht="15.75" customHeight="1" x14ac:dyDescent="0.25">
      <c r="B1534" s="6"/>
      <c r="K1534" s="7"/>
      <c r="N1534" s="8"/>
    </row>
    <row r="1535" spans="2:14" ht="15.75" customHeight="1" x14ac:dyDescent="0.25">
      <c r="B1535" s="6"/>
      <c r="K1535" s="7"/>
      <c r="N1535" s="8"/>
    </row>
    <row r="1536" spans="2:14" ht="15.75" customHeight="1" x14ac:dyDescent="0.25">
      <c r="B1536" s="6"/>
      <c r="K1536" s="7"/>
      <c r="N1536" s="8"/>
    </row>
    <row r="1537" spans="2:14" ht="15.75" customHeight="1" x14ac:dyDescent="0.25">
      <c r="B1537" s="6"/>
      <c r="K1537" s="7"/>
      <c r="N1537" s="8"/>
    </row>
    <row r="1538" spans="2:14" ht="15.75" customHeight="1" x14ac:dyDescent="0.25">
      <c r="B1538" s="6"/>
      <c r="K1538" s="7"/>
      <c r="N1538" s="8"/>
    </row>
    <row r="1539" spans="2:14" ht="15.75" customHeight="1" x14ac:dyDescent="0.25">
      <c r="B1539" s="6"/>
      <c r="K1539" s="7"/>
      <c r="N1539" s="8"/>
    </row>
    <row r="1540" spans="2:14" ht="15.75" customHeight="1" x14ac:dyDescent="0.25">
      <c r="B1540" s="6"/>
      <c r="K1540" s="7"/>
      <c r="N1540" s="8"/>
    </row>
    <row r="1541" spans="2:14" ht="15.75" customHeight="1" x14ac:dyDescent="0.25">
      <c r="B1541" s="6"/>
      <c r="K1541" s="7"/>
      <c r="N1541" s="8"/>
    </row>
    <row r="1542" spans="2:14" ht="15.75" customHeight="1" x14ac:dyDescent="0.25">
      <c r="B1542" s="6"/>
      <c r="K1542" s="7"/>
      <c r="N1542" s="8"/>
    </row>
    <row r="1543" spans="2:14" ht="15.75" customHeight="1" x14ac:dyDescent="0.25">
      <c r="B1543" s="6"/>
      <c r="K1543" s="7"/>
      <c r="N1543" s="8"/>
    </row>
    <row r="1544" spans="2:14" ht="15.75" customHeight="1" x14ac:dyDescent="0.25">
      <c r="B1544" s="6"/>
      <c r="K1544" s="7"/>
      <c r="N1544" s="8"/>
    </row>
    <row r="1545" spans="2:14" ht="15.75" customHeight="1" x14ac:dyDescent="0.25">
      <c r="B1545" s="6"/>
      <c r="K1545" s="7"/>
      <c r="N1545" s="8"/>
    </row>
    <row r="1546" spans="2:14" ht="15.75" customHeight="1" x14ac:dyDescent="0.25">
      <c r="B1546" s="6"/>
      <c r="K1546" s="7"/>
      <c r="N1546" s="8"/>
    </row>
    <row r="1547" spans="2:14" ht="15.75" customHeight="1" x14ac:dyDescent="0.25">
      <c r="B1547" s="6"/>
      <c r="K1547" s="7"/>
      <c r="N1547" s="8"/>
    </row>
    <row r="1548" spans="2:14" ht="15.75" customHeight="1" x14ac:dyDescent="0.25">
      <c r="B1548" s="6"/>
      <c r="K1548" s="7"/>
      <c r="N1548" s="8"/>
    </row>
    <row r="1549" spans="2:14" ht="15.75" customHeight="1" x14ac:dyDescent="0.25">
      <c r="B1549" s="6"/>
      <c r="K1549" s="7"/>
      <c r="N1549" s="8"/>
    </row>
    <row r="1550" spans="2:14" ht="15.75" customHeight="1" x14ac:dyDescent="0.25">
      <c r="B1550" s="6"/>
      <c r="K1550" s="7"/>
      <c r="N1550" s="8"/>
    </row>
    <row r="1551" spans="2:14" ht="15.75" customHeight="1" x14ac:dyDescent="0.25">
      <c r="B1551" s="6"/>
      <c r="K1551" s="7"/>
      <c r="N1551" s="8"/>
    </row>
    <row r="1552" spans="2:14" ht="15.75" customHeight="1" x14ac:dyDescent="0.25">
      <c r="B1552" s="6"/>
      <c r="K1552" s="7"/>
      <c r="N1552" s="8"/>
    </row>
    <row r="1553" spans="2:14" ht="15.75" customHeight="1" x14ac:dyDescent="0.25">
      <c r="B1553" s="6"/>
      <c r="K1553" s="7"/>
      <c r="N1553" s="8"/>
    </row>
    <row r="1554" spans="2:14" ht="15.75" customHeight="1" x14ac:dyDescent="0.25">
      <c r="B1554" s="6"/>
      <c r="K1554" s="7"/>
      <c r="N1554" s="8"/>
    </row>
    <row r="1555" spans="2:14" ht="15.75" customHeight="1" x14ac:dyDescent="0.25">
      <c r="B1555" s="6"/>
      <c r="K1555" s="7"/>
      <c r="N1555" s="8"/>
    </row>
    <row r="1556" spans="2:14" ht="15.75" customHeight="1" x14ac:dyDescent="0.25">
      <c r="B1556" s="6"/>
      <c r="K1556" s="7"/>
      <c r="N1556" s="8"/>
    </row>
    <row r="1557" spans="2:14" ht="15.75" customHeight="1" x14ac:dyDescent="0.25">
      <c r="B1557" s="6"/>
      <c r="K1557" s="7"/>
      <c r="N1557" s="8"/>
    </row>
    <row r="1558" spans="2:14" ht="15.75" customHeight="1" x14ac:dyDescent="0.25">
      <c r="B1558" s="6"/>
      <c r="K1558" s="7"/>
      <c r="N1558" s="8"/>
    </row>
    <row r="1559" spans="2:14" ht="15.75" customHeight="1" x14ac:dyDescent="0.25">
      <c r="B1559" s="6"/>
      <c r="K1559" s="7"/>
      <c r="N1559" s="8"/>
    </row>
    <row r="1560" spans="2:14" ht="15.75" customHeight="1" x14ac:dyDescent="0.25">
      <c r="B1560" s="6"/>
      <c r="K1560" s="7"/>
      <c r="N1560" s="8"/>
    </row>
    <row r="1561" spans="2:14" ht="15.75" customHeight="1" x14ac:dyDescent="0.25">
      <c r="B1561" s="6"/>
      <c r="K1561" s="7"/>
      <c r="N1561" s="8"/>
    </row>
    <row r="1562" spans="2:14" ht="15.75" customHeight="1" x14ac:dyDescent="0.25">
      <c r="B1562" s="6"/>
      <c r="K1562" s="7"/>
      <c r="N1562" s="8"/>
    </row>
    <row r="1563" spans="2:14" ht="15.75" customHeight="1" x14ac:dyDescent="0.25">
      <c r="B1563" s="6"/>
      <c r="K1563" s="7"/>
      <c r="N1563" s="8"/>
    </row>
    <row r="1564" spans="2:14" ht="15.75" customHeight="1" x14ac:dyDescent="0.25">
      <c r="B1564" s="6"/>
      <c r="K1564" s="7"/>
      <c r="N1564" s="8"/>
    </row>
    <row r="1565" spans="2:14" ht="15.75" customHeight="1" x14ac:dyDescent="0.25">
      <c r="B1565" s="6"/>
      <c r="K1565" s="7"/>
      <c r="N1565" s="8"/>
    </row>
    <row r="1566" spans="2:14" ht="15.75" customHeight="1" x14ac:dyDescent="0.25">
      <c r="B1566" s="6"/>
      <c r="K1566" s="7"/>
      <c r="N1566" s="8"/>
    </row>
    <row r="1567" spans="2:14" ht="15.75" customHeight="1" x14ac:dyDescent="0.25">
      <c r="B1567" s="6"/>
      <c r="K1567" s="7"/>
      <c r="N1567" s="8"/>
    </row>
    <row r="1568" spans="2:14" ht="15.75" customHeight="1" x14ac:dyDescent="0.25">
      <c r="B1568" s="6"/>
      <c r="K1568" s="7"/>
      <c r="N1568" s="8"/>
    </row>
    <row r="1569" spans="2:14" ht="15.75" customHeight="1" x14ac:dyDescent="0.25">
      <c r="B1569" s="6"/>
      <c r="K1569" s="7"/>
      <c r="N1569" s="8"/>
    </row>
    <row r="1570" spans="2:14" ht="15.75" customHeight="1" x14ac:dyDescent="0.25">
      <c r="B1570" s="6"/>
      <c r="K1570" s="7"/>
      <c r="N1570" s="8"/>
    </row>
    <row r="1571" spans="2:14" ht="15.75" customHeight="1" x14ac:dyDescent="0.25">
      <c r="B1571" s="6"/>
      <c r="K1571" s="7"/>
      <c r="N1571" s="8"/>
    </row>
    <row r="1572" spans="2:14" ht="15.75" customHeight="1" x14ac:dyDescent="0.25">
      <c r="B1572" s="6"/>
      <c r="K1572" s="7"/>
      <c r="N1572" s="8"/>
    </row>
    <row r="1573" spans="2:14" ht="15.75" customHeight="1" x14ac:dyDescent="0.25">
      <c r="B1573" s="6"/>
      <c r="K1573" s="7"/>
      <c r="N1573" s="8"/>
    </row>
    <row r="1574" spans="2:14" ht="15.75" customHeight="1" x14ac:dyDescent="0.25">
      <c r="B1574" s="6"/>
      <c r="K1574" s="7"/>
      <c r="N1574" s="8"/>
    </row>
    <row r="1575" spans="2:14" ht="15.75" customHeight="1" x14ac:dyDescent="0.25">
      <c r="B1575" s="6"/>
      <c r="K1575" s="7"/>
      <c r="N1575" s="8"/>
    </row>
    <row r="1576" spans="2:14" ht="15.75" customHeight="1" x14ac:dyDescent="0.25">
      <c r="B1576" s="6"/>
      <c r="K1576" s="7"/>
      <c r="N1576" s="8"/>
    </row>
    <row r="1577" spans="2:14" ht="15.75" customHeight="1" x14ac:dyDescent="0.25">
      <c r="B1577" s="6"/>
      <c r="K1577" s="7"/>
      <c r="N1577" s="8"/>
    </row>
    <row r="1578" spans="2:14" ht="15.75" customHeight="1" x14ac:dyDescent="0.25">
      <c r="B1578" s="6"/>
      <c r="K1578" s="7"/>
      <c r="N1578" s="8"/>
    </row>
    <row r="1579" spans="2:14" ht="15.75" customHeight="1" x14ac:dyDescent="0.25">
      <c r="B1579" s="6"/>
      <c r="K1579" s="7"/>
      <c r="N1579" s="8"/>
    </row>
    <row r="1580" spans="2:14" ht="15.75" customHeight="1" x14ac:dyDescent="0.25">
      <c r="B1580" s="6"/>
      <c r="K1580" s="7"/>
      <c r="N1580" s="8"/>
    </row>
    <row r="1581" spans="2:14" ht="15.75" customHeight="1" x14ac:dyDescent="0.25">
      <c r="B1581" s="6"/>
      <c r="K1581" s="7"/>
      <c r="N1581" s="8"/>
    </row>
    <row r="1582" spans="2:14" ht="15.75" customHeight="1" x14ac:dyDescent="0.25">
      <c r="B1582" s="6"/>
      <c r="K1582" s="7"/>
      <c r="N1582" s="8"/>
    </row>
    <row r="1583" spans="2:14" ht="15.75" customHeight="1" x14ac:dyDescent="0.25">
      <c r="B1583" s="6"/>
      <c r="K1583" s="7"/>
      <c r="N1583" s="8"/>
    </row>
    <row r="1584" spans="2:14" ht="15.75" customHeight="1" x14ac:dyDescent="0.25">
      <c r="B1584" s="6"/>
      <c r="K1584" s="7"/>
      <c r="N1584" s="8"/>
    </row>
    <row r="1585" spans="2:14" ht="15.75" customHeight="1" x14ac:dyDescent="0.25">
      <c r="B1585" s="6"/>
      <c r="K1585" s="7"/>
      <c r="N1585" s="8"/>
    </row>
    <row r="1586" spans="2:14" ht="15.75" customHeight="1" x14ac:dyDescent="0.25">
      <c r="B1586" s="6"/>
      <c r="K1586" s="7"/>
      <c r="N1586" s="8"/>
    </row>
    <row r="1587" spans="2:14" ht="15.75" customHeight="1" x14ac:dyDescent="0.25">
      <c r="B1587" s="6"/>
      <c r="K1587" s="7"/>
      <c r="N1587" s="8"/>
    </row>
    <row r="1588" spans="2:14" ht="15.75" customHeight="1" x14ac:dyDescent="0.25">
      <c r="B1588" s="6"/>
      <c r="K1588" s="7"/>
      <c r="N1588" s="8"/>
    </row>
    <row r="1589" spans="2:14" ht="15.75" customHeight="1" x14ac:dyDescent="0.25">
      <c r="B1589" s="6"/>
      <c r="K1589" s="7"/>
      <c r="N1589" s="8"/>
    </row>
    <row r="1590" spans="2:14" ht="15.75" customHeight="1" x14ac:dyDescent="0.25">
      <c r="B1590" s="6"/>
      <c r="K1590" s="7"/>
      <c r="N1590" s="8"/>
    </row>
    <row r="1591" spans="2:14" ht="15.75" customHeight="1" x14ac:dyDescent="0.25">
      <c r="B1591" s="6"/>
      <c r="K1591" s="7"/>
      <c r="N1591" s="8"/>
    </row>
    <row r="1592" spans="2:14" ht="15.75" customHeight="1" x14ac:dyDescent="0.25">
      <c r="B1592" s="6"/>
      <c r="K1592" s="7"/>
      <c r="N1592" s="8"/>
    </row>
    <row r="1593" spans="2:14" ht="15.75" customHeight="1" x14ac:dyDescent="0.25">
      <c r="B1593" s="6"/>
      <c r="K1593" s="7"/>
      <c r="N1593" s="8"/>
    </row>
    <row r="1594" spans="2:14" ht="15.75" customHeight="1" x14ac:dyDescent="0.25">
      <c r="B1594" s="6"/>
      <c r="K1594" s="7"/>
      <c r="N1594" s="8"/>
    </row>
    <row r="1595" spans="2:14" ht="15.75" customHeight="1" x14ac:dyDescent="0.25">
      <c r="B1595" s="6"/>
      <c r="K1595" s="7"/>
      <c r="N1595" s="8"/>
    </row>
    <row r="1596" spans="2:14" ht="15.75" customHeight="1" x14ac:dyDescent="0.25">
      <c r="B1596" s="6"/>
      <c r="K1596" s="7"/>
      <c r="N1596" s="8"/>
    </row>
    <row r="1597" spans="2:14" ht="15.75" customHeight="1" x14ac:dyDescent="0.25">
      <c r="B1597" s="6"/>
      <c r="K1597" s="7"/>
      <c r="N1597" s="8"/>
    </row>
    <row r="1598" spans="2:14" ht="15.75" customHeight="1" x14ac:dyDescent="0.25">
      <c r="B1598" s="6"/>
      <c r="K1598" s="7"/>
      <c r="N1598" s="8"/>
    </row>
    <row r="1599" spans="2:14" ht="15.75" customHeight="1" x14ac:dyDescent="0.25">
      <c r="B1599" s="6"/>
      <c r="K1599" s="7"/>
      <c r="N1599" s="8"/>
    </row>
    <row r="1600" spans="2:14" ht="15.75" customHeight="1" x14ac:dyDescent="0.25">
      <c r="B1600" s="6"/>
      <c r="K1600" s="7"/>
      <c r="N1600" s="8"/>
    </row>
    <row r="1601" spans="2:14" ht="15.75" customHeight="1" x14ac:dyDescent="0.25">
      <c r="B1601" s="6"/>
      <c r="K1601" s="7"/>
      <c r="N1601" s="8"/>
    </row>
    <row r="1602" spans="2:14" ht="15.75" customHeight="1" x14ac:dyDescent="0.25">
      <c r="B1602" s="6"/>
      <c r="K1602" s="7"/>
      <c r="N1602" s="8"/>
    </row>
    <row r="1603" spans="2:14" ht="15.75" customHeight="1" x14ac:dyDescent="0.25">
      <c r="B1603" s="6"/>
      <c r="K1603" s="7"/>
      <c r="N1603" s="8"/>
    </row>
    <row r="1604" spans="2:14" ht="15.75" customHeight="1" x14ac:dyDescent="0.25">
      <c r="B1604" s="6"/>
      <c r="K1604" s="7"/>
      <c r="N1604" s="8"/>
    </row>
    <row r="1605" spans="2:14" ht="15.75" customHeight="1" x14ac:dyDescent="0.25">
      <c r="B1605" s="6"/>
      <c r="K1605" s="7"/>
      <c r="N1605" s="8"/>
    </row>
    <row r="1606" spans="2:14" ht="15.75" customHeight="1" x14ac:dyDescent="0.25">
      <c r="B1606" s="6"/>
      <c r="K1606" s="7"/>
      <c r="N1606" s="8"/>
    </row>
    <row r="1607" spans="2:14" ht="15.75" customHeight="1" x14ac:dyDescent="0.25">
      <c r="B1607" s="6"/>
      <c r="K1607" s="7"/>
      <c r="N1607" s="8"/>
    </row>
    <row r="1608" spans="2:14" ht="15.75" customHeight="1" x14ac:dyDescent="0.25">
      <c r="B1608" s="6"/>
      <c r="K1608" s="7"/>
      <c r="N1608" s="8"/>
    </row>
    <row r="1609" spans="2:14" ht="15.75" customHeight="1" x14ac:dyDescent="0.25">
      <c r="B1609" s="6"/>
      <c r="K1609" s="7"/>
      <c r="N1609" s="8"/>
    </row>
    <row r="1610" spans="2:14" ht="15.75" customHeight="1" x14ac:dyDescent="0.25">
      <c r="B1610" s="6"/>
      <c r="K1610" s="7"/>
      <c r="N1610" s="8"/>
    </row>
    <row r="1611" spans="2:14" ht="15.75" customHeight="1" x14ac:dyDescent="0.25">
      <c r="B1611" s="6"/>
      <c r="K1611" s="7"/>
      <c r="N1611" s="8"/>
    </row>
    <row r="1612" spans="2:14" ht="15.75" customHeight="1" x14ac:dyDescent="0.25">
      <c r="B1612" s="6"/>
      <c r="K1612" s="7"/>
      <c r="N1612" s="8"/>
    </row>
    <row r="1613" spans="2:14" ht="15.75" customHeight="1" x14ac:dyDescent="0.25">
      <c r="B1613" s="6"/>
      <c r="K1613" s="7"/>
      <c r="N1613" s="8"/>
    </row>
    <row r="1614" spans="2:14" ht="15.75" customHeight="1" x14ac:dyDescent="0.25">
      <c r="B1614" s="6"/>
      <c r="K1614" s="7"/>
      <c r="N1614" s="8"/>
    </row>
    <row r="1615" spans="2:14" ht="15.75" customHeight="1" x14ac:dyDescent="0.25">
      <c r="B1615" s="6"/>
      <c r="K1615" s="7"/>
      <c r="N1615" s="8"/>
    </row>
    <row r="1616" spans="2:14" ht="15.75" customHeight="1" x14ac:dyDescent="0.25">
      <c r="B1616" s="6"/>
      <c r="K1616" s="7"/>
      <c r="N1616" s="8"/>
    </row>
    <row r="1617" spans="2:14" ht="15.75" customHeight="1" x14ac:dyDescent="0.25">
      <c r="B1617" s="6"/>
      <c r="K1617" s="7"/>
      <c r="N1617" s="8"/>
    </row>
    <row r="1618" spans="2:14" ht="15.75" customHeight="1" x14ac:dyDescent="0.25">
      <c r="B1618" s="6"/>
      <c r="K1618" s="7"/>
      <c r="N1618" s="8"/>
    </row>
    <row r="1619" spans="2:14" ht="15.75" customHeight="1" x14ac:dyDescent="0.25">
      <c r="B1619" s="6"/>
      <c r="K1619" s="7"/>
      <c r="N1619" s="8"/>
    </row>
    <row r="1620" spans="2:14" ht="15.75" customHeight="1" x14ac:dyDescent="0.25">
      <c r="B1620" s="6"/>
      <c r="K1620" s="7"/>
      <c r="N1620" s="8"/>
    </row>
    <row r="1621" spans="2:14" ht="15.75" customHeight="1" x14ac:dyDescent="0.25">
      <c r="B1621" s="6"/>
      <c r="K1621" s="7"/>
      <c r="N1621" s="8"/>
    </row>
    <row r="1622" spans="2:14" ht="15.75" customHeight="1" x14ac:dyDescent="0.25">
      <c r="B1622" s="6"/>
      <c r="K1622" s="7"/>
      <c r="N1622" s="8"/>
    </row>
    <row r="1623" spans="2:14" ht="15.75" customHeight="1" x14ac:dyDescent="0.25">
      <c r="B1623" s="6"/>
      <c r="K1623" s="7"/>
      <c r="N1623" s="8"/>
    </row>
    <row r="1624" spans="2:14" ht="15.75" customHeight="1" x14ac:dyDescent="0.25">
      <c r="B1624" s="6"/>
      <c r="K1624" s="7"/>
      <c r="N1624" s="8"/>
    </row>
    <row r="1625" spans="2:14" ht="15.75" customHeight="1" x14ac:dyDescent="0.25">
      <c r="B1625" s="6"/>
      <c r="K1625" s="7"/>
      <c r="N1625" s="8"/>
    </row>
    <row r="1626" spans="2:14" ht="15.75" customHeight="1" x14ac:dyDescent="0.25">
      <c r="B1626" s="6"/>
      <c r="K1626" s="7"/>
      <c r="N1626" s="8"/>
    </row>
    <row r="1627" spans="2:14" ht="15.75" customHeight="1" x14ac:dyDescent="0.25">
      <c r="B1627" s="6"/>
      <c r="K1627" s="7"/>
      <c r="N1627" s="8"/>
    </row>
    <row r="1628" spans="2:14" ht="15.75" customHeight="1" x14ac:dyDescent="0.25">
      <c r="B1628" s="6"/>
      <c r="K1628" s="7"/>
      <c r="N1628" s="8"/>
    </row>
    <row r="1629" spans="2:14" ht="15.75" customHeight="1" x14ac:dyDescent="0.25">
      <c r="B1629" s="6"/>
      <c r="K1629" s="7"/>
      <c r="N1629" s="8"/>
    </row>
    <row r="1630" spans="2:14" ht="15.75" customHeight="1" x14ac:dyDescent="0.25">
      <c r="B1630" s="6"/>
      <c r="K1630" s="7"/>
      <c r="N1630" s="8"/>
    </row>
    <row r="1631" spans="2:14" ht="15.75" customHeight="1" x14ac:dyDescent="0.25">
      <c r="B1631" s="6"/>
      <c r="K1631" s="7"/>
      <c r="N1631" s="8"/>
    </row>
    <row r="1632" spans="2:14" ht="15.75" customHeight="1" x14ac:dyDescent="0.25">
      <c r="B1632" s="6"/>
      <c r="K1632" s="7"/>
      <c r="N1632" s="8"/>
    </row>
    <row r="1633" spans="2:14" ht="15.75" customHeight="1" x14ac:dyDescent="0.25">
      <c r="B1633" s="6"/>
      <c r="K1633" s="7"/>
      <c r="N1633" s="8"/>
    </row>
    <row r="1634" spans="2:14" ht="15.75" customHeight="1" x14ac:dyDescent="0.25">
      <c r="B1634" s="6"/>
      <c r="K1634" s="7"/>
      <c r="N1634" s="8"/>
    </row>
    <row r="1635" spans="2:14" ht="15.75" customHeight="1" x14ac:dyDescent="0.25">
      <c r="B1635" s="6"/>
      <c r="K1635" s="7"/>
      <c r="N1635" s="8"/>
    </row>
    <row r="1636" spans="2:14" ht="15.75" customHeight="1" x14ac:dyDescent="0.25">
      <c r="B1636" s="6"/>
      <c r="K1636" s="7"/>
      <c r="N1636" s="8"/>
    </row>
    <row r="1637" spans="2:14" ht="15.75" customHeight="1" x14ac:dyDescent="0.25">
      <c r="B1637" s="6"/>
      <c r="K1637" s="7"/>
      <c r="N1637" s="8"/>
    </row>
    <row r="1638" spans="2:14" ht="15.75" customHeight="1" x14ac:dyDescent="0.25">
      <c r="B1638" s="6"/>
      <c r="K1638" s="7"/>
      <c r="N1638" s="8"/>
    </row>
    <row r="1639" spans="2:14" ht="15.75" customHeight="1" x14ac:dyDescent="0.25">
      <c r="B1639" s="6"/>
      <c r="K1639" s="7"/>
      <c r="N1639" s="8"/>
    </row>
    <row r="1640" spans="2:14" ht="15.75" customHeight="1" x14ac:dyDescent="0.25">
      <c r="B1640" s="6"/>
      <c r="K1640" s="7"/>
      <c r="N1640" s="8"/>
    </row>
    <row r="1641" spans="2:14" ht="15.75" customHeight="1" x14ac:dyDescent="0.25">
      <c r="B1641" s="6"/>
      <c r="K1641" s="7"/>
      <c r="N1641" s="8"/>
    </row>
    <row r="1642" spans="2:14" ht="15.75" customHeight="1" x14ac:dyDescent="0.25">
      <c r="B1642" s="6"/>
      <c r="K1642" s="7"/>
      <c r="N1642" s="8"/>
    </row>
    <row r="1643" spans="2:14" ht="15.75" customHeight="1" x14ac:dyDescent="0.25">
      <c r="B1643" s="6"/>
      <c r="K1643" s="7"/>
      <c r="N1643" s="8"/>
    </row>
    <row r="1644" spans="2:14" ht="15.75" customHeight="1" x14ac:dyDescent="0.25">
      <c r="B1644" s="6"/>
      <c r="K1644" s="7"/>
      <c r="N1644" s="8"/>
    </row>
    <row r="1645" spans="2:14" ht="15.75" customHeight="1" x14ac:dyDescent="0.25">
      <c r="B1645" s="6"/>
      <c r="K1645" s="7"/>
      <c r="N1645" s="8"/>
    </row>
    <row r="1646" spans="2:14" ht="15.75" customHeight="1" x14ac:dyDescent="0.25">
      <c r="B1646" s="6"/>
      <c r="K1646" s="7"/>
      <c r="N1646" s="8"/>
    </row>
    <row r="1647" spans="2:14" ht="15.75" customHeight="1" x14ac:dyDescent="0.25">
      <c r="B1647" s="6"/>
      <c r="K1647" s="7"/>
      <c r="N1647" s="8"/>
    </row>
    <row r="1648" spans="2:14" ht="15.75" customHeight="1" x14ac:dyDescent="0.25">
      <c r="B1648" s="6"/>
      <c r="K1648" s="7"/>
      <c r="N1648" s="8"/>
    </row>
    <row r="1649" spans="2:14" ht="15.75" customHeight="1" x14ac:dyDescent="0.25">
      <c r="B1649" s="6"/>
      <c r="K1649" s="7"/>
      <c r="N1649" s="8"/>
    </row>
    <row r="1650" spans="2:14" ht="15.75" customHeight="1" x14ac:dyDescent="0.25">
      <c r="B1650" s="6"/>
      <c r="K1650" s="7"/>
      <c r="N1650" s="8"/>
    </row>
    <row r="1651" spans="2:14" ht="15.75" customHeight="1" x14ac:dyDescent="0.25">
      <c r="B1651" s="6"/>
      <c r="K1651" s="7"/>
      <c r="N1651" s="8"/>
    </row>
    <row r="1652" spans="2:14" ht="15.75" customHeight="1" x14ac:dyDescent="0.25">
      <c r="B1652" s="6"/>
      <c r="K1652" s="7"/>
      <c r="N1652" s="8"/>
    </row>
    <row r="1653" spans="2:14" ht="15.75" customHeight="1" x14ac:dyDescent="0.25">
      <c r="B1653" s="6"/>
      <c r="K1653" s="7"/>
      <c r="N1653" s="8"/>
    </row>
    <row r="1654" spans="2:14" ht="15.75" customHeight="1" x14ac:dyDescent="0.25">
      <c r="B1654" s="6"/>
      <c r="K1654" s="7"/>
      <c r="N1654" s="8"/>
    </row>
    <row r="1655" spans="2:14" ht="15.75" customHeight="1" x14ac:dyDescent="0.25">
      <c r="B1655" s="6"/>
      <c r="K1655" s="7"/>
      <c r="N1655" s="8"/>
    </row>
    <row r="1656" spans="2:14" ht="15.75" customHeight="1" x14ac:dyDescent="0.25">
      <c r="B1656" s="6"/>
      <c r="K1656" s="7"/>
      <c r="N1656" s="8"/>
    </row>
    <row r="1657" spans="2:14" ht="15.75" customHeight="1" x14ac:dyDescent="0.25">
      <c r="B1657" s="6"/>
      <c r="K1657" s="7"/>
      <c r="N1657" s="8"/>
    </row>
    <row r="1658" spans="2:14" ht="15.75" customHeight="1" x14ac:dyDescent="0.25">
      <c r="B1658" s="6"/>
      <c r="K1658" s="7"/>
      <c r="N1658" s="8"/>
    </row>
    <row r="1659" spans="2:14" ht="15.75" customHeight="1" x14ac:dyDescent="0.25">
      <c r="B1659" s="6"/>
      <c r="K1659" s="7"/>
      <c r="N1659" s="8"/>
    </row>
    <row r="1660" spans="2:14" ht="15.75" customHeight="1" x14ac:dyDescent="0.25">
      <c r="B1660" s="6"/>
      <c r="K1660" s="7"/>
      <c r="N1660" s="8"/>
    </row>
    <row r="1661" spans="2:14" ht="15.75" customHeight="1" x14ac:dyDescent="0.25">
      <c r="B1661" s="6"/>
      <c r="K1661" s="7"/>
      <c r="N1661" s="8"/>
    </row>
    <row r="1662" spans="2:14" ht="15.75" customHeight="1" x14ac:dyDescent="0.25">
      <c r="B1662" s="6"/>
      <c r="K1662" s="7"/>
      <c r="N1662" s="8"/>
    </row>
    <row r="1663" spans="2:14" ht="15.75" customHeight="1" x14ac:dyDescent="0.25">
      <c r="B1663" s="6"/>
      <c r="K1663" s="7"/>
      <c r="N1663" s="8"/>
    </row>
    <row r="1664" spans="2:14" ht="15.75" customHeight="1" x14ac:dyDescent="0.25">
      <c r="B1664" s="6"/>
      <c r="K1664" s="7"/>
      <c r="N1664" s="8"/>
    </row>
    <row r="1665" spans="2:14" ht="15.75" customHeight="1" x14ac:dyDescent="0.25">
      <c r="B1665" s="6"/>
      <c r="K1665" s="7"/>
      <c r="N1665" s="8"/>
    </row>
    <row r="1666" spans="2:14" ht="15.75" customHeight="1" x14ac:dyDescent="0.25">
      <c r="B1666" s="6"/>
      <c r="K1666" s="7"/>
      <c r="N1666" s="8"/>
    </row>
    <row r="1667" spans="2:14" ht="15.75" customHeight="1" x14ac:dyDescent="0.25">
      <c r="B1667" s="6"/>
      <c r="K1667" s="7"/>
      <c r="N1667" s="8"/>
    </row>
    <row r="1668" spans="2:14" ht="15.75" customHeight="1" x14ac:dyDescent="0.25">
      <c r="B1668" s="6"/>
      <c r="K1668" s="7"/>
      <c r="N1668" s="8"/>
    </row>
    <row r="1669" spans="2:14" ht="15.75" customHeight="1" x14ac:dyDescent="0.25">
      <c r="B1669" s="6"/>
      <c r="K1669" s="7"/>
      <c r="N1669" s="8"/>
    </row>
    <row r="1670" spans="2:14" ht="15.75" customHeight="1" x14ac:dyDescent="0.25">
      <c r="B1670" s="6"/>
      <c r="K1670" s="7"/>
      <c r="N1670" s="8"/>
    </row>
    <row r="1671" spans="2:14" ht="15.75" customHeight="1" x14ac:dyDescent="0.25">
      <c r="B1671" s="6"/>
      <c r="K1671" s="7"/>
      <c r="N1671" s="8"/>
    </row>
    <row r="1672" spans="2:14" ht="15.75" customHeight="1" x14ac:dyDescent="0.25">
      <c r="B1672" s="6"/>
      <c r="K1672" s="7"/>
      <c r="N1672" s="8"/>
    </row>
    <row r="1673" spans="2:14" ht="15.75" customHeight="1" x14ac:dyDescent="0.25">
      <c r="B1673" s="6"/>
      <c r="K1673" s="7"/>
      <c r="N1673" s="8"/>
    </row>
    <row r="1674" spans="2:14" ht="15.75" customHeight="1" x14ac:dyDescent="0.25">
      <c r="B1674" s="6"/>
      <c r="K1674" s="7"/>
      <c r="N1674" s="8"/>
    </row>
    <row r="1675" spans="2:14" ht="15.75" customHeight="1" x14ac:dyDescent="0.25">
      <c r="B1675" s="6"/>
      <c r="K1675" s="7"/>
      <c r="N1675" s="8"/>
    </row>
    <row r="1676" spans="2:14" ht="15.75" customHeight="1" x14ac:dyDescent="0.25">
      <c r="B1676" s="6"/>
      <c r="K1676" s="7"/>
      <c r="N1676" s="8"/>
    </row>
    <row r="1677" spans="2:14" ht="15.75" customHeight="1" x14ac:dyDescent="0.25">
      <c r="B1677" s="6"/>
      <c r="K1677" s="7"/>
      <c r="N1677" s="8"/>
    </row>
    <row r="1678" spans="2:14" ht="15.75" customHeight="1" x14ac:dyDescent="0.25">
      <c r="B1678" s="6"/>
      <c r="K1678" s="7"/>
      <c r="N1678" s="8"/>
    </row>
    <row r="1679" spans="2:14" ht="15.75" customHeight="1" x14ac:dyDescent="0.25">
      <c r="B1679" s="6"/>
      <c r="K1679" s="7"/>
      <c r="N1679" s="8"/>
    </row>
    <row r="1680" spans="2:14" ht="15.75" customHeight="1" x14ac:dyDescent="0.25">
      <c r="B1680" s="6"/>
      <c r="K1680" s="7"/>
      <c r="N1680" s="8"/>
    </row>
    <row r="1681" spans="2:14" ht="15.75" customHeight="1" x14ac:dyDescent="0.25">
      <c r="B1681" s="6"/>
      <c r="K1681" s="7"/>
      <c r="N1681" s="8"/>
    </row>
    <row r="1682" spans="2:14" ht="15.75" customHeight="1" x14ac:dyDescent="0.25">
      <c r="B1682" s="6"/>
      <c r="K1682" s="7"/>
      <c r="N1682" s="8"/>
    </row>
    <row r="1683" spans="2:14" ht="15.75" customHeight="1" x14ac:dyDescent="0.25">
      <c r="B1683" s="6"/>
      <c r="K1683" s="7"/>
      <c r="N1683" s="8"/>
    </row>
    <row r="1684" spans="2:14" ht="15.75" customHeight="1" x14ac:dyDescent="0.25">
      <c r="B1684" s="6"/>
      <c r="K1684" s="7"/>
      <c r="N1684" s="8"/>
    </row>
    <row r="1685" spans="2:14" ht="15.75" customHeight="1" x14ac:dyDescent="0.25">
      <c r="B1685" s="6"/>
      <c r="K1685" s="7"/>
      <c r="N1685" s="8"/>
    </row>
    <row r="1686" spans="2:14" ht="15.75" customHeight="1" x14ac:dyDescent="0.25">
      <c r="B1686" s="6"/>
      <c r="K1686" s="7"/>
      <c r="N1686" s="8"/>
    </row>
    <row r="1687" spans="2:14" ht="15.75" customHeight="1" x14ac:dyDescent="0.25">
      <c r="B1687" s="6"/>
      <c r="K1687" s="7"/>
      <c r="N1687" s="8"/>
    </row>
    <row r="1688" spans="2:14" ht="15.75" customHeight="1" x14ac:dyDescent="0.25">
      <c r="B1688" s="6"/>
      <c r="K1688" s="7"/>
      <c r="N1688" s="8"/>
    </row>
    <row r="1689" spans="2:14" ht="15.75" customHeight="1" x14ac:dyDescent="0.25">
      <c r="B1689" s="6"/>
      <c r="K1689" s="7"/>
      <c r="N1689" s="8"/>
    </row>
    <row r="1690" spans="2:14" ht="15.75" customHeight="1" x14ac:dyDescent="0.25">
      <c r="B1690" s="6"/>
      <c r="K1690" s="7"/>
      <c r="N1690" s="8"/>
    </row>
    <row r="1691" spans="2:14" ht="15.75" customHeight="1" x14ac:dyDescent="0.25">
      <c r="B1691" s="6"/>
      <c r="K1691" s="7"/>
      <c r="N1691" s="8"/>
    </row>
    <row r="1692" spans="2:14" ht="15.75" customHeight="1" x14ac:dyDescent="0.25">
      <c r="B1692" s="6"/>
      <c r="K1692" s="7"/>
      <c r="N1692" s="8"/>
    </row>
    <row r="1693" spans="2:14" ht="15.75" customHeight="1" x14ac:dyDescent="0.25">
      <c r="B1693" s="6"/>
      <c r="K1693" s="7"/>
      <c r="N1693" s="8"/>
    </row>
    <row r="1694" spans="2:14" ht="15.75" customHeight="1" x14ac:dyDescent="0.25">
      <c r="B1694" s="6"/>
      <c r="K1694" s="7"/>
      <c r="N1694" s="8"/>
    </row>
    <row r="1695" spans="2:14" ht="15.75" customHeight="1" x14ac:dyDescent="0.25">
      <c r="B1695" s="6"/>
      <c r="K1695" s="7"/>
      <c r="N1695" s="8"/>
    </row>
    <row r="1696" spans="2:14" ht="15.75" customHeight="1" x14ac:dyDescent="0.25">
      <c r="B1696" s="6"/>
      <c r="K1696" s="7"/>
      <c r="N1696" s="8"/>
    </row>
    <row r="1697" spans="2:14" ht="15.75" customHeight="1" x14ac:dyDescent="0.25">
      <c r="B1697" s="6"/>
      <c r="K1697" s="7"/>
      <c r="N1697" s="8"/>
    </row>
    <row r="1698" spans="2:14" ht="15.75" customHeight="1" x14ac:dyDescent="0.25">
      <c r="B1698" s="6"/>
      <c r="K1698" s="7"/>
      <c r="N1698" s="8"/>
    </row>
    <row r="1699" spans="2:14" ht="15.75" customHeight="1" x14ac:dyDescent="0.25">
      <c r="B1699" s="6"/>
      <c r="K1699" s="7"/>
      <c r="N1699" s="8"/>
    </row>
    <row r="1700" spans="2:14" ht="15.75" customHeight="1" x14ac:dyDescent="0.25">
      <c r="B1700" s="6"/>
      <c r="K1700" s="7"/>
      <c r="N1700" s="8"/>
    </row>
    <row r="1701" spans="2:14" ht="15.75" customHeight="1" x14ac:dyDescent="0.25">
      <c r="B1701" s="6"/>
      <c r="K1701" s="7"/>
      <c r="N1701" s="8"/>
    </row>
    <row r="1702" spans="2:14" ht="15.75" customHeight="1" x14ac:dyDescent="0.25">
      <c r="B1702" s="6"/>
      <c r="K1702" s="7"/>
      <c r="N1702" s="8"/>
    </row>
    <row r="1703" spans="2:14" ht="15.75" customHeight="1" x14ac:dyDescent="0.25">
      <c r="B1703" s="6"/>
      <c r="K1703" s="7"/>
      <c r="N1703" s="8"/>
    </row>
    <row r="1704" spans="2:14" ht="15.75" customHeight="1" x14ac:dyDescent="0.25">
      <c r="B1704" s="6"/>
      <c r="K1704" s="7"/>
      <c r="N1704" s="8"/>
    </row>
    <row r="1705" spans="2:14" ht="15.75" customHeight="1" x14ac:dyDescent="0.25">
      <c r="B1705" s="6"/>
      <c r="K1705" s="7"/>
      <c r="N1705" s="8"/>
    </row>
    <row r="1706" spans="2:14" ht="15.75" customHeight="1" x14ac:dyDescent="0.25">
      <c r="B1706" s="6"/>
      <c r="K1706" s="7"/>
      <c r="N1706" s="8"/>
    </row>
    <row r="1707" spans="2:14" ht="15.75" customHeight="1" x14ac:dyDescent="0.25">
      <c r="B1707" s="6"/>
      <c r="K1707" s="7"/>
      <c r="N1707" s="8"/>
    </row>
    <row r="1708" spans="2:14" ht="15.75" customHeight="1" x14ac:dyDescent="0.25">
      <c r="B1708" s="6"/>
      <c r="K1708" s="7"/>
      <c r="N1708" s="8"/>
    </row>
    <row r="1709" spans="2:14" ht="15.75" customHeight="1" x14ac:dyDescent="0.25">
      <c r="B1709" s="6"/>
      <c r="K1709" s="7"/>
      <c r="N1709" s="8"/>
    </row>
    <row r="1710" spans="2:14" ht="15.75" customHeight="1" x14ac:dyDescent="0.25">
      <c r="B1710" s="6"/>
      <c r="K1710" s="7"/>
      <c r="N1710" s="8"/>
    </row>
    <row r="1711" spans="2:14" ht="15.75" customHeight="1" x14ac:dyDescent="0.25">
      <c r="B1711" s="6"/>
      <c r="K1711" s="7"/>
      <c r="N1711" s="8"/>
    </row>
    <row r="1712" spans="2:14" ht="15.75" customHeight="1" x14ac:dyDescent="0.25">
      <c r="B1712" s="6"/>
      <c r="K1712" s="7"/>
      <c r="N1712" s="8"/>
    </row>
    <row r="1713" spans="2:14" ht="15.75" customHeight="1" x14ac:dyDescent="0.25">
      <c r="B1713" s="6"/>
      <c r="K1713" s="7"/>
      <c r="N1713" s="8"/>
    </row>
    <row r="1714" spans="2:14" ht="15.75" customHeight="1" x14ac:dyDescent="0.25">
      <c r="B1714" s="6"/>
      <c r="K1714" s="7"/>
      <c r="N1714" s="8"/>
    </row>
    <row r="1715" spans="2:14" ht="15.75" customHeight="1" x14ac:dyDescent="0.25">
      <c r="B1715" s="6"/>
      <c r="K1715" s="7"/>
      <c r="N1715" s="8"/>
    </row>
    <row r="1716" spans="2:14" ht="15.75" customHeight="1" x14ac:dyDescent="0.25">
      <c r="B1716" s="6"/>
      <c r="K1716" s="7"/>
      <c r="N1716" s="8"/>
    </row>
    <row r="1717" spans="2:14" ht="15.75" customHeight="1" x14ac:dyDescent="0.25">
      <c r="B1717" s="6"/>
      <c r="K1717" s="7"/>
      <c r="N1717" s="8"/>
    </row>
    <row r="1718" spans="2:14" ht="15.75" customHeight="1" x14ac:dyDescent="0.25">
      <c r="B1718" s="6"/>
      <c r="K1718" s="7"/>
      <c r="N1718" s="8"/>
    </row>
    <row r="1719" spans="2:14" ht="15.75" customHeight="1" x14ac:dyDescent="0.25">
      <c r="B1719" s="6"/>
      <c r="K1719" s="7"/>
      <c r="N1719" s="8"/>
    </row>
    <row r="1720" spans="2:14" ht="15.75" customHeight="1" x14ac:dyDescent="0.25">
      <c r="B1720" s="6"/>
      <c r="K1720" s="7"/>
      <c r="N1720" s="8"/>
    </row>
    <row r="1721" spans="2:14" ht="15.75" customHeight="1" x14ac:dyDescent="0.25">
      <c r="B1721" s="6"/>
      <c r="K1721" s="7"/>
      <c r="N1721" s="8"/>
    </row>
    <row r="1722" spans="2:14" ht="15.75" customHeight="1" x14ac:dyDescent="0.25">
      <c r="B1722" s="6"/>
      <c r="K1722" s="7"/>
      <c r="N1722" s="8"/>
    </row>
    <row r="1723" spans="2:14" ht="15.75" customHeight="1" x14ac:dyDescent="0.25">
      <c r="B1723" s="6"/>
      <c r="K1723" s="7"/>
      <c r="N1723" s="8"/>
    </row>
    <row r="1724" spans="2:14" ht="15.75" customHeight="1" x14ac:dyDescent="0.25">
      <c r="B1724" s="6"/>
      <c r="K1724" s="7"/>
      <c r="N1724" s="8"/>
    </row>
    <row r="1725" spans="2:14" ht="15.75" customHeight="1" x14ac:dyDescent="0.25">
      <c r="B1725" s="6"/>
      <c r="K1725" s="7"/>
      <c r="N1725" s="8"/>
    </row>
    <row r="1726" spans="2:14" ht="15.75" customHeight="1" x14ac:dyDescent="0.25">
      <c r="B1726" s="6"/>
      <c r="K1726" s="7"/>
      <c r="N1726" s="8"/>
    </row>
    <row r="1727" spans="2:14" ht="15.75" customHeight="1" x14ac:dyDescent="0.25">
      <c r="B1727" s="6"/>
      <c r="K1727" s="7"/>
      <c r="N1727" s="8"/>
    </row>
    <row r="1728" spans="2:14" ht="15.75" customHeight="1" x14ac:dyDescent="0.25">
      <c r="B1728" s="6"/>
      <c r="K1728" s="7"/>
      <c r="N1728" s="8"/>
    </row>
    <row r="1729" spans="2:14" ht="15.75" customHeight="1" x14ac:dyDescent="0.25">
      <c r="B1729" s="6"/>
      <c r="K1729" s="7"/>
      <c r="N1729" s="8"/>
    </row>
    <row r="1730" spans="2:14" ht="15.75" customHeight="1" x14ac:dyDescent="0.25">
      <c r="B1730" s="6"/>
      <c r="K1730" s="7"/>
      <c r="N1730" s="8"/>
    </row>
    <row r="1731" spans="2:14" ht="15.75" customHeight="1" x14ac:dyDescent="0.25">
      <c r="B1731" s="6"/>
      <c r="K1731" s="7"/>
      <c r="N1731" s="8"/>
    </row>
    <row r="1732" spans="2:14" ht="15.75" customHeight="1" x14ac:dyDescent="0.25">
      <c r="B1732" s="6"/>
      <c r="K1732" s="7"/>
      <c r="N1732" s="8"/>
    </row>
    <row r="1733" spans="2:14" ht="15.75" customHeight="1" x14ac:dyDescent="0.25">
      <c r="B1733" s="6"/>
      <c r="K1733" s="7"/>
      <c r="N1733" s="8"/>
    </row>
    <row r="1734" spans="2:14" ht="15.75" customHeight="1" x14ac:dyDescent="0.25">
      <c r="B1734" s="6"/>
      <c r="K1734" s="7"/>
      <c r="N1734" s="8"/>
    </row>
    <row r="1735" spans="2:14" ht="15.75" customHeight="1" x14ac:dyDescent="0.25">
      <c r="B1735" s="6"/>
      <c r="K1735" s="7"/>
      <c r="N1735" s="8"/>
    </row>
    <row r="1736" spans="2:14" ht="15.75" customHeight="1" x14ac:dyDescent="0.25">
      <c r="B1736" s="6"/>
      <c r="K1736" s="7"/>
      <c r="N1736" s="8"/>
    </row>
    <row r="1737" spans="2:14" ht="15.75" customHeight="1" x14ac:dyDescent="0.25">
      <c r="B1737" s="6"/>
      <c r="K1737" s="7"/>
      <c r="N1737" s="8"/>
    </row>
    <row r="1738" spans="2:14" ht="15.75" customHeight="1" x14ac:dyDescent="0.25">
      <c r="B1738" s="6"/>
      <c r="K1738" s="7"/>
      <c r="N1738" s="8"/>
    </row>
    <row r="1739" spans="2:14" ht="15.75" customHeight="1" x14ac:dyDescent="0.25">
      <c r="B1739" s="6"/>
      <c r="K1739" s="7"/>
      <c r="N1739" s="8"/>
    </row>
    <row r="1740" spans="2:14" ht="15.75" customHeight="1" x14ac:dyDescent="0.25">
      <c r="B1740" s="6"/>
      <c r="K1740" s="7"/>
      <c r="N1740" s="8"/>
    </row>
    <row r="1741" spans="2:14" ht="15.75" customHeight="1" x14ac:dyDescent="0.25">
      <c r="B1741" s="6"/>
      <c r="K1741" s="7"/>
      <c r="N1741" s="8"/>
    </row>
    <row r="1742" spans="2:14" ht="15.75" customHeight="1" x14ac:dyDescent="0.25">
      <c r="B1742" s="6"/>
      <c r="K1742" s="7"/>
      <c r="N1742" s="8"/>
    </row>
    <row r="1743" spans="2:14" ht="15.75" customHeight="1" x14ac:dyDescent="0.25">
      <c r="B1743" s="6"/>
      <c r="K1743" s="7"/>
      <c r="N1743" s="8"/>
    </row>
    <row r="1744" spans="2:14" ht="15.75" customHeight="1" x14ac:dyDescent="0.25">
      <c r="B1744" s="6"/>
      <c r="K1744" s="7"/>
      <c r="N1744" s="8"/>
    </row>
    <row r="1745" spans="2:14" ht="15.75" customHeight="1" x14ac:dyDescent="0.25">
      <c r="B1745" s="6"/>
      <c r="K1745" s="7"/>
      <c r="N1745" s="8"/>
    </row>
    <row r="1746" spans="2:14" ht="15.75" customHeight="1" x14ac:dyDescent="0.25">
      <c r="B1746" s="6"/>
      <c r="K1746" s="7"/>
      <c r="N1746" s="8"/>
    </row>
    <row r="1747" spans="2:14" ht="15.75" customHeight="1" x14ac:dyDescent="0.25">
      <c r="B1747" s="6"/>
      <c r="K1747" s="7"/>
      <c r="N1747" s="8"/>
    </row>
    <row r="1748" spans="2:14" ht="15.75" customHeight="1" x14ac:dyDescent="0.25">
      <c r="B1748" s="6"/>
      <c r="K1748" s="7"/>
      <c r="N1748" s="8"/>
    </row>
    <row r="1749" spans="2:14" ht="15.75" customHeight="1" x14ac:dyDescent="0.25">
      <c r="B1749" s="6"/>
      <c r="K1749" s="7"/>
      <c r="N1749" s="8"/>
    </row>
    <row r="1750" spans="2:14" ht="15.75" customHeight="1" x14ac:dyDescent="0.25">
      <c r="B1750" s="6"/>
      <c r="K1750" s="7"/>
      <c r="N1750" s="8"/>
    </row>
    <row r="1751" spans="2:14" ht="15.75" customHeight="1" x14ac:dyDescent="0.25">
      <c r="B1751" s="6"/>
      <c r="K1751" s="7"/>
      <c r="N1751" s="8"/>
    </row>
    <row r="1752" spans="2:14" ht="15.75" customHeight="1" x14ac:dyDescent="0.25">
      <c r="B1752" s="6"/>
      <c r="K1752" s="7"/>
      <c r="N1752" s="8"/>
    </row>
    <row r="1753" spans="2:14" ht="15.75" customHeight="1" x14ac:dyDescent="0.25">
      <c r="B1753" s="6"/>
      <c r="K1753" s="7"/>
      <c r="N1753" s="8"/>
    </row>
    <row r="1754" spans="2:14" ht="15.75" customHeight="1" x14ac:dyDescent="0.25">
      <c r="B1754" s="6"/>
      <c r="K1754" s="7"/>
      <c r="N1754" s="8"/>
    </row>
    <row r="1755" spans="2:14" ht="15.75" customHeight="1" x14ac:dyDescent="0.25">
      <c r="B1755" s="6"/>
      <c r="K1755" s="7"/>
      <c r="N1755" s="8"/>
    </row>
    <row r="1756" spans="2:14" ht="15.75" customHeight="1" x14ac:dyDescent="0.25">
      <c r="B1756" s="6"/>
      <c r="K1756" s="7"/>
      <c r="N1756" s="8"/>
    </row>
    <row r="1757" spans="2:14" ht="15.75" customHeight="1" x14ac:dyDescent="0.25">
      <c r="B1757" s="6"/>
      <c r="K1757" s="7"/>
      <c r="N1757" s="8"/>
    </row>
    <row r="1758" spans="2:14" ht="15.75" customHeight="1" x14ac:dyDescent="0.25">
      <c r="B1758" s="6"/>
      <c r="K1758" s="7"/>
      <c r="N1758" s="8"/>
    </row>
    <row r="1759" spans="2:14" ht="15.75" customHeight="1" x14ac:dyDescent="0.25">
      <c r="B1759" s="6"/>
      <c r="K1759" s="7"/>
      <c r="N1759" s="8"/>
    </row>
    <row r="1760" spans="2:14" ht="15.75" customHeight="1" x14ac:dyDescent="0.25">
      <c r="B1760" s="6"/>
      <c r="K1760" s="7"/>
      <c r="N1760" s="8"/>
    </row>
    <row r="1761" spans="2:14" ht="15.75" customHeight="1" x14ac:dyDescent="0.25">
      <c r="B1761" s="6"/>
      <c r="K1761" s="7"/>
      <c r="N1761" s="8"/>
    </row>
    <row r="1762" spans="2:14" ht="15.75" customHeight="1" x14ac:dyDescent="0.25">
      <c r="B1762" s="6"/>
      <c r="K1762" s="7"/>
      <c r="N1762" s="8"/>
    </row>
    <row r="1763" spans="2:14" ht="15.75" customHeight="1" x14ac:dyDescent="0.25">
      <c r="B1763" s="6"/>
      <c r="K1763" s="7"/>
      <c r="N1763" s="8"/>
    </row>
    <row r="1764" spans="2:14" ht="15.75" customHeight="1" x14ac:dyDescent="0.25">
      <c r="B1764" s="6"/>
      <c r="K1764" s="7"/>
      <c r="N1764" s="8"/>
    </row>
    <row r="1765" spans="2:14" ht="15.75" customHeight="1" x14ac:dyDescent="0.25">
      <c r="B1765" s="6"/>
      <c r="K1765" s="7"/>
      <c r="N1765" s="8"/>
    </row>
    <row r="1766" spans="2:14" ht="15.75" customHeight="1" x14ac:dyDescent="0.25">
      <c r="B1766" s="6"/>
      <c r="K1766" s="7"/>
      <c r="N1766" s="8"/>
    </row>
    <row r="1767" spans="2:14" ht="15.75" customHeight="1" x14ac:dyDescent="0.25">
      <c r="B1767" s="6"/>
      <c r="K1767" s="7"/>
      <c r="N1767" s="8"/>
    </row>
    <row r="1768" spans="2:14" ht="15.75" customHeight="1" x14ac:dyDescent="0.25">
      <c r="B1768" s="6"/>
      <c r="K1768" s="7"/>
      <c r="N1768" s="8"/>
    </row>
    <row r="1769" spans="2:14" ht="15.75" customHeight="1" x14ac:dyDescent="0.25">
      <c r="B1769" s="6"/>
      <c r="K1769" s="7"/>
      <c r="N1769" s="8"/>
    </row>
    <row r="1770" spans="2:14" ht="15.75" customHeight="1" x14ac:dyDescent="0.25">
      <c r="B1770" s="6"/>
      <c r="K1770" s="7"/>
      <c r="N1770" s="8"/>
    </row>
    <row r="1771" spans="2:14" ht="15.75" customHeight="1" x14ac:dyDescent="0.25">
      <c r="B1771" s="6"/>
      <c r="K1771" s="7"/>
      <c r="N1771" s="8"/>
    </row>
    <row r="1772" spans="2:14" ht="15.75" customHeight="1" x14ac:dyDescent="0.25">
      <c r="B1772" s="6"/>
      <c r="K1772" s="7"/>
      <c r="N1772" s="8"/>
    </row>
    <row r="1773" spans="2:14" ht="15.75" customHeight="1" x14ac:dyDescent="0.25">
      <c r="B1773" s="6"/>
      <c r="K1773" s="7"/>
      <c r="N1773" s="8"/>
    </row>
    <row r="1774" spans="2:14" ht="15.75" customHeight="1" x14ac:dyDescent="0.25">
      <c r="B1774" s="6"/>
      <c r="K1774" s="7"/>
      <c r="N1774" s="8"/>
    </row>
    <row r="1775" spans="2:14" ht="15.75" customHeight="1" x14ac:dyDescent="0.25">
      <c r="B1775" s="6"/>
      <c r="K1775" s="7"/>
      <c r="N1775" s="8"/>
    </row>
    <row r="1776" spans="2:14" ht="15.75" customHeight="1" x14ac:dyDescent="0.25">
      <c r="B1776" s="6"/>
      <c r="K1776" s="7"/>
      <c r="N1776" s="8"/>
    </row>
    <row r="1777" spans="2:14" ht="15.75" customHeight="1" x14ac:dyDescent="0.25">
      <c r="B1777" s="6"/>
      <c r="K1777" s="7"/>
      <c r="N1777" s="8"/>
    </row>
    <row r="1778" spans="2:14" ht="15.75" customHeight="1" x14ac:dyDescent="0.25">
      <c r="B1778" s="6"/>
      <c r="K1778" s="7"/>
      <c r="N1778" s="8"/>
    </row>
    <row r="1779" spans="2:14" ht="15.75" customHeight="1" x14ac:dyDescent="0.25">
      <c r="B1779" s="6"/>
      <c r="K1779" s="7"/>
      <c r="N1779" s="8"/>
    </row>
    <row r="1780" spans="2:14" ht="15.75" customHeight="1" x14ac:dyDescent="0.25">
      <c r="B1780" s="6"/>
      <c r="K1780" s="7"/>
      <c r="N1780" s="8"/>
    </row>
    <row r="1781" spans="2:14" ht="15.75" customHeight="1" x14ac:dyDescent="0.25">
      <c r="B1781" s="6"/>
      <c r="K1781" s="7"/>
      <c r="N1781" s="8"/>
    </row>
    <row r="1782" spans="2:14" ht="15.75" customHeight="1" x14ac:dyDescent="0.25">
      <c r="B1782" s="6"/>
      <c r="K1782" s="7"/>
      <c r="N1782" s="8"/>
    </row>
    <row r="1783" spans="2:14" ht="15.75" customHeight="1" x14ac:dyDescent="0.25">
      <c r="B1783" s="6"/>
      <c r="K1783" s="7"/>
      <c r="N1783" s="8"/>
    </row>
    <row r="1784" spans="2:14" ht="15.75" customHeight="1" x14ac:dyDescent="0.25">
      <c r="B1784" s="6"/>
      <c r="K1784" s="7"/>
      <c r="N1784" s="8"/>
    </row>
    <row r="1785" spans="2:14" ht="15.75" customHeight="1" x14ac:dyDescent="0.25">
      <c r="B1785" s="6"/>
      <c r="K1785" s="7"/>
      <c r="N1785" s="8"/>
    </row>
    <row r="1786" spans="2:14" ht="15.75" customHeight="1" x14ac:dyDescent="0.25">
      <c r="B1786" s="6"/>
      <c r="K1786" s="7"/>
      <c r="N1786" s="8"/>
    </row>
    <row r="1787" spans="2:14" ht="15.75" customHeight="1" x14ac:dyDescent="0.25">
      <c r="B1787" s="6"/>
      <c r="K1787" s="7"/>
      <c r="N1787" s="8"/>
    </row>
    <row r="1788" spans="2:14" ht="15.75" customHeight="1" x14ac:dyDescent="0.25">
      <c r="B1788" s="6"/>
      <c r="K1788" s="7"/>
      <c r="N1788" s="8"/>
    </row>
    <row r="1789" spans="2:14" ht="15.75" customHeight="1" x14ac:dyDescent="0.25">
      <c r="B1789" s="6"/>
      <c r="K1789" s="7"/>
      <c r="N1789" s="8"/>
    </row>
    <row r="1790" spans="2:14" ht="15.75" customHeight="1" x14ac:dyDescent="0.25">
      <c r="B1790" s="6"/>
      <c r="K1790" s="7"/>
      <c r="N1790" s="8"/>
    </row>
    <row r="1791" spans="2:14" ht="15.75" customHeight="1" x14ac:dyDescent="0.25">
      <c r="B1791" s="6"/>
      <c r="K1791" s="7"/>
      <c r="N1791" s="8"/>
    </row>
    <row r="1792" spans="2:14" ht="15.75" customHeight="1" x14ac:dyDescent="0.25">
      <c r="B1792" s="6"/>
      <c r="K1792" s="7"/>
      <c r="N1792" s="8"/>
    </row>
    <row r="1793" spans="2:14" ht="15.75" customHeight="1" x14ac:dyDescent="0.25">
      <c r="B1793" s="6"/>
      <c r="K1793" s="7"/>
      <c r="N1793" s="8"/>
    </row>
    <row r="1794" spans="2:14" ht="15.75" customHeight="1" x14ac:dyDescent="0.25">
      <c r="B1794" s="6"/>
      <c r="K1794" s="7"/>
      <c r="N1794" s="8"/>
    </row>
    <row r="1795" spans="2:14" ht="15.75" customHeight="1" x14ac:dyDescent="0.25">
      <c r="B1795" s="6"/>
      <c r="K1795" s="7"/>
      <c r="N1795" s="8"/>
    </row>
    <row r="1796" spans="2:14" ht="15.75" customHeight="1" x14ac:dyDescent="0.25">
      <c r="B1796" s="6"/>
      <c r="K1796" s="7"/>
      <c r="N1796" s="8"/>
    </row>
    <row r="1797" spans="2:14" ht="15.75" customHeight="1" x14ac:dyDescent="0.25">
      <c r="B1797" s="6"/>
      <c r="K1797" s="7"/>
      <c r="N1797" s="8"/>
    </row>
    <row r="1798" spans="2:14" ht="15.75" customHeight="1" x14ac:dyDescent="0.25">
      <c r="B1798" s="6"/>
      <c r="K1798" s="7"/>
      <c r="N1798" s="8"/>
    </row>
    <row r="1799" spans="2:14" ht="15.75" customHeight="1" x14ac:dyDescent="0.25">
      <c r="B1799" s="6"/>
      <c r="K1799" s="7"/>
      <c r="N1799" s="8"/>
    </row>
    <row r="1800" spans="2:14" ht="15.75" customHeight="1" x14ac:dyDescent="0.25">
      <c r="B1800" s="6"/>
      <c r="K1800" s="7"/>
      <c r="N1800" s="8"/>
    </row>
    <row r="1801" spans="2:14" ht="15.75" customHeight="1" x14ac:dyDescent="0.25">
      <c r="B1801" s="6"/>
      <c r="K1801" s="7"/>
      <c r="N1801" s="8"/>
    </row>
    <row r="1802" spans="2:14" ht="15.75" customHeight="1" x14ac:dyDescent="0.25">
      <c r="B1802" s="6"/>
      <c r="K1802" s="7"/>
      <c r="N1802" s="8"/>
    </row>
    <row r="1803" spans="2:14" ht="15.75" customHeight="1" x14ac:dyDescent="0.25">
      <c r="B1803" s="6"/>
      <c r="K1803" s="7"/>
      <c r="N1803" s="8"/>
    </row>
    <row r="1804" spans="2:14" ht="15.75" customHeight="1" x14ac:dyDescent="0.25">
      <c r="B1804" s="6"/>
      <c r="K1804" s="7"/>
      <c r="N1804" s="8"/>
    </row>
    <row r="1805" spans="2:14" ht="15.75" customHeight="1" x14ac:dyDescent="0.25">
      <c r="B1805" s="6"/>
      <c r="K1805" s="7"/>
      <c r="N1805" s="8"/>
    </row>
    <row r="1806" spans="2:14" ht="15.75" customHeight="1" x14ac:dyDescent="0.25">
      <c r="B1806" s="6"/>
      <c r="K1806" s="7"/>
      <c r="N1806" s="8"/>
    </row>
    <row r="1807" spans="2:14" ht="15.75" customHeight="1" x14ac:dyDescent="0.25">
      <c r="B1807" s="6"/>
      <c r="K1807" s="7"/>
      <c r="N1807" s="8"/>
    </row>
    <row r="1808" spans="2:14" ht="15.75" customHeight="1" x14ac:dyDescent="0.25">
      <c r="B1808" s="6"/>
      <c r="K1808" s="7"/>
      <c r="N1808" s="8"/>
    </row>
    <row r="1809" spans="2:14" ht="15.75" customHeight="1" x14ac:dyDescent="0.25">
      <c r="B1809" s="6"/>
      <c r="K1809" s="7"/>
      <c r="N1809" s="8"/>
    </row>
    <row r="1810" spans="2:14" ht="15.75" customHeight="1" x14ac:dyDescent="0.25">
      <c r="B1810" s="6"/>
      <c r="K1810" s="7"/>
      <c r="N1810" s="8"/>
    </row>
    <row r="1811" spans="2:14" ht="15.75" customHeight="1" x14ac:dyDescent="0.25">
      <c r="B1811" s="6"/>
      <c r="K1811" s="7"/>
      <c r="N1811" s="8"/>
    </row>
    <row r="1812" spans="2:14" ht="15.75" customHeight="1" x14ac:dyDescent="0.25">
      <c r="B1812" s="6"/>
      <c r="K1812" s="7"/>
      <c r="N1812" s="8"/>
    </row>
    <row r="1813" spans="2:14" ht="15.75" customHeight="1" x14ac:dyDescent="0.25">
      <c r="B1813" s="6"/>
      <c r="K1813" s="7"/>
      <c r="N1813" s="8"/>
    </row>
    <row r="1814" spans="2:14" ht="15.75" customHeight="1" x14ac:dyDescent="0.25">
      <c r="B1814" s="6"/>
      <c r="K1814" s="7"/>
      <c r="N1814" s="8"/>
    </row>
    <row r="1815" spans="2:14" ht="15.75" customHeight="1" x14ac:dyDescent="0.25">
      <c r="B1815" s="6"/>
      <c r="K1815" s="7"/>
      <c r="N1815" s="8"/>
    </row>
    <row r="1816" spans="2:14" ht="15.75" customHeight="1" x14ac:dyDescent="0.25">
      <c r="B1816" s="6"/>
      <c r="K1816" s="7"/>
      <c r="N1816" s="8"/>
    </row>
    <row r="1817" spans="2:14" ht="15.75" customHeight="1" x14ac:dyDescent="0.25">
      <c r="B1817" s="6"/>
      <c r="K1817" s="7"/>
      <c r="N1817" s="8"/>
    </row>
    <row r="1818" spans="2:14" ht="15.75" customHeight="1" x14ac:dyDescent="0.25">
      <c r="B1818" s="6"/>
      <c r="K1818" s="7"/>
      <c r="N1818" s="8"/>
    </row>
    <row r="1819" spans="2:14" ht="15.75" customHeight="1" x14ac:dyDescent="0.25">
      <c r="B1819" s="6"/>
      <c r="K1819" s="7"/>
      <c r="N1819" s="8"/>
    </row>
    <row r="1820" spans="2:14" ht="15.75" customHeight="1" x14ac:dyDescent="0.25">
      <c r="B1820" s="6"/>
      <c r="K1820" s="7"/>
      <c r="N1820" s="8"/>
    </row>
    <row r="1821" spans="2:14" ht="15.75" customHeight="1" x14ac:dyDescent="0.25">
      <c r="B1821" s="6"/>
      <c r="K1821" s="7"/>
      <c r="N1821" s="8"/>
    </row>
    <row r="1822" spans="2:14" ht="15.75" customHeight="1" x14ac:dyDescent="0.25">
      <c r="B1822" s="6"/>
      <c r="K1822" s="7"/>
      <c r="N1822" s="8"/>
    </row>
    <row r="1823" spans="2:14" ht="15.75" customHeight="1" x14ac:dyDescent="0.25">
      <c r="B1823" s="6"/>
      <c r="K1823" s="7"/>
      <c r="N1823" s="8"/>
    </row>
    <row r="1824" spans="2:14" ht="15.75" customHeight="1" x14ac:dyDescent="0.25">
      <c r="B1824" s="6"/>
      <c r="K1824" s="7"/>
      <c r="N1824" s="8"/>
    </row>
    <row r="1825" spans="2:14" ht="15.75" customHeight="1" x14ac:dyDescent="0.25">
      <c r="B1825" s="6"/>
      <c r="K1825" s="7"/>
      <c r="N1825" s="8"/>
    </row>
    <row r="1826" spans="2:14" ht="15.75" customHeight="1" x14ac:dyDescent="0.25">
      <c r="B1826" s="6"/>
      <c r="K1826" s="7"/>
      <c r="N1826" s="8"/>
    </row>
    <row r="1827" spans="2:14" ht="15.75" customHeight="1" x14ac:dyDescent="0.25">
      <c r="B1827" s="6"/>
      <c r="K1827" s="7"/>
      <c r="N1827" s="8"/>
    </row>
    <row r="1828" spans="2:14" ht="15.75" customHeight="1" x14ac:dyDescent="0.25">
      <c r="B1828" s="6"/>
      <c r="K1828" s="7"/>
      <c r="N1828" s="8"/>
    </row>
    <row r="1829" spans="2:14" ht="15.75" customHeight="1" x14ac:dyDescent="0.25">
      <c r="B1829" s="6"/>
      <c r="K1829" s="7"/>
      <c r="N1829" s="8"/>
    </row>
    <row r="1830" spans="2:14" ht="15.75" customHeight="1" x14ac:dyDescent="0.25">
      <c r="B1830" s="6"/>
      <c r="K1830" s="7"/>
      <c r="N1830" s="8"/>
    </row>
    <row r="1831" spans="2:14" ht="15.75" customHeight="1" x14ac:dyDescent="0.25">
      <c r="B1831" s="6"/>
      <c r="K1831" s="7"/>
      <c r="N1831" s="8"/>
    </row>
    <row r="1832" spans="2:14" ht="15.75" customHeight="1" x14ac:dyDescent="0.25">
      <c r="B1832" s="6"/>
      <c r="K1832" s="7"/>
      <c r="N1832" s="8"/>
    </row>
    <row r="1833" spans="2:14" ht="15.75" customHeight="1" x14ac:dyDescent="0.25">
      <c r="B1833" s="6"/>
      <c r="K1833" s="7"/>
      <c r="N1833" s="8"/>
    </row>
    <row r="1834" spans="2:14" ht="15.75" customHeight="1" x14ac:dyDescent="0.25">
      <c r="B1834" s="6"/>
      <c r="K1834" s="7"/>
      <c r="N1834" s="8"/>
    </row>
    <row r="1835" spans="2:14" ht="15.75" customHeight="1" x14ac:dyDescent="0.25">
      <c r="B1835" s="6"/>
      <c r="K1835" s="7"/>
      <c r="N1835" s="8"/>
    </row>
    <row r="1836" spans="2:14" ht="15.75" customHeight="1" x14ac:dyDescent="0.25">
      <c r="B1836" s="6"/>
      <c r="K1836" s="7"/>
      <c r="N1836" s="8"/>
    </row>
    <row r="1837" spans="2:14" ht="15.75" customHeight="1" x14ac:dyDescent="0.25">
      <c r="B1837" s="6"/>
      <c r="K1837" s="7"/>
      <c r="N1837" s="8"/>
    </row>
    <row r="1838" spans="2:14" ht="15.75" customHeight="1" x14ac:dyDescent="0.25">
      <c r="B1838" s="6"/>
      <c r="K1838" s="7"/>
      <c r="N1838" s="8"/>
    </row>
    <row r="1839" spans="2:14" ht="15.75" customHeight="1" x14ac:dyDescent="0.25">
      <c r="B1839" s="6"/>
      <c r="K1839" s="7"/>
      <c r="N1839" s="8"/>
    </row>
    <row r="1840" spans="2:14" ht="15.75" customHeight="1" x14ac:dyDescent="0.25">
      <c r="B1840" s="6"/>
      <c r="K1840" s="7"/>
      <c r="N1840" s="8"/>
    </row>
    <row r="1841" spans="2:14" ht="15.75" customHeight="1" x14ac:dyDescent="0.25">
      <c r="B1841" s="6"/>
      <c r="K1841" s="7"/>
      <c r="N1841" s="8"/>
    </row>
    <row r="1842" spans="2:14" ht="15.75" customHeight="1" x14ac:dyDescent="0.25">
      <c r="B1842" s="6"/>
      <c r="K1842" s="7"/>
      <c r="N1842" s="8"/>
    </row>
    <row r="1843" spans="2:14" ht="15.75" customHeight="1" x14ac:dyDescent="0.25">
      <c r="B1843" s="6"/>
      <c r="K1843" s="7"/>
      <c r="N1843" s="8"/>
    </row>
    <row r="1844" spans="2:14" ht="15.75" customHeight="1" x14ac:dyDescent="0.25">
      <c r="B1844" s="6"/>
      <c r="K1844" s="7"/>
      <c r="N1844" s="8"/>
    </row>
    <row r="1845" spans="2:14" ht="15.75" customHeight="1" x14ac:dyDescent="0.25">
      <c r="B1845" s="6"/>
      <c r="K1845" s="7"/>
      <c r="N1845" s="8"/>
    </row>
    <row r="1846" spans="2:14" ht="15.75" customHeight="1" x14ac:dyDescent="0.25">
      <c r="B1846" s="6"/>
      <c r="K1846" s="7"/>
      <c r="N1846" s="8"/>
    </row>
    <row r="1847" spans="2:14" ht="15.75" customHeight="1" x14ac:dyDescent="0.25">
      <c r="B1847" s="6"/>
      <c r="K1847" s="7"/>
      <c r="N1847" s="8"/>
    </row>
    <row r="1848" spans="2:14" ht="15.75" customHeight="1" x14ac:dyDescent="0.25">
      <c r="B1848" s="6"/>
      <c r="K1848" s="7"/>
      <c r="N1848" s="8"/>
    </row>
    <row r="1849" spans="2:14" ht="15.75" customHeight="1" x14ac:dyDescent="0.25">
      <c r="B1849" s="6"/>
      <c r="K1849" s="7"/>
      <c r="N1849" s="8"/>
    </row>
    <row r="1850" spans="2:14" ht="15.75" customHeight="1" x14ac:dyDescent="0.25">
      <c r="B1850" s="6"/>
      <c r="K1850" s="7"/>
      <c r="N1850" s="8"/>
    </row>
    <row r="1851" spans="2:14" ht="15.75" customHeight="1" x14ac:dyDescent="0.25">
      <c r="B1851" s="6"/>
      <c r="K1851" s="7"/>
      <c r="N1851" s="8"/>
    </row>
    <row r="1852" spans="2:14" ht="15.75" customHeight="1" x14ac:dyDescent="0.25">
      <c r="B1852" s="6"/>
      <c r="K1852" s="7"/>
      <c r="N1852" s="8"/>
    </row>
    <row r="1853" spans="2:14" ht="15.75" customHeight="1" x14ac:dyDescent="0.25">
      <c r="B1853" s="6"/>
      <c r="K1853" s="7"/>
      <c r="N1853" s="8"/>
    </row>
    <row r="1854" spans="2:14" ht="15.75" customHeight="1" x14ac:dyDescent="0.25">
      <c r="B1854" s="6"/>
      <c r="K1854" s="7"/>
      <c r="N1854" s="8"/>
    </row>
    <row r="1855" spans="2:14" ht="15.75" customHeight="1" x14ac:dyDescent="0.25">
      <c r="B1855" s="6"/>
      <c r="K1855" s="7"/>
      <c r="N1855" s="8"/>
    </row>
    <row r="1856" spans="2:14" ht="15.75" customHeight="1" x14ac:dyDescent="0.25">
      <c r="B1856" s="6"/>
      <c r="K1856" s="7"/>
      <c r="N1856" s="8"/>
    </row>
    <row r="1857" spans="2:14" ht="15.75" customHeight="1" x14ac:dyDescent="0.25">
      <c r="B1857" s="6"/>
      <c r="K1857" s="7"/>
      <c r="N1857" s="8"/>
    </row>
    <row r="1858" spans="2:14" ht="15.75" customHeight="1" x14ac:dyDescent="0.25">
      <c r="B1858" s="6"/>
      <c r="K1858" s="7"/>
      <c r="N1858" s="8"/>
    </row>
    <row r="1859" spans="2:14" ht="15.75" customHeight="1" x14ac:dyDescent="0.25">
      <c r="B1859" s="6"/>
      <c r="K1859" s="7"/>
      <c r="N1859" s="8"/>
    </row>
    <row r="1860" spans="2:14" ht="15.75" customHeight="1" x14ac:dyDescent="0.25">
      <c r="B1860" s="6"/>
      <c r="K1860" s="7"/>
      <c r="N1860" s="8"/>
    </row>
    <row r="1861" spans="2:14" ht="15.75" customHeight="1" x14ac:dyDescent="0.25">
      <c r="B1861" s="6"/>
      <c r="K1861" s="7"/>
      <c r="N1861" s="8"/>
    </row>
    <row r="1862" spans="2:14" ht="15.75" customHeight="1" x14ac:dyDescent="0.25">
      <c r="B1862" s="6"/>
      <c r="K1862" s="7"/>
      <c r="N1862" s="8"/>
    </row>
    <row r="1863" spans="2:14" ht="15.75" customHeight="1" x14ac:dyDescent="0.25">
      <c r="B1863" s="6"/>
      <c r="K1863" s="7"/>
      <c r="N1863" s="8"/>
    </row>
    <row r="1864" spans="2:14" ht="15.75" customHeight="1" x14ac:dyDescent="0.25">
      <c r="B1864" s="6"/>
      <c r="K1864" s="7"/>
      <c r="N1864" s="8"/>
    </row>
    <row r="1865" spans="2:14" ht="15.75" customHeight="1" x14ac:dyDescent="0.25">
      <c r="B1865" s="6"/>
      <c r="K1865" s="7"/>
      <c r="N1865" s="8"/>
    </row>
    <row r="1866" spans="2:14" ht="15.75" customHeight="1" x14ac:dyDescent="0.25">
      <c r="B1866" s="6"/>
      <c r="K1866" s="7"/>
      <c r="N1866" s="8"/>
    </row>
    <row r="1867" spans="2:14" ht="15.75" customHeight="1" x14ac:dyDescent="0.25">
      <c r="B1867" s="6"/>
      <c r="K1867" s="7"/>
      <c r="N1867" s="8"/>
    </row>
    <row r="1868" spans="2:14" ht="15.75" customHeight="1" x14ac:dyDescent="0.25">
      <c r="B1868" s="6"/>
      <c r="K1868" s="7"/>
      <c r="N1868" s="8"/>
    </row>
    <row r="1869" spans="2:14" ht="15.75" customHeight="1" x14ac:dyDescent="0.25">
      <c r="B1869" s="6"/>
      <c r="K1869" s="7"/>
      <c r="N1869" s="8"/>
    </row>
    <row r="1870" spans="2:14" ht="15.75" customHeight="1" x14ac:dyDescent="0.25">
      <c r="B1870" s="6"/>
      <c r="K1870" s="7"/>
      <c r="N1870" s="8"/>
    </row>
    <row r="1871" spans="2:14" ht="15.75" customHeight="1" x14ac:dyDescent="0.25">
      <c r="B1871" s="6"/>
      <c r="K1871" s="7"/>
      <c r="N1871" s="8"/>
    </row>
    <row r="1872" spans="2:14" ht="15.75" customHeight="1" x14ac:dyDescent="0.25">
      <c r="B1872" s="6"/>
      <c r="K1872" s="7"/>
      <c r="N1872" s="8"/>
    </row>
    <row r="1873" spans="2:14" ht="15.75" customHeight="1" x14ac:dyDescent="0.25">
      <c r="B1873" s="6"/>
      <c r="K1873" s="7"/>
      <c r="N1873" s="8"/>
    </row>
    <row r="1874" spans="2:14" ht="15.75" customHeight="1" x14ac:dyDescent="0.25">
      <c r="B1874" s="6"/>
      <c r="K1874" s="7"/>
      <c r="N1874" s="8"/>
    </row>
    <row r="1875" spans="2:14" ht="15.75" customHeight="1" x14ac:dyDescent="0.25">
      <c r="B1875" s="6"/>
      <c r="K1875" s="7"/>
      <c r="N1875" s="8"/>
    </row>
    <row r="1876" spans="2:14" ht="15.75" customHeight="1" x14ac:dyDescent="0.25">
      <c r="B1876" s="6"/>
      <c r="K1876" s="7"/>
      <c r="N1876" s="8"/>
    </row>
    <row r="1877" spans="2:14" ht="15.75" customHeight="1" x14ac:dyDescent="0.25">
      <c r="B1877" s="6"/>
      <c r="K1877" s="7"/>
      <c r="N1877" s="8"/>
    </row>
    <row r="1878" spans="2:14" ht="15.75" customHeight="1" x14ac:dyDescent="0.25">
      <c r="B1878" s="6"/>
      <c r="K1878" s="7"/>
      <c r="N1878" s="8"/>
    </row>
    <row r="1879" spans="2:14" ht="15.75" customHeight="1" x14ac:dyDescent="0.25">
      <c r="B1879" s="6"/>
      <c r="K1879" s="7"/>
      <c r="N1879" s="8"/>
    </row>
    <row r="1880" spans="2:14" ht="15.75" customHeight="1" x14ac:dyDescent="0.25">
      <c r="B1880" s="6"/>
      <c r="K1880" s="7"/>
      <c r="N1880" s="8"/>
    </row>
    <row r="1881" spans="2:14" ht="15.75" customHeight="1" x14ac:dyDescent="0.25">
      <c r="B1881" s="6"/>
      <c r="K1881" s="7"/>
      <c r="N1881" s="8"/>
    </row>
    <row r="1882" spans="2:14" ht="15.75" customHeight="1" x14ac:dyDescent="0.25">
      <c r="B1882" s="6"/>
      <c r="K1882" s="7"/>
      <c r="N1882" s="8"/>
    </row>
    <row r="1883" spans="2:14" ht="15.75" customHeight="1" x14ac:dyDescent="0.25">
      <c r="B1883" s="6"/>
      <c r="K1883" s="7"/>
      <c r="N1883" s="8"/>
    </row>
    <row r="1884" spans="2:14" ht="15.75" customHeight="1" x14ac:dyDescent="0.25">
      <c r="B1884" s="6"/>
      <c r="K1884" s="7"/>
      <c r="N1884" s="8"/>
    </row>
    <row r="1885" spans="2:14" ht="15.75" customHeight="1" x14ac:dyDescent="0.25">
      <c r="B1885" s="6"/>
      <c r="K1885" s="7"/>
      <c r="N1885" s="8"/>
    </row>
    <row r="1886" spans="2:14" ht="15.75" customHeight="1" x14ac:dyDescent="0.25">
      <c r="B1886" s="6"/>
      <c r="K1886" s="7"/>
      <c r="N1886" s="8"/>
    </row>
    <row r="1887" spans="2:14" ht="15.75" customHeight="1" x14ac:dyDescent="0.25">
      <c r="B1887" s="6"/>
      <c r="K1887" s="7"/>
      <c r="N1887" s="8"/>
    </row>
    <row r="1888" spans="2:14" ht="15.75" customHeight="1" x14ac:dyDescent="0.25">
      <c r="B1888" s="6"/>
      <c r="K1888" s="7"/>
      <c r="N1888" s="8"/>
    </row>
    <row r="1889" spans="2:14" ht="15.75" customHeight="1" x14ac:dyDescent="0.25">
      <c r="B1889" s="6"/>
      <c r="K1889" s="7"/>
      <c r="N1889" s="8"/>
    </row>
    <row r="1890" spans="2:14" ht="15.75" customHeight="1" x14ac:dyDescent="0.25">
      <c r="B1890" s="6"/>
      <c r="K1890" s="7"/>
      <c r="N1890" s="8"/>
    </row>
    <row r="1891" spans="2:14" ht="15.75" customHeight="1" x14ac:dyDescent="0.25">
      <c r="B1891" s="6"/>
      <c r="K1891" s="7"/>
      <c r="N1891" s="8"/>
    </row>
    <row r="1892" spans="2:14" ht="15.75" customHeight="1" x14ac:dyDescent="0.25">
      <c r="B1892" s="6"/>
      <c r="K1892" s="7"/>
      <c r="N1892" s="8"/>
    </row>
    <row r="1893" spans="2:14" ht="15.75" customHeight="1" x14ac:dyDescent="0.25">
      <c r="B1893" s="6"/>
      <c r="K1893" s="7"/>
      <c r="N1893" s="8"/>
    </row>
    <row r="1894" spans="2:14" ht="15.75" customHeight="1" x14ac:dyDescent="0.25">
      <c r="B1894" s="6"/>
      <c r="K1894" s="7"/>
      <c r="N1894" s="8"/>
    </row>
    <row r="1895" spans="2:14" ht="15.75" customHeight="1" x14ac:dyDescent="0.25">
      <c r="B1895" s="6"/>
      <c r="K1895" s="7"/>
      <c r="N1895" s="8"/>
    </row>
    <row r="1896" spans="2:14" ht="15.75" customHeight="1" x14ac:dyDescent="0.25">
      <c r="B1896" s="6"/>
      <c r="K1896" s="7"/>
      <c r="N1896" s="8"/>
    </row>
    <row r="1897" spans="2:14" ht="15.75" customHeight="1" x14ac:dyDescent="0.25">
      <c r="B1897" s="6"/>
      <c r="K1897" s="7"/>
      <c r="N1897" s="8"/>
    </row>
    <row r="1898" spans="2:14" ht="15.75" customHeight="1" x14ac:dyDescent="0.25">
      <c r="B1898" s="6"/>
      <c r="K1898" s="7"/>
      <c r="N1898" s="8"/>
    </row>
    <row r="1899" spans="2:14" ht="15.75" customHeight="1" x14ac:dyDescent="0.25">
      <c r="B1899" s="6"/>
      <c r="K1899" s="7"/>
      <c r="N1899" s="8"/>
    </row>
    <row r="1900" spans="2:14" ht="15.75" customHeight="1" x14ac:dyDescent="0.25">
      <c r="B1900" s="6"/>
      <c r="K1900" s="7"/>
      <c r="N1900" s="8"/>
    </row>
    <row r="1901" spans="2:14" ht="15.75" customHeight="1" x14ac:dyDescent="0.25">
      <c r="B1901" s="6"/>
      <c r="K1901" s="7"/>
      <c r="N1901" s="8"/>
    </row>
    <row r="1902" spans="2:14" ht="15.75" customHeight="1" x14ac:dyDescent="0.25">
      <c r="B1902" s="6"/>
      <c r="K1902" s="7"/>
      <c r="N1902" s="8"/>
    </row>
    <row r="1903" spans="2:14" ht="15.75" customHeight="1" x14ac:dyDescent="0.25">
      <c r="B1903" s="6"/>
      <c r="K1903" s="7"/>
      <c r="N1903" s="8"/>
    </row>
    <row r="1904" spans="2:14" ht="15.75" customHeight="1" x14ac:dyDescent="0.25">
      <c r="B1904" s="6"/>
      <c r="K1904" s="7"/>
      <c r="N1904" s="8"/>
    </row>
    <row r="1905" spans="2:14" ht="15.75" customHeight="1" x14ac:dyDescent="0.25">
      <c r="B1905" s="6"/>
      <c r="K1905" s="7"/>
      <c r="N1905" s="8"/>
    </row>
    <row r="1906" spans="2:14" ht="15.75" customHeight="1" x14ac:dyDescent="0.25">
      <c r="B1906" s="6"/>
      <c r="K1906" s="7"/>
      <c r="N1906" s="8"/>
    </row>
    <row r="1907" spans="2:14" ht="15.75" customHeight="1" x14ac:dyDescent="0.25">
      <c r="B1907" s="6"/>
      <c r="K1907" s="7"/>
      <c r="N1907" s="8"/>
    </row>
    <row r="1908" spans="2:14" ht="15.75" customHeight="1" x14ac:dyDescent="0.25">
      <c r="B1908" s="6"/>
      <c r="K1908" s="7"/>
      <c r="N1908" s="8"/>
    </row>
    <row r="1909" spans="2:14" ht="15.75" customHeight="1" x14ac:dyDescent="0.25">
      <c r="B1909" s="6"/>
      <c r="K1909" s="7"/>
      <c r="N1909" s="8"/>
    </row>
    <row r="1910" spans="2:14" ht="15.75" customHeight="1" x14ac:dyDescent="0.25">
      <c r="B1910" s="6"/>
      <c r="K1910" s="7"/>
      <c r="N1910" s="8"/>
    </row>
    <row r="1911" spans="2:14" ht="15.75" customHeight="1" x14ac:dyDescent="0.25">
      <c r="B1911" s="6"/>
      <c r="K1911" s="7"/>
      <c r="N1911" s="8"/>
    </row>
    <row r="1912" spans="2:14" ht="15.75" customHeight="1" x14ac:dyDescent="0.25">
      <c r="B1912" s="6"/>
      <c r="K1912" s="7"/>
      <c r="N1912" s="8"/>
    </row>
    <row r="1913" spans="2:14" ht="15.75" customHeight="1" x14ac:dyDescent="0.25">
      <c r="B1913" s="6"/>
      <c r="K1913" s="7"/>
      <c r="N1913" s="8"/>
    </row>
    <row r="1914" spans="2:14" ht="15.75" customHeight="1" x14ac:dyDescent="0.25">
      <c r="B1914" s="6"/>
      <c r="K1914" s="7"/>
      <c r="N1914" s="8"/>
    </row>
    <row r="1915" spans="2:14" ht="15.75" customHeight="1" x14ac:dyDescent="0.25">
      <c r="B1915" s="6"/>
      <c r="K1915" s="7"/>
      <c r="N1915" s="8"/>
    </row>
    <row r="1916" spans="2:14" ht="15.75" customHeight="1" x14ac:dyDescent="0.25">
      <c r="B1916" s="6"/>
      <c r="K1916" s="7"/>
      <c r="N1916" s="8"/>
    </row>
    <row r="1917" spans="2:14" ht="15.75" customHeight="1" x14ac:dyDescent="0.25">
      <c r="B1917" s="6"/>
      <c r="K1917" s="7"/>
      <c r="N1917" s="8"/>
    </row>
    <row r="1918" spans="2:14" ht="15.75" customHeight="1" x14ac:dyDescent="0.25">
      <c r="B1918" s="6"/>
      <c r="K1918" s="7"/>
      <c r="N1918" s="8"/>
    </row>
    <row r="1919" spans="2:14" ht="15.75" customHeight="1" x14ac:dyDescent="0.25">
      <c r="B1919" s="6"/>
      <c r="K1919" s="7"/>
      <c r="N1919" s="8"/>
    </row>
    <row r="1920" spans="2:14" ht="15.75" customHeight="1" x14ac:dyDescent="0.25">
      <c r="B1920" s="6"/>
      <c r="K1920" s="7"/>
      <c r="N1920" s="8"/>
    </row>
    <row r="1921" spans="2:14" ht="15.75" customHeight="1" x14ac:dyDescent="0.25">
      <c r="B1921" s="6"/>
      <c r="K1921" s="7"/>
      <c r="N1921" s="8"/>
    </row>
    <row r="1922" spans="2:14" ht="15.75" customHeight="1" x14ac:dyDescent="0.25">
      <c r="B1922" s="6"/>
      <c r="K1922" s="7"/>
      <c r="N1922" s="8"/>
    </row>
    <row r="1923" spans="2:14" ht="15.75" customHeight="1" x14ac:dyDescent="0.25">
      <c r="B1923" s="6"/>
      <c r="K1923" s="7"/>
      <c r="N1923" s="8"/>
    </row>
    <row r="1924" spans="2:14" ht="15.75" customHeight="1" x14ac:dyDescent="0.25">
      <c r="B1924" s="6"/>
      <c r="K1924" s="7"/>
      <c r="N1924" s="8"/>
    </row>
    <row r="1925" spans="2:14" ht="15.75" customHeight="1" x14ac:dyDescent="0.25">
      <c r="B1925" s="6"/>
      <c r="K1925" s="7"/>
      <c r="N1925" s="8"/>
    </row>
    <row r="1926" spans="2:14" ht="15.75" customHeight="1" x14ac:dyDescent="0.25">
      <c r="B1926" s="6"/>
      <c r="K1926" s="7"/>
      <c r="N1926" s="8"/>
    </row>
    <row r="1927" spans="2:14" ht="15.75" customHeight="1" x14ac:dyDescent="0.25">
      <c r="B1927" s="6"/>
      <c r="K1927" s="7"/>
      <c r="N1927" s="8"/>
    </row>
    <row r="1928" spans="2:14" ht="15.75" customHeight="1" x14ac:dyDescent="0.25">
      <c r="B1928" s="6"/>
      <c r="K1928" s="7"/>
      <c r="N1928" s="8"/>
    </row>
    <row r="1929" spans="2:14" ht="15.75" customHeight="1" x14ac:dyDescent="0.25">
      <c r="B1929" s="6"/>
      <c r="K1929" s="7"/>
      <c r="N1929" s="8"/>
    </row>
    <row r="1930" spans="2:14" ht="15.75" customHeight="1" x14ac:dyDescent="0.25">
      <c r="B1930" s="6"/>
      <c r="K1930" s="7"/>
      <c r="N1930" s="8"/>
    </row>
    <row r="1931" spans="2:14" ht="15.75" customHeight="1" x14ac:dyDescent="0.25">
      <c r="B1931" s="6"/>
      <c r="K1931" s="7"/>
      <c r="N1931" s="8"/>
    </row>
    <row r="1932" spans="2:14" ht="15.75" customHeight="1" x14ac:dyDescent="0.25">
      <c r="B1932" s="6"/>
      <c r="K1932" s="7"/>
      <c r="N1932" s="8"/>
    </row>
    <row r="1933" spans="2:14" ht="15.75" customHeight="1" x14ac:dyDescent="0.25">
      <c r="B1933" s="6"/>
      <c r="K1933" s="7"/>
      <c r="N1933" s="8"/>
    </row>
    <row r="1934" spans="2:14" ht="15.75" customHeight="1" x14ac:dyDescent="0.25">
      <c r="B1934" s="6"/>
      <c r="K1934" s="7"/>
      <c r="N1934" s="8"/>
    </row>
    <row r="1935" spans="2:14" ht="15.75" customHeight="1" x14ac:dyDescent="0.25">
      <c r="B1935" s="6"/>
      <c r="K1935" s="7"/>
      <c r="N1935" s="8"/>
    </row>
    <row r="1936" spans="2:14" ht="15.75" customHeight="1" x14ac:dyDescent="0.25">
      <c r="B1936" s="6"/>
      <c r="K1936" s="7"/>
      <c r="N1936" s="8"/>
    </row>
    <row r="1937" spans="2:14" ht="15.75" customHeight="1" x14ac:dyDescent="0.25">
      <c r="B1937" s="6"/>
      <c r="K1937" s="7"/>
      <c r="N1937" s="8"/>
    </row>
    <row r="1938" spans="2:14" ht="15.75" customHeight="1" x14ac:dyDescent="0.25">
      <c r="B1938" s="6"/>
      <c r="K1938" s="7"/>
      <c r="N1938" s="8"/>
    </row>
    <row r="1939" spans="2:14" ht="15.75" customHeight="1" x14ac:dyDescent="0.25">
      <c r="B1939" s="6"/>
      <c r="K1939" s="7"/>
      <c r="N1939" s="8"/>
    </row>
    <row r="1940" spans="2:14" ht="15.75" customHeight="1" x14ac:dyDescent="0.25">
      <c r="B1940" s="6"/>
      <c r="K1940" s="7"/>
      <c r="N1940" s="8"/>
    </row>
    <row r="1941" spans="2:14" ht="15.75" customHeight="1" x14ac:dyDescent="0.25">
      <c r="B1941" s="6"/>
      <c r="K1941" s="7"/>
      <c r="N1941" s="8"/>
    </row>
    <row r="1942" spans="2:14" ht="15.75" customHeight="1" x14ac:dyDescent="0.25">
      <c r="B1942" s="6"/>
      <c r="K1942" s="7"/>
      <c r="N1942" s="8"/>
    </row>
    <row r="1943" spans="2:14" ht="15.75" customHeight="1" x14ac:dyDescent="0.25">
      <c r="B1943" s="6"/>
      <c r="K1943" s="7"/>
      <c r="N1943" s="8"/>
    </row>
    <row r="1944" spans="2:14" ht="15.75" customHeight="1" x14ac:dyDescent="0.25">
      <c r="B1944" s="6"/>
      <c r="K1944" s="7"/>
      <c r="N1944" s="8"/>
    </row>
    <row r="1945" spans="2:14" ht="15.75" customHeight="1" x14ac:dyDescent="0.25">
      <c r="B1945" s="6"/>
      <c r="K1945" s="7"/>
      <c r="N1945" s="8"/>
    </row>
    <row r="1946" spans="2:14" ht="15.75" customHeight="1" x14ac:dyDescent="0.25">
      <c r="B1946" s="6"/>
      <c r="K1946" s="7"/>
      <c r="N1946" s="8"/>
    </row>
    <row r="1947" spans="2:14" ht="15.75" customHeight="1" x14ac:dyDescent="0.25">
      <c r="B1947" s="6"/>
      <c r="K1947" s="7"/>
      <c r="N1947" s="8"/>
    </row>
    <row r="1948" spans="2:14" ht="15.75" customHeight="1" x14ac:dyDescent="0.25">
      <c r="B1948" s="6"/>
      <c r="K1948" s="7"/>
      <c r="N1948" s="8"/>
    </row>
    <row r="1949" spans="2:14" ht="15.75" customHeight="1" x14ac:dyDescent="0.25">
      <c r="B1949" s="6"/>
      <c r="K1949" s="7"/>
      <c r="N1949" s="8"/>
    </row>
    <row r="1950" spans="2:14" ht="15.75" customHeight="1" x14ac:dyDescent="0.25">
      <c r="B1950" s="6"/>
      <c r="K1950" s="7"/>
      <c r="N1950" s="8"/>
    </row>
    <row r="1951" spans="2:14" ht="15.75" customHeight="1" x14ac:dyDescent="0.25">
      <c r="B1951" s="6"/>
      <c r="K1951" s="7"/>
      <c r="N1951" s="8"/>
    </row>
    <row r="1952" spans="2:14" ht="15.75" customHeight="1" x14ac:dyDescent="0.25">
      <c r="B1952" s="6"/>
      <c r="K1952" s="7"/>
      <c r="N1952" s="8"/>
    </row>
    <row r="1953" spans="2:14" ht="15.75" customHeight="1" x14ac:dyDescent="0.25">
      <c r="B1953" s="6"/>
      <c r="K1953" s="7"/>
      <c r="N1953" s="8"/>
    </row>
    <row r="1954" spans="2:14" ht="15.75" customHeight="1" x14ac:dyDescent="0.25">
      <c r="B1954" s="6"/>
      <c r="K1954" s="7"/>
      <c r="N1954" s="8"/>
    </row>
    <row r="1955" spans="2:14" ht="15.75" customHeight="1" x14ac:dyDescent="0.25">
      <c r="B1955" s="6"/>
      <c r="K1955" s="7"/>
      <c r="N1955" s="8"/>
    </row>
    <row r="1956" spans="2:14" ht="15.75" customHeight="1" x14ac:dyDescent="0.25">
      <c r="B1956" s="6"/>
      <c r="K1956" s="7"/>
      <c r="N1956" s="8"/>
    </row>
    <row r="1957" spans="2:14" ht="15.75" customHeight="1" x14ac:dyDescent="0.25">
      <c r="B1957" s="6"/>
      <c r="K1957" s="7"/>
      <c r="N1957" s="8"/>
    </row>
    <row r="1958" spans="2:14" ht="15.75" customHeight="1" x14ac:dyDescent="0.25">
      <c r="B1958" s="6"/>
      <c r="K1958" s="7"/>
      <c r="N1958" s="8"/>
    </row>
    <row r="1959" spans="2:14" ht="15.75" customHeight="1" x14ac:dyDescent="0.25">
      <c r="B1959" s="6"/>
      <c r="K1959" s="7"/>
      <c r="N1959" s="8"/>
    </row>
    <row r="1960" spans="2:14" ht="15.75" customHeight="1" x14ac:dyDescent="0.25">
      <c r="B1960" s="6"/>
      <c r="K1960" s="7"/>
      <c r="N1960" s="8"/>
    </row>
    <row r="1961" spans="2:14" ht="15.75" customHeight="1" x14ac:dyDescent="0.25">
      <c r="B1961" s="6"/>
      <c r="K1961" s="7"/>
      <c r="N1961" s="8"/>
    </row>
    <row r="1962" spans="2:14" ht="15.75" customHeight="1" x14ac:dyDescent="0.25">
      <c r="B1962" s="6"/>
      <c r="K1962" s="7"/>
      <c r="N1962" s="8"/>
    </row>
    <row r="1963" spans="2:14" ht="15.75" customHeight="1" x14ac:dyDescent="0.25">
      <c r="B1963" s="6"/>
      <c r="K1963" s="7"/>
      <c r="N1963" s="8"/>
    </row>
    <row r="1964" spans="2:14" ht="15.75" customHeight="1" x14ac:dyDescent="0.25">
      <c r="B1964" s="6"/>
      <c r="K1964" s="7"/>
      <c r="N1964" s="8"/>
    </row>
    <row r="1965" spans="2:14" ht="15.75" customHeight="1" x14ac:dyDescent="0.25">
      <c r="B1965" s="6"/>
      <c r="K1965" s="7"/>
      <c r="N1965" s="8"/>
    </row>
    <row r="1966" spans="2:14" ht="15.75" customHeight="1" x14ac:dyDescent="0.25">
      <c r="B1966" s="6"/>
      <c r="K1966" s="7"/>
      <c r="N1966" s="8"/>
    </row>
    <row r="1967" spans="2:14" ht="15.75" customHeight="1" x14ac:dyDescent="0.25">
      <c r="B1967" s="6"/>
      <c r="K1967" s="7"/>
      <c r="N1967" s="8"/>
    </row>
    <row r="1968" spans="2:14" ht="15.75" customHeight="1" x14ac:dyDescent="0.25">
      <c r="B1968" s="6"/>
      <c r="K1968" s="7"/>
      <c r="N1968" s="8"/>
    </row>
    <row r="1969" spans="2:14" ht="15.75" customHeight="1" x14ac:dyDescent="0.25">
      <c r="B1969" s="6"/>
      <c r="K1969" s="7"/>
      <c r="N1969" s="8"/>
    </row>
    <row r="1970" spans="2:14" ht="15.75" customHeight="1" x14ac:dyDescent="0.25">
      <c r="B1970" s="6"/>
      <c r="K1970" s="7"/>
      <c r="N1970" s="8"/>
    </row>
    <row r="1971" spans="2:14" ht="15.75" customHeight="1" x14ac:dyDescent="0.25">
      <c r="B1971" s="6"/>
      <c r="K1971" s="7"/>
      <c r="N1971" s="8"/>
    </row>
    <row r="1972" spans="2:14" ht="15.75" customHeight="1" x14ac:dyDescent="0.25">
      <c r="B1972" s="6"/>
      <c r="K1972" s="7"/>
      <c r="N1972" s="8"/>
    </row>
    <row r="1973" spans="2:14" ht="15.75" customHeight="1" x14ac:dyDescent="0.25">
      <c r="B1973" s="6"/>
      <c r="K1973" s="7"/>
      <c r="N1973" s="8"/>
    </row>
    <row r="1974" spans="2:14" ht="15.75" customHeight="1" x14ac:dyDescent="0.25">
      <c r="B1974" s="6"/>
      <c r="K1974" s="7"/>
      <c r="N1974" s="8"/>
    </row>
    <row r="1975" spans="2:14" ht="15.75" customHeight="1" x14ac:dyDescent="0.25">
      <c r="B1975" s="6"/>
      <c r="K1975" s="7"/>
      <c r="N1975" s="8"/>
    </row>
    <row r="1976" spans="2:14" ht="15.75" customHeight="1" x14ac:dyDescent="0.25">
      <c r="B1976" s="6"/>
      <c r="K1976" s="7"/>
      <c r="N1976" s="8"/>
    </row>
    <row r="1977" spans="2:14" ht="15.75" customHeight="1" x14ac:dyDescent="0.25">
      <c r="B1977" s="6"/>
      <c r="K1977" s="7"/>
      <c r="N1977" s="8"/>
    </row>
    <row r="1978" spans="2:14" ht="15.75" customHeight="1" x14ac:dyDescent="0.25">
      <c r="B1978" s="6"/>
      <c r="K1978" s="7"/>
      <c r="N1978" s="8"/>
    </row>
    <row r="1979" spans="2:14" ht="15.75" customHeight="1" x14ac:dyDescent="0.25">
      <c r="B1979" s="6"/>
      <c r="K1979" s="7"/>
      <c r="N1979" s="8"/>
    </row>
    <row r="1980" spans="2:14" ht="15.75" customHeight="1" x14ac:dyDescent="0.25">
      <c r="B1980" s="6"/>
      <c r="K1980" s="7"/>
      <c r="N1980" s="8"/>
    </row>
    <row r="1981" spans="2:14" ht="15.75" customHeight="1" x14ac:dyDescent="0.25">
      <c r="B1981" s="6"/>
      <c r="K1981" s="7"/>
      <c r="N1981" s="8"/>
    </row>
    <row r="1982" spans="2:14" ht="15.75" customHeight="1" x14ac:dyDescent="0.25">
      <c r="B1982" s="6"/>
      <c r="K1982" s="7"/>
      <c r="N1982" s="8"/>
    </row>
    <row r="1983" spans="2:14" ht="15.75" customHeight="1" x14ac:dyDescent="0.25">
      <c r="B1983" s="6"/>
      <c r="K1983" s="7"/>
      <c r="N1983" s="8"/>
    </row>
    <row r="1984" spans="2:14" ht="15.75" customHeight="1" x14ac:dyDescent="0.25">
      <c r="B1984" s="6"/>
      <c r="K1984" s="7"/>
      <c r="N1984" s="8"/>
    </row>
    <row r="1985" spans="2:14" ht="15.75" customHeight="1" x14ac:dyDescent="0.25">
      <c r="B1985" s="6"/>
      <c r="K1985" s="7"/>
      <c r="N1985" s="8"/>
    </row>
    <row r="1986" spans="2:14" ht="15.75" customHeight="1" x14ac:dyDescent="0.25">
      <c r="B1986" s="6"/>
      <c r="K1986" s="7"/>
      <c r="N1986" s="8"/>
    </row>
    <row r="1987" spans="2:14" ht="15.75" customHeight="1" x14ac:dyDescent="0.25">
      <c r="B1987" s="6"/>
      <c r="K1987" s="7"/>
      <c r="N1987" s="8"/>
    </row>
    <row r="1988" spans="2:14" ht="15.75" customHeight="1" x14ac:dyDescent="0.25">
      <c r="B1988" s="6"/>
      <c r="K1988" s="7"/>
      <c r="N1988" s="8"/>
    </row>
    <row r="1989" spans="2:14" ht="15.75" customHeight="1" x14ac:dyDescent="0.25">
      <c r="B1989" s="6"/>
      <c r="K1989" s="7"/>
      <c r="N1989" s="8"/>
    </row>
    <row r="1990" spans="2:14" ht="15.75" customHeight="1" x14ac:dyDescent="0.25">
      <c r="B1990" s="6"/>
      <c r="K1990" s="7"/>
      <c r="N1990" s="8"/>
    </row>
    <row r="1991" spans="2:14" ht="15.75" customHeight="1" x14ac:dyDescent="0.25">
      <c r="B1991" s="6"/>
      <c r="K1991" s="7"/>
      <c r="N1991" s="8"/>
    </row>
    <row r="1992" spans="2:14" ht="15.75" customHeight="1" x14ac:dyDescent="0.25">
      <c r="B1992" s="6"/>
      <c r="K1992" s="7"/>
      <c r="N1992" s="8"/>
    </row>
    <row r="1993" spans="2:14" ht="15.75" customHeight="1" x14ac:dyDescent="0.25">
      <c r="B1993" s="6"/>
      <c r="K1993" s="7"/>
      <c r="N1993" s="8"/>
    </row>
    <row r="1994" spans="2:14" ht="15.75" customHeight="1" x14ac:dyDescent="0.25">
      <c r="B1994" s="6"/>
      <c r="K1994" s="7"/>
      <c r="N1994" s="8"/>
    </row>
    <row r="1995" spans="2:14" ht="15.75" customHeight="1" x14ac:dyDescent="0.25">
      <c r="B1995" s="6"/>
      <c r="K1995" s="7"/>
      <c r="N1995" s="8"/>
    </row>
    <row r="1996" spans="2:14" ht="15.75" customHeight="1" x14ac:dyDescent="0.25">
      <c r="B1996" s="6"/>
      <c r="K1996" s="7"/>
      <c r="N1996" s="8"/>
    </row>
    <row r="1997" spans="2:14" ht="15.75" customHeight="1" x14ac:dyDescent="0.25">
      <c r="B1997" s="6"/>
      <c r="K1997" s="7"/>
      <c r="N1997" s="8"/>
    </row>
    <row r="1998" spans="2:14" ht="15.75" customHeight="1" x14ac:dyDescent="0.25">
      <c r="B1998" s="6"/>
      <c r="K1998" s="7"/>
      <c r="N1998" s="8"/>
    </row>
    <row r="1999" spans="2:14" ht="15.75" customHeight="1" x14ac:dyDescent="0.25">
      <c r="B1999" s="6"/>
      <c r="K1999" s="7"/>
      <c r="N1999" s="8"/>
    </row>
    <row r="2000" spans="2:14" ht="15.75" customHeight="1" x14ac:dyDescent="0.25">
      <c r="B2000" s="6"/>
      <c r="K2000" s="7"/>
      <c r="N2000" s="8"/>
    </row>
    <row r="2001" spans="2:14" ht="15.75" customHeight="1" x14ac:dyDescent="0.25">
      <c r="B2001" s="6"/>
      <c r="K2001" s="7"/>
      <c r="N2001" s="8"/>
    </row>
    <row r="2002" spans="2:14" ht="15.75" customHeight="1" x14ac:dyDescent="0.25">
      <c r="B2002" s="6"/>
      <c r="K2002" s="7"/>
      <c r="N2002" s="8"/>
    </row>
    <row r="2003" spans="2:14" ht="15.75" customHeight="1" x14ac:dyDescent="0.25">
      <c r="B2003" s="6"/>
      <c r="K2003" s="7"/>
      <c r="N2003" s="8"/>
    </row>
    <row r="2004" spans="2:14" ht="15.75" customHeight="1" x14ac:dyDescent="0.25">
      <c r="B2004" s="6"/>
      <c r="K2004" s="7"/>
      <c r="N2004" s="8"/>
    </row>
    <row r="2005" spans="2:14" ht="15.75" customHeight="1" x14ac:dyDescent="0.25">
      <c r="B2005" s="6"/>
      <c r="K2005" s="7"/>
      <c r="N2005" s="8"/>
    </row>
    <row r="2006" spans="2:14" ht="15.75" customHeight="1" x14ac:dyDescent="0.25">
      <c r="B2006" s="6"/>
      <c r="K2006" s="7"/>
      <c r="N2006" s="8"/>
    </row>
    <row r="2007" spans="2:14" ht="15.75" customHeight="1" x14ac:dyDescent="0.25">
      <c r="B2007" s="6"/>
      <c r="K2007" s="7"/>
      <c r="N2007" s="8"/>
    </row>
    <row r="2008" spans="2:14" ht="15.75" customHeight="1" x14ac:dyDescent="0.25">
      <c r="B2008" s="6"/>
      <c r="K2008" s="7"/>
      <c r="N2008" s="8"/>
    </row>
    <row r="2009" spans="2:14" ht="15.75" customHeight="1" x14ac:dyDescent="0.25">
      <c r="B2009" s="6"/>
      <c r="K2009" s="7"/>
      <c r="N2009" s="8"/>
    </row>
    <row r="2010" spans="2:14" ht="15.75" customHeight="1" x14ac:dyDescent="0.25">
      <c r="B2010" s="6"/>
      <c r="K2010" s="7"/>
      <c r="N2010" s="8"/>
    </row>
    <row r="2011" spans="2:14" ht="15.75" customHeight="1" x14ac:dyDescent="0.25">
      <c r="B2011" s="6"/>
      <c r="K2011" s="7"/>
      <c r="N2011" s="8"/>
    </row>
    <row r="2012" spans="2:14" ht="15.75" customHeight="1" x14ac:dyDescent="0.25">
      <c r="B2012" s="6"/>
      <c r="K2012" s="7"/>
      <c r="N2012" s="8"/>
    </row>
    <row r="2013" spans="2:14" ht="15.75" customHeight="1" x14ac:dyDescent="0.25">
      <c r="B2013" s="6"/>
      <c r="K2013" s="7"/>
      <c r="N2013" s="8"/>
    </row>
    <row r="2014" spans="2:14" ht="15.75" customHeight="1" x14ac:dyDescent="0.25">
      <c r="B2014" s="6"/>
      <c r="K2014" s="7"/>
      <c r="N2014" s="8"/>
    </row>
    <row r="2015" spans="2:14" ht="15.75" customHeight="1" x14ac:dyDescent="0.25">
      <c r="B2015" s="6"/>
      <c r="K2015" s="7"/>
      <c r="N2015" s="8"/>
    </row>
    <row r="2016" spans="2:14" ht="15.75" customHeight="1" x14ac:dyDescent="0.25">
      <c r="B2016" s="6"/>
      <c r="K2016" s="7"/>
      <c r="N2016" s="8"/>
    </row>
    <row r="2017" spans="2:14" ht="15.75" customHeight="1" x14ac:dyDescent="0.25">
      <c r="B2017" s="6"/>
      <c r="K2017" s="7"/>
      <c r="N2017" s="8"/>
    </row>
    <row r="2018" spans="2:14" ht="15.75" customHeight="1" x14ac:dyDescent="0.25">
      <c r="B2018" s="6"/>
      <c r="K2018" s="7"/>
      <c r="N2018" s="8"/>
    </row>
    <row r="2019" spans="2:14" ht="15.75" customHeight="1" x14ac:dyDescent="0.25">
      <c r="B2019" s="6"/>
      <c r="K2019" s="7"/>
      <c r="N2019" s="8"/>
    </row>
    <row r="2020" spans="2:14" ht="15.75" customHeight="1" x14ac:dyDescent="0.25">
      <c r="B2020" s="6"/>
      <c r="K2020" s="7"/>
      <c r="N2020" s="8"/>
    </row>
    <row r="2021" spans="2:14" ht="15.75" customHeight="1" x14ac:dyDescent="0.25">
      <c r="B2021" s="6"/>
      <c r="K2021" s="7"/>
      <c r="N2021" s="8"/>
    </row>
    <row r="2022" spans="2:14" ht="15.75" customHeight="1" x14ac:dyDescent="0.25">
      <c r="B2022" s="6"/>
      <c r="K2022" s="7"/>
      <c r="N2022" s="8"/>
    </row>
    <row r="2023" spans="2:14" ht="15.75" customHeight="1" x14ac:dyDescent="0.25">
      <c r="B2023" s="6"/>
      <c r="K2023" s="7"/>
      <c r="N2023" s="8"/>
    </row>
    <row r="2024" spans="2:14" ht="15.75" customHeight="1" x14ac:dyDescent="0.25">
      <c r="B2024" s="6"/>
      <c r="K2024" s="7"/>
      <c r="N2024" s="8"/>
    </row>
    <row r="2025" spans="2:14" ht="15.75" customHeight="1" x14ac:dyDescent="0.25">
      <c r="B2025" s="6"/>
      <c r="K2025" s="7"/>
      <c r="N2025" s="8"/>
    </row>
    <row r="2026" spans="2:14" ht="15.75" customHeight="1" x14ac:dyDescent="0.25">
      <c r="B2026" s="6"/>
      <c r="K2026" s="7"/>
      <c r="N2026" s="8"/>
    </row>
    <row r="2027" spans="2:14" ht="15.75" customHeight="1" x14ac:dyDescent="0.25">
      <c r="B2027" s="6"/>
      <c r="K2027" s="7"/>
      <c r="N2027" s="8"/>
    </row>
    <row r="2028" spans="2:14" ht="15.75" customHeight="1" x14ac:dyDescent="0.25">
      <c r="B2028" s="6"/>
      <c r="K2028" s="7"/>
      <c r="N2028" s="8"/>
    </row>
    <row r="2029" spans="2:14" ht="15.75" customHeight="1" x14ac:dyDescent="0.25">
      <c r="B2029" s="6"/>
      <c r="K2029" s="7"/>
      <c r="N2029" s="8"/>
    </row>
    <row r="2030" spans="2:14" ht="15.75" customHeight="1" x14ac:dyDescent="0.25">
      <c r="B2030" s="6"/>
      <c r="K2030" s="7"/>
      <c r="N2030" s="8"/>
    </row>
    <row r="2031" spans="2:14" ht="15.75" customHeight="1" x14ac:dyDescent="0.25">
      <c r="B2031" s="6"/>
      <c r="K2031" s="7"/>
      <c r="N2031" s="8"/>
    </row>
    <row r="2032" spans="2:14" ht="15.75" customHeight="1" x14ac:dyDescent="0.25">
      <c r="B2032" s="6"/>
      <c r="K2032" s="7"/>
      <c r="N2032" s="8"/>
    </row>
    <row r="2033" spans="2:14" ht="15.75" customHeight="1" x14ac:dyDescent="0.25">
      <c r="B2033" s="6"/>
      <c r="K2033" s="7"/>
      <c r="N2033" s="8"/>
    </row>
    <row r="2034" spans="2:14" ht="15.75" customHeight="1" x14ac:dyDescent="0.25">
      <c r="B2034" s="6"/>
      <c r="K2034" s="7"/>
      <c r="N2034" s="8"/>
    </row>
    <row r="2035" spans="2:14" ht="15.75" customHeight="1" x14ac:dyDescent="0.25">
      <c r="B2035" s="6"/>
      <c r="K2035" s="7"/>
      <c r="N2035" s="8"/>
    </row>
    <row r="2036" spans="2:14" ht="15.75" customHeight="1" x14ac:dyDescent="0.25">
      <c r="B2036" s="6"/>
      <c r="K2036" s="7"/>
      <c r="N2036" s="8"/>
    </row>
    <row r="2037" spans="2:14" ht="15.75" customHeight="1" x14ac:dyDescent="0.25">
      <c r="B2037" s="6"/>
      <c r="K2037" s="7"/>
      <c r="N2037" s="8"/>
    </row>
    <row r="2038" spans="2:14" ht="15.75" customHeight="1" x14ac:dyDescent="0.25">
      <c r="B2038" s="6"/>
      <c r="K2038" s="7"/>
      <c r="N2038" s="8"/>
    </row>
    <row r="2039" spans="2:14" ht="15.75" customHeight="1" x14ac:dyDescent="0.25">
      <c r="B2039" s="6"/>
      <c r="K2039" s="7"/>
      <c r="N2039" s="8"/>
    </row>
    <row r="2040" spans="2:14" ht="15.75" customHeight="1" x14ac:dyDescent="0.25">
      <c r="B2040" s="6"/>
      <c r="K2040" s="7"/>
      <c r="N2040" s="8"/>
    </row>
    <row r="2041" spans="2:14" ht="15.75" customHeight="1" x14ac:dyDescent="0.25">
      <c r="B2041" s="6"/>
      <c r="K2041" s="7"/>
      <c r="N2041" s="8"/>
    </row>
    <row r="2042" spans="2:14" ht="15.75" customHeight="1" x14ac:dyDescent="0.25">
      <c r="B2042" s="6"/>
      <c r="K2042" s="7"/>
      <c r="N2042" s="8"/>
    </row>
    <row r="2043" spans="2:14" ht="15.75" customHeight="1" x14ac:dyDescent="0.25">
      <c r="B2043" s="6"/>
      <c r="K2043" s="7"/>
      <c r="N2043" s="8"/>
    </row>
    <row r="2044" spans="2:14" ht="15.75" customHeight="1" x14ac:dyDescent="0.25">
      <c r="B2044" s="6"/>
      <c r="K2044" s="7"/>
      <c r="N2044" s="8"/>
    </row>
    <row r="2045" spans="2:14" ht="15.75" customHeight="1" x14ac:dyDescent="0.25">
      <c r="B2045" s="6"/>
      <c r="K2045" s="7"/>
      <c r="N2045" s="8"/>
    </row>
    <row r="2046" spans="2:14" ht="15.75" customHeight="1" x14ac:dyDescent="0.25">
      <c r="B2046" s="6"/>
      <c r="K2046" s="7"/>
      <c r="N2046" s="8"/>
    </row>
    <row r="2047" spans="2:14" ht="15.75" customHeight="1" x14ac:dyDescent="0.25">
      <c r="B2047" s="6"/>
      <c r="K2047" s="7"/>
      <c r="N2047" s="8"/>
    </row>
    <row r="2048" spans="2:14" ht="15.75" customHeight="1" x14ac:dyDescent="0.25">
      <c r="B2048" s="6"/>
      <c r="K2048" s="7"/>
      <c r="N2048" s="8"/>
    </row>
    <row r="2049" spans="2:14" ht="15.75" customHeight="1" x14ac:dyDescent="0.25">
      <c r="B2049" s="6"/>
      <c r="K2049" s="7"/>
      <c r="N2049" s="8"/>
    </row>
    <row r="2050" spans="2:14" ht="15.75" customHeight="1" x14ac:dyDescent="0.25">
      <c r="B2050" s="6"/>
      <c r="K2050" s="7"/>
      <c r="N2050" s="8"/>
    </row>
    <row r="2051" spans="2:14" ht="15.75" customHeight="1" x14ac:dyDescent="0.25">
      <c r="B2051" s="6"/>
      <c r="K2051" s="7"/>
      <c r="N2051" s="8"/>
    </row>
    <row r="2052" spans="2:14" ht="15.75" customHeight="1" x14ac:dyDescent="0.25">
      <c r="B2052" s="6"/>
      <c r="K2052" s="7"/>
      <c r="N2052" s="8"/>
    </row>
    <row r="2053" spans="2:14" ht="15.75" customHeight="1" x14ac:dyDescent="0.25">
      <c r="B2053" s="6"/>
      <c r="K2053" s="7"/>
      <c r="N2053" s="8"/>
    </row>
    <row r="2054" spans="2:14" ht="15.75" customHeight="1" x14ac:dyDescent="0.25">
      <c r="B2054" s="6"/>
      <c r="K2054" s="7"/>
      <c r="N2054" s="8"/>
    </row>
    <row r="2055" spans="2:14" ht="15.75" customHeight="1" x14ac:dyDescent="0.25">
      <c r="B2055" s="6"/>
      <c r="K2055" s="7"/>
      <c r="N2055" s="8"/>
    </row>
    <row r="2056" spans="2:14" ht="15.75" customHeight="1" x14ac:dyDescent="0.25">
      <c r="B2056" s="6"/>
      <c r="K2056" s="7"/>
      <c r="N2056" s="8"/>
    </row>
    <row r="2057" spans="2:14" ht="15.75" customHeight="1" x14ac:dyDescent="0.25">
      <c r="B2057" s="6"/>
      <c r="K2057" s="7"/>
      <c r="N2057" s="8"/>
    </row>
    <row r="2058" spans="2:14" ht="15.75" customHeight="1" x14ac:dyDescent="0.25">
      <c r="B2058" s="6"/>
      <c r="K2058" s="7"/>
      <c r="N2058" s="8"/>
    </row>
    <row r="2059" spans="2:14" ht="15.75" customHeight="1" x14ac:dyDescent="0.25">
      <c r="B2059" s="6"/>
      <c r="K2059" s="7"/>
      <c r="N2059" s="8"/>
    </row>
    <row r="2060" spans="2:14" ht="15.75" customHeight="1" x14ac:dyDescent="0.25">
      <c r="B2060" s="6"/>
      <c r="K2060" s="7"/>
      <c r="N2060" s="8"/>
    </row>
    <row r="2061" spans="2:14" ht="15.75" customHeight="1" x14ac:dyDescent="0.25">
      <c r="B2061" s="6"/>
      <c r="K2061" s="7"/>
      <c r="N2061" s="8"/>
    </row>
    <row r="2062" spans="2:14" ht="15.75" customHeight="1" x14ac:dyDescent="0.25">
      <c r="B2062" s="6"/>
      <c r="K2062" s="7"/>
      <c r="N2062" s="8"/>
    </row>
    <row r="2063" spans="2:14" ht="15.75" customHeight="1" x14ac:dyDescent="0.25">
      <c r="B2063" s="6"/>
      <c r="K2063" s="7"/>
      <c r="N2063" s="8"/>
    </row>
    <row r="2064" spans="2:14" ht="15.75" customHeight="1" x14ac:dyDescent="0.25">
      <c r="B2064" s="6"/>
      <c r="K2064" s="7"/>
      <c r="N2064" s="8"/>
    </row>
    <row r="2065" spans="2:14" ht="15.75" customHeight="1" x14ac:dyDescent="0.25">
      <c r="B2065" s="6"/>
      <c r="K2065" s="7"/>
      <c r="N2065" s="8"/>
    </row>
    <row r="2066" spans="2:14" ht="15.75" customHeight="1" x14ac:dyDescent="0.25">
      <c r="B2066" s="6"/>
      <c r="K2066" s="7"/>
      <c r="N2066" s="8"/>
    </row>
    <row r="2067" spans="2:14" ht="15.75" customHeight="1" x14ac:dyDescent="0.25">
      <c r="B2067" s="6"/>
      <c r="K2067" s="7"/>
      <c r="N2067" s="8"/>
    </row>
    <row r="2068" spans="2:14" ht="15.75" customHeight="1" x14ac:dyDescent="0.25">
      <c r="B2068" s="6"/>
      <c r="K2068" s="7"/>
      <c r="N2068" s="8"/>
    </row>
    <row r="2069" spans="2:14" ht="15.75" customHeight="1" x14ac:dyDescent="0.25">
      <c r="B2069" s="6"/>
      <c r="K2069" s="7"/>
      <c r="N2069" s="8"/>
    </row>
    <row r="2070" spans="2:14" ht="15.75" customHeight="1" x14ac:dyDescent="0.25">
      <c r="B2070" s="6"/>
      <c r="K2070" s="7"/>
      <c r="N2070" s="8"/>
    </row>
    <row r="2071" spans="2:14" ht="15.75" customHeight="1" x14ac:dyDescent="0.25">
      <c r="B2071" s="6"/>
      <c r="K2071" s="7"/>
      <c r="N2071" s="8"/>
    </row>
    <row r="2072" spans="2:14" ht="15.75" customHeight="1" x14ac:dyDescent="0.25">
      <c r="B2072" s="6"/>
      <c r="K2072" s="7"/>
      <c r="N2072" s="8"/>
    </row>
    <row r="2073" spans="2:14" ht="15.75" customHeight="1" x14ac:dyDescent="0.25">
      <c r="B2073" s="6"/>
      <c r="K2073" s="7"/>
      <c r="N2073" s="8"/>
    </row>
    <row r="2074" spans="2:14" ht="15.75" customHeight="1" x14ac:dyDescent="0.25">
      <c r="B2074" s="6"/>
      <c r="K2074" s="7"/>
      <c r="N2074" s="8"/>
    </row>
    <row r="2075" spans="2:14" ht="15.75" customHeight="1" x14ac:dyDescent="0.25">
      <c r="B2075" s="6"/>
      <c r="K2075" s="7"/>
      <c r="N2075" s="8"/>
    </row>
    <row r="2076" spans="2:14" ht="15.75" customHeight="1" x14ac:dyDescent="0.25">
      <c r="B2076" s="6"/>
      <c r="K2076" s="7"/>
      <c r="N2076" s="8"/>
    </row>
    <row r="2077" spans="2:14" ht="15.75" customHeight="1" x14ac:dyDescent="0.25">
      <c r="B2077" s="6"/>
      <c r="K2077" s="7"/>
      <c r="N2077" s="8"/>
    </row>
    <row r="2078" spans="2:14" ht="15.75" customHeight="1" x14ac:dyDescent="0.25">
      <c r="B2078" s="6"/>
      <c r="K2078" s="7"/>
      <c r="N2078" s="8"/>
    </row>
    <row r="2079" spans="2:14" ht="15.75" customHeight="1" x14ac:dyDescent="0.25">
      <c r="B2079" s="6"/>
      <c r="K2079" s="7"/>
      <c r="N2079" s="8"/>
    </row>
    <row r="2080" spans="2:14" ht="15.75" customHeight="1" x14ac:dyDescent="0.25">
      <c r="B2080" s="6"/>
      <c r="K2080" s="7"/>
      <c r="N2080" s="8"/>
    </row>
    <row r="2081" spans="2:14" ht="15.75" customHeight="1" x14ac:dyDescent="0.25">
      <c r="B2081" s="6"/>
      <c r="K2081" s="7"/>
      <c r="N2081" s="8"/>
    </row>
    <row r="2082" spans="2:14" ht="15.75" customHeight="1" x14ac:dyDescent="0.25">
      <c r="B2082" s="6"/>
      <c r="K2082" s="7"/>
      <c r="N2082" s="8"/>
    </row>
    <row r="2083" spans="2:14" ht="15.75" customHeight="1" x14ac:dyDescent="0.25">
      <c r="B2083" s="6"/>
      <c r="K2083" s="7"/>
      <c r="N2083" s="8"/>
    </row>
    <row r="2084" spans="2:14" ht="15.75" customHeight="1" x14ac:dyDescent="0.25">
      <c r="B2084" s="6"/>
      <c r="K2084" s="7"/>
      <c r="N2084" s="8"/>
    </row>
    <row r="2085" spans="2:14" ht="15.75" customHeight="1" x14ac:dyDescent="0.25">
      <c r="B2085" s="6"/>
      <c r="K2085" s="7"/>
      <c r="N2085" s="8"/>
    </row>
    <row r="2086" spans="2:14" ht="15.75" customHeight="1" x14ac:dyDescent="0.25">
      <c r="B2086" s="6"/>
      <c r="K2086" s="7"/>
      <c r="N2086" s="8"/>
    </row>
    <row r="2087" spans="2:14" ht="15.75" customHeight="1" x14ac:dyDescent="0.25">
      <c r="B2087" s="6"/>
      <c r="K2087" s="7"/>
      <c r="N2087" s="8"/>
    </row>
    <row r="2088" spans="2:14" ht="15.75" customHeight="1" x14ac:dyDescent="0.25">
      <c r="B2088" s="6"/>
      <c r="K2088" s="7"/>
      <c r="N2088" s="8"/>
    </row>
    <row r="2089" spans="2:14" ht="15.75" customHeight="1" x14ac:dyDescent="0.25">
      <c r="B2089" s="6"/>
      <c r="K2089" s="7"/>
      <c r="N2089" s="8"/>
    </row>
    <row r="2090" spans="2:14" ht="15.75" customHeight="1" x14ac:dyDescent="0.25">
      <c r="B2090" s="6"/>
      <c r="K2090" s="7"/>
      <c r="N2090" s="8"/>
    </row>
    <row r="2091" spans="2:14" ht="15.75" customHeight="1" x14ac:dyDescent="0.25">
      <c r="B2091" s="6"/>
      <c r="K2091" s="7"/>
      <c r="N2091" s="8"/>
    </row>
    <row r="2092" spans="2:14" ht="15.75" customHeight="1" x14ac:dyDescent="0.25">
      <c r="B2092" s="6"/>
      <c r="K2092" s="7"/>
      <c r="N2092" s="8"/>
    </row>
    <row r="2093" spans="2:14" ht="15.75" customHeight="1" x14ac:dyDescent="0.25">
      <c r="B2093" s="6"/>
      <c r="K2093" s="7"/>
      <c r="N2093" s="8"/>
    </row>
    <row r="2094" spans="2:14" ht="15.75" customHeight="1" x14ac:dyDescent="0.25">
      <c r="B2094" s="6"/>
      <c r="K2094" s="7"/>
      <c r="N2094" s="8"/>
    </row>
    <row r="2095" spans="2:14" ht="15.75" customHeight="1" x14ac:dyDescent="0.25">
      <c r="B2095" s="6"/>
      <c r="K2095" s="7"/>
      <c r="N2095" s="8"/>
    </row>
    <row r="2096" spans="2:14" ht="15.75" customHeight="1" x14ac:dyDescent="0.25">
      <c r="B2096" s="6"/>
      <c r="K2096" s="7"/>
      <c r="N2096" s="8"/>
    </row>
    <row r="2097" spans="2:14" ht="15.75" customHeight="1" x14ac:dyDescent="0.25">
      <c r="B2097" s="6"/>
      <c r="K2097" s="7"/>
      <c r="N2097" s="8"/>
    </row>
    <row r="2098" spans="2:14" ht="15.75" customHeight="1" x14ac:dyDescent="0.25">
      <c r="B2098" s="6"/>
      <c r="K2098" s="7"/>
      <c r="N2098" s="8"/>
    </row>
    <row r="2099" spans="2:14" ht="15.75" customHeight="1" x14ac:dyDescent="0.25">
      <c r="B2099" s="6"/>
      <c r="K2099" s="7"/>
      <c r="N2099" s="8"/>
    </row>
    <row r="2100" spans="2:14" ht="15.75" customHeight="1" x14ac:dyDescent="0.25">
      <c r="B2100" s="6"/>
      <c r="K2100" s="7"/>
      <c r="N2100" s="8"/>
    </row>
    <row r="2101" spans="2:14" ht="15.75" customHeight="1" x14ac:dyDescent="0.25">
      <c r="B2101" s="6"/>
      <c r="K2101" s="7"/>
      <c r="N2101" s="8"/>
    </row>
    <row r="2102" spans="2:14" ht="15.75" customHeight="1" x14ac:dyDescent="0.25">
      <c r="B2102" s="6"/>
      <c r="K2102" s="7"/>
      <c r="N2102" s="8"/>
    </row>
    <row r="2103" spans="2:14" ht="15.75" customHeight="1" x14ac:dyDescent="0.25">
      <c r="B2103" s="6"/>
      <c r="K2103" s="7"/>
      <c r="N2103" s="8"/>
    </row>
    <row r="2104" spans="2:14" ht="15.75" customHeight="1" x14ac:dyDescent="0.25">
      <c r="B2104" s="6"/>
      <c r="K2104" s="7"/>
      <c r="N2104" s="8"/>
    </row>
    <row r="2105" spans="2:14" ht="15.75" customHeight="1" x14ac:dyDescent="0.25">
      <c r="B2105" s="6"/>
      <c r="K2105" s="7"/>
      <c r="N2105" s="8"/>
    </row>
    <row r="2106" spans="2:14" ht="15.75" customHeight="1" x14ac:dyDescent="0.25">
      <c r="B2106" s="6"/>
      <c r="K2106" s="7"/>
      <c r="N2106" s="8"/>
    </row>
    <row r="2107" spans="2:14" ht="15.75" customHeight="1" x14ac:dyDescent="0.25">
      <c r="B2107" s="6"/>
      <c r="K2107" s="7"/>
      <c r="N2107" s="8"/>
    </row>
    <row r="2108" spans="2:14" ht="15.75" customHeight="1" x14ac:dyDescent="0.25">
      <c r="B2108" s="6"/>
      <c r="K2108" s="7"/>
      <c r="N2108" s="8"/>
    </row>
    <row r="2109" spans="2:14" ht="15.75" customHeight="1" x14ac:dyDescent="0.25">
      <c r="B2109" s="6"/>
      <c r="K2109" s="7"/>
      <c r="N2109" s="8"/>
    </row>
    <row r="2110" spans="2:14" ht="15.75" customHeight="1" x14ac:dyDescent="0.25">
      <c r="B2110" s="6"/>
      <c r="K2110" s="7"/>
      <c r="N2110" s="8"/>
    </row>
    <row r="2111" spans="2:14" ht="15.75" customHeight="1" x14ac:dyDescent="0.25">
      <c r="B2111" s="6"/>
      <c r="K2111" s="7"/>
      <c r="N2111" s="8"/>
    </row>
    <row r="2112" spans="2:14" ht="15.75" customHeight="1" x14ac:dyDescent="0.25">
      <c r="B2112" s="6"/>
      <c r="K2112" s="7"/>
      <c r="N2112" s="8"/>
    </row>
    <row r="2113" spans="2:14" ht="15.75" customHeight="1" x14ac:dyDescent="0.25">
      <c r="B2113" s="6"/>
      <c r="K2113" s="7"/>
      <c r="N2113" s="8"/>
    </row>
    <row r="2114" spans="2:14" ht="15.75" customHeight="1" x14ac:dyDescent="0.25">
      <c r="B2114" s="6"/>
      <c r="K2114" s="7"/>
      <c r="N2114" s="8"/>
    </row>
    <row r="2115" spans="2:14" ht="15.75" customHeight="1" x14ac:dyDescent="0.25">
      <c r="B2115" s="6"/>
      <c r="K2115" s="7"/>
      <c r="N2115" s="8"/>
    </row>
    <row r="2116" spans="2:14" ht="15.75" customHeight="1" x14ac:dyDescent="0.25">
      <c r="B2116" s="6"/>
      <c r="K2116" s="7"/>
      <c r="N2116" s="8"/>
    </row>
    <row r="2117" spans="2:14" ht="15.75" customHeight="1" x14ac:dyDescent="0.25">
      <c r="B2117" s="6"/>
      <c r="K2117" s="7"/>
      <c r="N2117" s="8"/>
    </row>
    <row r="2118" spans="2:14" ht="15.75" customHeight="1" x14ac:dyDescent="0.25">
      <c r="B2118" s="6"/>
      <c r="K2118" s="7"/>
      <c r="N2118" s="8"/>
    </row>
    <row r="2119" spans="2:14" ht="15.75" customHeight="1" x14ac:dyDescent="0.25">
      <c r="B2119" s="6"/>
      <c r="K2119" s="7"/>
      <c r="N2119" s="8"/>
    </row>
    <row r="2120" spans="2:14" ht="15.75" customHeight="1" x14ac:dyDescent="0.25">
      <c r="B2120" s="6"/>
      <c r="K2120" s="7"/>
      <c r="N2120" s="8"/>
    </row>
    <row r="2121" spans="2:14" ht="15.75" customHeight="1" x14ac:dyDescent="0.25">
      <c r="B2121" s="6"/>
      <c r="K2121" s="7"/>
      <c r="N2121" s="8"/>
    </row>
    <row r="2122" spans="2:14" ht="15.75" customHeight="1" x14ac:dyDescent="0.25">
      <c r="B2122" s="6"/>
      <c r="K2122" s="7"/>
      <c r="N2122" s="8"/>
    </row>
    <row r="2123" spans="2:14" ht="15.75" customHeight="1" x14ac:dyDescent="0.25">
      <c r="B2123" s="6"/>
      <c r="K2123" s="7"/>
      <c r="N2123" s="8"/>
    </row>
    <row r="2124" spans="2:14" ht="15.75" customHeight="1" x14ac:dyDescent="0.25">
      <c r="B2124" s="6"/>
      <c r="K2124" s="7"/>
      <c r="N2124" s="8"/>
    </row>
    <row r="2125" spans="2:14" ht="15.75" customHeight="1" x14ac:dyDescent="0.25">
      <c r="B2125" s="6"/>
      <c r="K2125" s="7"/>
      <c r="N2125" s="8"/>
    </row>
    <row r="2126" spans="2:14" ht="15.75" customHeight="1" x14ac:dyDescent="0.25">
      <c r="B2126" s="6"/>
      <c r="K2126" s="7"/>
      <c r="N2126" s="8"/>
    </row>
    <row r="2127" spans="2:14" ht="15.75" customHeight="1" x14ac:dyDescent="0.25">
      <c r="B2127" s="6"/>
      <c r="K2127" s="7"/>
      <c r="N2127" s="8"/>
    </row>
    <row r="2128" spans="2:14" ht="15.75" customHeight="1" x14ac:dyDescent="0.25">
      <c r="B2128" s="6"/>
      <c r="K2128" s="7"/>
      <c r="N2128" s="8"/>
    </row>
    <row r="2129" spans="2:14" ht="15.75" customHeight="1" x14ac:dyDescent="0.25">
      <c r="B2129" s="6"/>
      <c r="K2129" s="7"/>
      <c r="N2129" s="8"/>
    </row>
    <row r="2130" spans="2:14" ht="15.75" customHeight="1" x14ac:dyDescent="0.25">
      <c r="B2130" s="6"/>
      <c r="K2130" s="7"/>
      <c r="N2130" s="8"/>
    </row>
    <row r="2131" spans="2:14" ht="15.75" customHeight="1" x14ac:dyDescent="0.25">
      <c r="B2131" s="6"/>
      <c r="K2131" s="7"/>
      <c r="N2131" s="8"/>
    </row>
    <row r="2132" spans="2:14" ht="15.75" customHeight="1" x14ac:dyDescent="0.25">
      <c r="B2132" s="6"/>
      <c r="K2132" s="7"/>
      <c r="N2132" s="8"/>
    </row>
    <row r="2133" spans="2:14" ht="15.75" customHeight="1" x14ac:dyDescent="0.25">
      <c r="B2133" s="6"/>
      <c r="K2133" s="7"/>
      <c r="N2133" s="8"/>
    </row>
    <row r="2134" spans="2:14" ht="15.75" customHeight="1" x14ac:dyDescent="0.25">
      <c r="B2134" s="6"/>
      <c r="K2134" s="7"/>
      <c r="N2134" s="8"/>
    </row>
    <row r="2135" spans="2:14" ht="15.75" customHeight="1" x14ac:dyDescent="0.25">
      <c r="B2135" s="6"/>
      <c r="K2135" s="7"/>
      <c r="N2135" s="8"/>
    </row>
    <row r="2136" spans="2:14" ht="15.75" customHeight="1" x14ac:dyDescent="0.25">
      <c r="B2136" s="6"/>
      <c r="K2136" s="7"/>
      <c r="N2136" s="8"/>
    </row>
    <row r="2137" spans="2:14" ht="15.75" customHeight="1" x14ac:dyDescent="0.25">
      <c r="B2137" s="6"/>
      <c r="K2137" s="7"/>
      <c r="N2137" s="8"/>
    </row>
    <row r="2138" spans="2:14" ht="15.75" customHeight="1" x14ac:dyDescent="0.25">
      <c r="B2138" s="6"/>
      <c r="K2138" s="7"/>
      <c r="N2138" s="8"/>
    </row>
    <row r="2139" spans="2:14" ht="15.75" customHeight="1" x14ac:dyDescent="0.25">
      <c r="B2139" s="6"/>
      <c r="K2139" s="7"/>
      <c r="N2139" s="8"/>
    </row>
    <row r="2140" spans="2:14" ht="15.75" customHeight="1" x14ac:dyDescent="0.25">
      <c r="B2140" s="6"/>
      <c r="K2140" s="7"/>
      <c r="N2140" s="8"/>
    </row>
    <row r="2141" spans="2:14" ht="15.75" customHeight="1" x14ac:dyDescent="0.25">
      <c r="B2141" s="6"/>
      <c r="K2141" s="7"/>
      <c r="N2141" s="8"/>
    </row>
    <row r="2142" spans="2:14" ht="15.75" customHeight="1" x14ac:dyDescent="0.25">
      <c r="B2142" s="6"/>
      <c r="K2142" s="7"/>
      <c r="N2142" s="8"/>
    </row>
    <row r="2143" spans="2:14" ht="15.75" customHeight="1" x14ac:dyDescent="0.25">
      <c r="B2143" s="6"/>
      <c r="K2143" s="7"/>
      <c r="N2143" s="8"/>
    </row>
    <row r="2144" spans="2:14" ht="15.75" customHeight="1" x14ac:dyDescent="0.25">
      <c r="B2144" s="6"/>
      <c r="K2144" s="7"/>
      <c r="N2144" s="8"/>
    </row>
    <row r="2145" spans="2:14" ht="15.75" customHeight="1" x14ac:dyDescent="0.25">
      <c r="B2145" s="6"/>
      <c r="K2145" s="7"/>
      <c r="N2145" s="8"/>
    </row>
    <row r="2146" spans="2:14" ht="15.75" customHeight="1" x14ac:dyDescent="0.25">
      <c r="B2146" s="6"/>
      <c r="K2146" s="7"/>
      <c r="N2146" s="8"/>
    </row>
    <row r="2147" spans="2:14" ht="15.75" customHeight="1" x14ac:dyDescent="0.25">
      <c r="B2147" s="6"/>
      <c r="K2147" s="7"/>
      <c r="N2147" s="8"/>
    </row>
    <row r="2148" spans="2:14" ht="15.75" customHeight="1" x14ac:dyDescent="0.25">
      <c r="B2148" s="6"/>
      <c r="K2148" s="7"/>
      <c r="N2148" s="8"/>
    </row>
    <row r="2149" spans="2:14" ht="15.75" customHeight="1" x14ac:dyDescent="0.25">
      <c r="B2149" s="6"/>
      <c r="K2149" s="7"/>
      <c r="N2149" s="8"/>
    </row>
    <row r="2150" spans="2:14" ht="15.75" customHeight="1" x14ac:dyDescent="0.25">
      <c r="B2150" s="6"/>
      <c r="K2150" s="7"/>
      <c r="N2150" s="8"/>
    </row>
    <row r="2151" spans="2:14" ht="15.75" customHeight="1" x14ac:dyDescent="0.25">
      <c r="B2151" s="6"/>
      <c r="K2151" s="7"/>
      <c r="N2151" s="8"/>
    </row>
    <row r="2152" spans="2:14" ht="15.75" customHeight="1" x14ac:dyDescent="0.25">
      <c r="B2152" s="6"/>
      <c r="K2152" s="7"/>
      <c r="N2152" s="8"/>
    </row>
    <row r="2153" spans="2:14" ht="15.75" customHeight="1" x14ac:dyDescent="0.25">
      <c r="B2153" s="6"/>
      <c r="K2153" s="7"/>
      <c r="N2153" s="8"/>
    </row>
    <row r="2154" spans="2:14" ht="15.75" customHeight="1" x14ac:dyDescent="0.25">
      <c r="B2154" s="6"/>
      <c r="K2154" s="7"/>
      <c r="N2154" s="8"/>
    </row>
    <row r="2155" spans="2:14" ht="15.75" customHeight="1" x14ac:dyDescent="0.25">
      <c r="B2155" s="6"/>
      <c r="K2155" s="7"/>
      <c r="N2155" s="8"/>
    </row>
    <row r="2156" spans="2:14" ht="15.75" customHeight="1" x14ac:dyDescent="0.25">
      <c r="B2156" s="6"/>
      <c r="K2156" s="7"/>
      <c r="N2156" s="8"/>
    </row>
    <row r="2157" spans="2:14" ht="15.75" customHeight="1" x14ac:dyDescent="0.25">
      <c r="B2157" s="6"/>
      <c r="K2157" s="7"/>
      <c r="N2157" s="8"/>
    </row>
    <row r="2158" spans="2:14" ht="15.75" customHeight="1" x14ac:dyDescent="0.25">
      <c r="B2158" s="6"/>
      <c r="K2158" s="7"/>
      <c r="N2158" s="8"/>
    </row>
    <row r="2159" spans="2:14" ht="15.75" customHeight="1" x14ac:dyDescent="0.25">
      <c r="B2159" s="6"/>
      <c r="K2159" s="7"/>
      <c r="N2159" s="8"/>
    </row>
    <row r="2160" spans="2:14" ht="15.75" customHeight="1" x14ac:dyDescent="0.25">
      <c r="B2160" s="6"/>
      <c r="K2160" s="7"/>
      <c r="N2160" s="8"/>
    </row>
    <row r="2161" spans="2:14" ht="15.75" customHeight="1" x14ac:dyDescent="0.25">
      <c r="B2161" s="6"/>
      <c r="K2161" s="7"/>
      <c r="N2161" s="8"/>
    </row>
    <row r="2162" spans="2:14" ht="15.75" customHeight="1" x14ac:dyDescent="0.25">
      <c r="B2162" s="6"/>
      <c r="K2162" s="7"/>
      <c r="N2162" s="8"/>
    </row>
    <row r="2163" spans="2:14" ht="15.75" customHeight="1" x14ac:dyDescent="0.25">
      <c r="B2163" s="6"/>
      <c r="K2163" s="7"/>
      <c r="N2163" s="8"/>
    </row>
    <row r="2164" spans="2:14" ht="15.75" customHeight="1" x14ac:dyDescent="0.25">
      <c r="B2164" s="6"/>
      <c r="K2164" s="7"/>
      <c r="N2164" s="8"/>
    </row>
    <row r="2165" spans="2:14" ht="15.75" customHeight="1" x14ac:dyDescent="0.25">
      <c r="B2165" s="6"/>
      <c r="K2165" s="7"/>
      <c r="N2165" s="8"/>
    </row>
    <row r="2166" spans="2:14" ht="15.75" customHeight="1" x14ac:dyDescent="0.25">
      <c r="B2166" s="6"/>
      <c r="K2166" s="7"/>
      <c r="N2166" s="8"/>
    </row>
    <row r="2167" spans="2:14" ht="15.75" customHeight="1" x14ac:dyDescent="0.25">
      <c r="B2167" s="6"/>
      <c r="K2167" s="7"/>
      <c r="N2167" s="8"/>
    </row>
    <row r="2168" spans="2:14" ht="15.75" customHeight="1" x14ac:dyDescent="0.25">
      <c r="B2168" s="6"/>
      <c r="K2168" s="7"/>
      <c r="N2168" s="8"/>
    </row>
    <row r="2169" spans="2:14" ht="15.75" customHeight="1" x14ac:dyDescent="0.25">
      <c r="B2169" s="6"/>
      <c r="K2169" s="7"/>
      <c r="N2169" s="8"/>
    </row>
    <row r="2170" spans="2:14" ht="15.75" customHeight="1" x14ac:dyDescent="0.25">
      <c r="B2170" s="6"/>
      <c r="K2170" s="7"/>
      <c r="N2170" s="8"/>
    </row>
    <row r="2171" spans="2:14" ht="15.75" customHeight="1" x14ac:dyDescent="0.25">
      <c r="B2171" s="6"/>
      <c r="K2171" s="7"/>
      <c r="N2171" s="8"/>
    </row>
    <row r="2172" spans="2:14" ht="15.75" customHeight="1" x14ac:dyDescent="0.25">
      <c r="B2172" s="6"/>
      <c r="K2172" s="7"/>
      <c r="N2172" s="8"/>
    </row>
    <row r="2173" spans="2:14" ht="15.75" customHeight="1" x14ac:dyDescent="0.25">
      <c r="B2173" s="6"/>
      <c r="K2173" s="7"/>
      <c r="N2173" s="8"/>
    </row>
    <row r="2174" spans="2:14" ht="15.75" customHeight="1" x14ac:dyDescent="0.25">
      <c r="B2174" s="6"/>
      <c r="K2174" s="7"/>
      <c r="N2174" s="8"/>
    </row>
    <row r="2175" spans="2:14" ht="15.75" customHeight="1" x14ac:dyDescent="0.25">
      <c r="B2175" s="6"/>
      <c r="K2175" s="7"/>
      <c r="N2175" s="8"/>
    </row>
    <row r="2176" spans="2:14" ht="15.75" customHeight="1" x14ac:dyDescent="0.25">
      <c r="B2176" s="6"/>
      <c r="K2176" s="7"/>
      <c r="N2176" s="8"/>
    </row>
    <row r="2177" spans="2:14" ht="15.75" customHeight="1" x14ac:dyDescent="0.25">
      <c r="B2177" s="6"/>
      <c r="K2177" s="7"/>
      <c r="N2177" s="8"/>
    </row>
    <row r="2178" spans="2:14" ht="15.75" customHeight="1" x14ac:dyDescent="0.25">
      <c r="B2178" s="6"/>
      <c r="K2178" s="7"/>
      <c r="N2178" s="8"/>
    </row>
    <row r="2179" spans="2:14" ht="15.75" customHeight="1" x14ac:dyDescent="0.25">
      <c r="B2179" s="6"/>
      <c r="K2179" s="7"/>
      <c r="N2179" s="8"/>
    </row>
    <row r="2180" spans="2:14" ht="15.75" customHeight="1" x14ac:dyDescent="0.25">
      <c r="B2180" s="6"/>
      <c r="K2180" s="7"/>
      <c r="N2180" s="8"/>
    </row>
    <row r="2181" spans="2:14" ht="15.75" customHeight="1" x14ac:dyDescent="0.25">
      <c r="B2181" s="6"/>
      <c r="K2181" s="7"/>
      <c r="N2181" s="8"/>
    </row>
    <row r="2182" spans="2:14" ht="15.75" customHeight="1" x14ac:dyDescent="0.25">
      <c r="B2182" s="6"/>
      <c r="K2182" s="7"/>
      <c r="N2182" s="8"/>
    </row>
    <row r="2183" spans="2:14" ht="15.75" customHeight="1" x14ac:dyDescent="0.25">
      <c r="B2183" s="6"/>
      <c r="K2183" s="7"/>
      <c r="N2183" s="8"/>
    </row>
    <row r="2184" spans="2:14" ht="15.75" customHeight="1" x14ac:dyDescent="0.25">
      <c r="B2184" s="6"/>
      <c r="K2184" s="7"/>
      <c r="N2184" s="8"/>
    </row>
    <row r="2185" spans="2:14" ht="15.75" customHeight="1" x14ac:dyDescent="0.25">
      <c r="B2185" s="6"/>
      <c r="K2185" s="7"/>
      <c r="N2185" s="8"/>
    </row>
    <row r="2186" spans="2:14" ht="15.75" customHeight="1" x14ac:dyDescent="0.25">
      <c r="B2186" s="6"/>
      <c r="K2186" s="7"/>
      <c r="N2186" s="8"/>
    </row>
    <row r="2187" spans="2:14" ht="15.75" customHeight="1" x14ac:dyDescent="0.25">
      <c r="B2187" s="6"/>
      <c r="K2187" s="7"/>
      <c r="N2187" s="8"/>
    </row>
    <row r="2188" spans="2:14" ht="15.75" customHeight="1" x14ac:dyDescent="0.25">
      <c r="B2188" s="6"/>
      <c r="K2188" s="7"/>
      <c r="N2188" s="8"/>
    </row>
    <row r="2189" spans="2:14" ht="15.75" customHeight="1" x14ac:dyDescent="0.25">
      <c r="B2189" s="6"/>
      <c r="K2189" s="7"/>
      <c r="N2189" s="8"/>
    </row>
    <row r="2190" spans="2:14" ht="15.75" customHeight="1" x14ac:dyDescent="0.25">
      <c r="B2190" s="6"/>
      <c r="K2190" s="7"/>
      <c r="N2190" s="8"/>
    </row>
    <row r="2191" spans="2:14" ht="15.75" customHeight="1" x14ac:dyDescent="0.25">
      <c r="B2191" s="6"/>
      <c r="K2191" s="7"/>
      <c r="N2191" s="8"/>
    </row>
    <row r="2192" spans="2:14" ht="15.75" customHeight="1" x14ac:dyDescent="0.25">
      <c r="B2192" s="6"/>
      <c r="K2192" s="7"/>
      <c r="N2192" s="8"/>
    </row>
    <row r="2193" spans="2:14" ht="15.75" customHeight="1" x14ac:dyDescent="0.25">
      <c r="B2193" s="6"/>
      <c r="K2193" s="7"/>
      <c r="N2193" s="8"/>
    </row>
    <row r="2194" spans="2:14" ht="15.75" customHeight="1" x14ac:dyDescent="0.25">
      <c r="B2194" s="6"/>
      <c r="K2194" s="7"/>
      <c r="N2194" s="8"/>
    </row>
    <row r="2195" spans="2:14" ht="15.75" customHeight="1" x14ac:dyDescent="0.25">
      <c r="B2195" s="6"/>
      <c r="K2195" s="7"/>
      <c r="N2195" s="8"/>
    </row>
    <row r="2196" spans="2:14" ht="15.75" customHeight="1" x14ac:dyDescent="0.25">
      <c r="B2196" s="6"/>
      <c r="K2196" s="7"/>
      <c r="N2196" s="8"/>
    </row>
    <row r="2197" spans="2:14" ht="15.75" customHeight="1" x14ac:dyDescent="0.25">
      <c r="B2197" s="6"/>
      <c r="K2197" s="7"/>
      <c r="N2197" s="8"/>
    </row>
  </sheetData>
  <autoFilter ref="A1:AD1199" xr:uid="{00000000-0009-0000-0000-000000000000}"/>
  <customSheetViews>
    <customSheetView guid="{670DB8ED-3E36-476C-9B77-5A46FA7BCAEB}" filter="1" showAutoFilter="1">
      <pageMargins left="0.7" right="0.7" top="0.75" bottom="0.75" header="0.3" footer="0.3"/>
      <autoFilter ref="A1:V1199" xr:uid="{00000000-0000-0000-0000-000000000000}"/>
    </customSheetView>
    <customSheetView guid="{670DB8ED-3E36-476C-9B77-5A46FA7BCAEB}" filter="1" showAutoFilter="1">
      <pageMargins left="0.7" right="0.7" top="0.75" bottom="0.75" header="0.3" footer="0.3"/>
      <autoFilter ref="A1:V1199" xr:uid="{00000000-0000-0000-0000-000000000000}"/>
    </customSheetView>
  </customSheetView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2"/>
  <sheetViews>
    <sheetView workbookViewId="0"/>
  </sheetViews>
  <sheetFormatPr defaultColWidth="14.42578125" defaultRowHeight="15" customHeight="1" x14ac:dyDescent="0.25"/>
  <sheetData>
    <row r="1" spans="1:8" x14ac:dyDescent="0.25">
      <c r="A1" s="3" t="s">
        <v>1584</v>
      </c>
      <c r="B1" s="15" t="e">
        <f>SUM(#REF!)</f>
        <v>#REF!</v>
      </c>
    </row>
    <row r="2" spans="1:8" x14ac:dyDescent="0.25">
      <c r="A2" s="3" t="s">
        <v>1585</v>
      </c>
      <c r="B2" s="5">
        <f>COUNTIF(Ecommerce_Data!R2:R1711,"&lt;&gt;Cancelled")</f>
        <v>1272</v>
      </c>
    </row>
    <row r="3" spans="1:8" x14ac:dyDescent="0.25">
      <c r="A3" s="3" t="s">
        <v>1586</v>
      </c>
      <c r="B3" s="5">
        <f>AVERAGE(Ecommerce_Data!U:U)</f>
        <v>2.9031719532554257</v>
      </c>
    </row>
    <row r="4" spans="1:8" x14ac:dyDescent="0.25">
      <c r="A4" s="3" t="s">
        <v>1587</v>
      </c>
      <c r="B4" s="13">
        <f>SUMIF(Ecommerce_Data!R:R,"&lt;&gt;Cancelled",Ecommerce_Data!P:P)</f>
        <v>10340627.410722287</v>
      </c>
    </row>
    <row r="5" spans="1:8" x14ac:dyDescent="0.25">
      <c r="A5" s="3" t="s">
        <v>1588</v>
      </c>
      <c r="B5" s="14">
        <f>COUNTIF(Ecommerce_Data!V2:V1711,"Yes")/B2</f>
        <v>5.4245283018867926E-2</v>
      </c>
    </row>
    <row r="6" spans="1:8" x14ac:dyDescent="0.25">
      <c r="A6" s="3" t="s">
        <v>1589</v>
      </c>
      <c r="B6" s="5">
        <f>SUMIF(Ecommerce_Data!V:V,"Yes",Ecommerce_Data!P:P)</f>
        <v>935462.62692115316</v>
      </c>
    </row>
    <row r="7" spans="1:8" x14ac:dyDescent="0.25">
      <c r="A7" s="8" t="s">
        <v>1590</v>
      </c>
      <c r="B7" s="13">
        <f>B4-B6</f>
        <v>9405164.7838011347</v>
      </c>
    </row>
    <row r="8" spans="1:8" ht="15" customHeight="1" x14ac:dyDescent="0.25">
      <c r="E8" s="33" t="s">
        <v>21</v>
      </c>
      <c r="F8" s="34" t="s">
        <v>33</v>
      </c>
    </row>
    <row r="9" spans="1:8" ht="15" customHeight="1" x14ac:dyDescent="0.25">
      <c r="E9" s="33" t="s">
        <v>17</v>
      </c>
      <c r="F9" s="34" t="s">
        <v>32</v>
      </c>
    </row>
    <row r="10" spans="1:8" x14ac:dyDescent="0.25">
      <c r="E10" s="3"/>
      <c r="H10" s="3"/>
    </row>
    <row r="11" spans="1:8" x14ac:dyDescent="0.25">
      <c r="E11" s="16"/>
      <c r="F11" s="17" t="s">
        <v>1599</v>
      </c>
      <c r="G11" s="18"/>
      <c r="H11" s="19"/>
    </row>
    <row r="12" spans="1:8" x14ac:dyDescent="0.25">
      <c r="E12" s="17" t="s">
        <v>7</v>
      </c>
      <c r="F12" s="16" t="s">
        <v>1591</v>
      </c>
      <c r="G12" s="20" t="s">
        <v>1592</v>
      </c>
      <c r="H12" s="21" t="s">
        <v>1593</v>
      </c>
    </row>
    <row r="13" spans="1:8" x14ac:dyDescent="0.25">
      <c r="E13" s="16" t="s">
        <v>76</v>
      </c>
      <c r="F13" s="22">
        <v>33344911.087181725</v>
      </c>
      <c r="G13" s="23">
        <v>6937348.0871817311</v>
      </c>
      <c r="H13" s="24">
        <v>3.3534883720930231</v>
      </c>
    </row>
    <row r="14" spans="1:8" x14ac:dyDescent="0.25">
      <c r="E14" s="25" t="s">
        <v>29</v>
      </c>
      <c r="F14" s="26">
        <v>10183463.847148463</v>
      </c>
      <c r="G14" s="27">
        <v>2171419.8471484585</v>
      </c>
      <c r="H14" s="28">
        <v>3.2735042735042734</v>
      </c>
    </row>
    <row r="15" spans="1:8" x14ac:dyDescent="0.25">
      <c r="E15" s="25" t="s">
        <v>44</v>
      </c>
      <c r="F15" s="26">
        <v>1120039.48904549</v>
      </c>
      <c r="G15" s="27">
        <v>235003.48904548917</v>
      </c>
      <c r="H15" s="28">
        <v>3.5443548387096775</v>
      </c>
    </row>
    <row r="16" spans="1:8" ht="15" customHeight="1" x14ac:dyDescent="0.25">
      <c r="E16" s="29" t="s">
        <v>98</v>
      </c>
      <c r="F16" s="30">
        <v>285167.36042546795</v>
      </c>
      <c r="G16" s="31">
        <v>61393.360425467967</v>
      </c>
      <c r="H16" s="32">
        <v>3.4594594594594597</v>
      </c>
    </row>
    <row r="42" spans="1:1" x14ac:dyDescent="0.25">
      <c r="A4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17"/>
  <sheetViews>
    <sheetView workbookViewId="0"/>
  </sheetViews>
  <sheetFormatPr defaultColWidth="14.42578125" defaultRowHeight="15" customHeight="1" x14ac:dyDescent="0.25"/>
  <sheetData>
    <row r="1" spans="1:3" x14ac:dyDescent="0.25">
      <c r="A1" s="3"/>
      <c r="B1" s="3" t="s">
        <v>1594</v>
      </c>
    </row>
    <row r="2" spans="1:3" x14ac:dyDescent="0.25">
      <c r="A2" s="8" t="s">
        <v>1595</v>
      </c>
      <c r="B2" s="33" t="s">
        <v>21</v>
      </c>
      <c r="C2" s="34" t="s">
        <v>33</v>
      </c>
    </row>
    <row r="3" spans="1:3" x14ac:dyDescent="0.25">
      <c r="A3" s="8">
        <v>1</v>
      </c>
      <c r="B3" s="33" t="s">
        <v>17</v>
      </c>
      <c r="C3" s="34" t="s">
        <v>32</v>
      </c>
    </row>
    <row r="4" spans="1:3" x14ac:dyDescent="0.25">
      <c r="A4" s="8">
        <v>2</v>
      </c>
    </row>
    <row r="5" spans="1:3" x14ac:dyDescent="0.25">
      <c r="A5" s="8">
        <v>3</v>
      </c>
      <c r="B5" s="17" t="s">
        <v>6</v>
      </c>
      <c r="C5" s="35" t="s">
        <v>1596</v>
      </c>
    </row>
    <row r="6" spans="1:3" x14ac:dyDescent="0.25">
      <c r="A6" s="8">
        <v>4</v>
      </c>
      <c r="B6" s="16" t="s">
        <v>106</v>
      </c>
      <c r="C6" s="36">
        <v>213</v>
      </c>
    </row>
    <row r="7" spans="1:3" x14ac:dyDescent="0.25">
      <c r="A7" s="8">
        <v>5</v>
      </c>
      <c r="B7" s="25" t="s">
        <v>43</v>
      </c>
      <c r="C7" s="37">
        <v>202</v>
      </c>
    </row>
    <row r="8" spans="1:3" hidden="1" x14ac:dyDescent="0.25">
      <c r="A8" s="8">
        <v>6</v>
      </c>
      <c r="B8" s="25" t="s">
        <v>70</v>
      </c>
      <c r="C8" s="37">
        <v>201</v>
      </c>
    </row>
    <row r="9" spans="1:3" hidden="1" x14ac:dyDescent="0.25">
      <c r="A9" s="8">
        <v>7</v>
      </c>
      <c r="B9" s="25" t="s">
        <v>81</v>
      </c>
      <c r="C9" s="37">
        <v>191</v>
      </c>
    </row>
    <row r="10" spans="1:3" hidden="1" x14ac:dyDescent="0.25">
      <c r="A10" s="8">
        <v>8</v>
      </c>
      <c r="B10" s="25" t="s">
        <v>87</v>
      </c>
      <c r="C10" s="37">
        <v>189</v>
      </c>
    </row>
    <row r="11" spans="1:3" hidden="1" x14ac:dyDescent="0.25">
      <c r="A11" s="8">
        <v>9</v>
      </c>
      <c r="B11" s="25" t="s">
        <v>139</v>
      </c>
      <c r="C11" s="37">
        <v>179</v>
      </c>
    </row>
    <row r="12" spans="1:3" hidden="1" x14ac:dyDescent="0.25">
      <c r="A12" s="8">
        <v>10</v>
      </c>
      <c r="B12" s="25" t="s">
        <v>119</v>
      </c>
      <c r="C12" s="37">
        <v>169</v>
      </c>
    </row>
    <row r="13" spans="1:3" hidden="1" x14ac:dyDescent="0.25">
      <c r="A13" s="8">
        <v>11</v>
      </c>
      <c r="B13" s="25" t="s">
        <v>92</v>
      </c>
      <c r="C13" s="37">
        <v>156</v>
      </c>
    </row>
    <row r="14" spans="1:3" hidden="1" x14ac:dyDescent="0.25">
      <c r="A14" s="8">
        <v>12</v>
      </c>
      <c r="B14" s="25" t="s">
        <v>75</v>
      </c>
      <c r="C14" s="37">
        <v>154</v>
      </c>
    </row>
    <row r="15" spans="1:3" ht="15" customHeight="1" x14ac:dyDescent="0.25">
      <c r="B15" s="25" t="s">
        <v>28</v>
      </c>
      <c r="C15" s="37">
        <v>151</v>
      </c>
    </row>
    <row r="16" spans="1:3" ht="15" customHeight="1" x14ac:dyDescent="0.25">
      <c r="B16" s="25" t="s">
        <v>124</v>
      </c>
      <c r="C16" s="37">
        <v>147</v>
      </c>
    </row>
    <row r="17" spans="2:3" ht="15" customHeight="1" x14ac:dyDescent="0.25">
      <c r="B17" s="29" t="s">
        <v>97</v>
      </c>
      <c r="C17" s="38">
        <v>131</v>
      </c>
    </row>
  </sheetData>
  <autoFilter ref="A2:Z14" xr:uid="{00000000-0009-0000-0000-000003000000}">
    <filterColumn colId="0">
      <filters>
        <filter val="1"/>
        <filter val="2"/>
        <filter val="3"/>
        <filter val="4"/>
        <filter val="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5"/>
  <sheetViews>
    <sheetView workbookViewId="0"/>
  </sheetViews>
  <sheetFormatPr defaultColWidth="14.42578125" defaultRowHeight="15" customHeight="1" x14ac:dyDescent="0.25"/>
  <sheetData>
    <row r="1" spans="1:2" x14ac:dyDescent="0.25">
      <c r="A1" s="3" t="s">
        <v>1597</v>
      </c>
    </row>
    <row r="2" spans="1:2" x14ac:dyDescent="0.25">
      <c r="A2" s="33" t="s">
        <v>17</v>
      </c>
      <c r="B2" s="34" t="s">
        <v>32</v>
      </c>
    </row>
    <row r="4" spans="1:2" ht="15" customHeight="1" x14ac:dyDescent="0.25">
      <c r="A4" s="35" t="s">
        <v>1598</v>
      </c>
    </row>
    <row r="5" spans="1:2" ht="15" customHeight="1" x14ac:dyDescent="0.25">
      <c r="A5" s="39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Ecommerce_Data</vt:lpstr>
      <vt:lpstr>Pivot_tables and Calculations</vt:lpstr>
      <vt:lpstr>Sheet5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2026-05-14T05:25:58Z</dcterms:created>
  <dcterms:modified xsi:type="dcterms:W3CDTF">2026-05-14T05:25:59Z</dcterms:modified>
</cp:coreProperties>
</file>